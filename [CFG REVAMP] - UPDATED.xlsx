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G" sheetId="1" r:id="rId5"/>
    <sheet state="visible" name="First Set Macro" sheetId="2" r:id="rId6"/>
    <sheet state="visible" name="Follow Set Macro" sheetId="3" r:id="rId7"/>
    <sheet state="visible" name="Predict Set Macro" sheetId="4" r:id="rId8"/>
    <sheet state="visible" name="predict_set" sheetId="5" r:id="rId9"/>
    <sheet state="hidden" name="Draft" sheetId="6" r:id="rId10"/>
    <sheet state="hidden" name="RAph" sheetId="7" r:id="rId11"/>
    <sheet state="hidden" name="CFG (Old)" sheetId="8" r:id="rId12"/>
    <sheet state="hidden" name="Raph - CFG" sheetId="9" r:id="rId13"/>
    <sheet state="hidden" name="Copy of Raph - CFG" sheetId="10" r:id="rId14"/>
    <sheet state="hidden" name="Predict Set Macro (Old)" sheetId="11" r:id="rId15"/>
    <sheet state="hidden" name="Statements" sheetId="12" r:id="rId16"/>
    <sheet state="hidden" name="Delnet-Old-CFG" sheetId="13" r:id="rId17"/>
    <sheet state="hidden" name="First Set" sheetId="14" r:id="rId18"/>
    <sheet state="hidden" name="Follow Set" sheetId="15" r:id="rId19"/>
    <sheet state="hidden" name="Delimeters" sheetId="16" r:id="rId20"/>
    <sheet state="hidden" name="Floyd-Old CFG (ambigus)" sheetId="17" r:id="rId21"/>
    <sheet state="hidden" name="Floyd-Old CFG slight ambiguus" sheetId="18" r:id="rId22"/>
  </sheets>
  <definedNames/>
  <calcPr/>
</workbook>
</file>

<file path=xl/sharedStrings.xml><?xml version="1.0" encoding="utf-8"?>
<sst xmlns="http://schemas.openxmlformats.org/spreadsheetml/2006/main" count="15475" uniqueCount="1593">
  <si>
    <t>&lt;program&gt;</t>
  </si>
  <si>
    <t>&lt;global_dec&gt;</t>
  </si>
  <si>
    <t>&lt;function&gt;</t>
  </si>
  <si>
    <t>&lt;main_func&gt;</t>
  </si>
  <si>
    <t xml:space="preserve">global </t>
  </si>
  <si>
    <t>&lt;mutability&gt;</t>
  </si>
  <si>
    <t>;</t>
  </si>
  <si>
    <t>&lt;weave_def&gt;</t>
  </si>
  <si>
    <t>λ</t>
  </si>
  <si>
    <t>var</t>
  </si>
  <si>
    <t>&lt;var_or_weave&gt;</t>
  </si>
  <si>
    <t>const</t>
  </si>
  <si>
    <t>&lt;const_weave&gt;</t>
  </si>
  <si>
    <t>&lt;dtype&gt;</t>
  </si>
  <si>
    <t>id</t>
  </si>
  <si>
    <t>&lt;var_or_arr&gt;</t>
  </si>
  <si>
    <t xml:space="preserve"> =</t>
  </si>
  <si>
    <t>{</t>
  </si>
  <si>
    <t>&lt;weave_init_list&gt;</t>
  </si>
  <si>
    <t>}</t>
  </si>
  <si>
    <t>&lt;const_or_arr&gt;</t>
  </si>
  <si>
    <t>int</t>
  </si>
  <si>
    <t>long</t>
  </si>
  <si>
    <t>float</t>
  </si>
  <si>
    <t>double</t>
  </si>
  <si>
    <t>char</t>
  </si>
  <si>
    <t>string</t>
  </si>
  <si>
    <t>bool</t>
  </si>
  <si>
    <t>&lt;value&gt;</t>
  </si>
  <si>
    <t>&lt;multi_dec&gt;</t>
  </si>
  <si>
    <t>[</t>
  </si>
  <si>
    <t>&lt;size&gt;</t>
  </si>
  <si>
    <t>]</t>
  </si>
  <si>
    <t>&lt;var_1D_or_2D&gt;</t>
  </si>
  <si>
    <t>&lt;literals_num&gt;</t>
  </si>
  <si>
    <t>&lt;multi_dec_const&gt;</t>
  </si>
  <si>
    <t>&lt;const_1D_or_2D&gt;</t>
  </si>
  <si>
    <t>&lt;string_or_logical_expr&gt;</t>
  </si>
  <si>
    <t>,</t>
  </si>
  <si>
    <t>intlit</t>
  </si>
  <si>
    <t>&lt;literals&gt;</t>
  </si>
  <si>
    <t>-</t>
  </si>
  <si>
    <t>&lt;num_lit&gt;</t>
  </si>
  <si>
    <t>longlit</t>
  </si>
  <si>
    <t>floatlit</t>
  </si>
  <si>
    <t>doublelit</t>
  </si>
  <si>
    <t>&lt;1D_elem_list&gt;</t>
  </si>
  <si>
    <t>&lt;arr_2D_init_opt&gt;</t>
  </si>
  <si>
    <t>&lt;elem_value&gt;</t>
  </si>
  <si>
    <t>&lt;1D_elem_list_tail&gt;</t>
  </si>
  <si>
    <t>&lt;arr_2D_init&gt;</t>
  </si>
  <si>
    <t>&lt;2D_elem_list&gt;</t>
  </si>
  <si>
    <t>&lt;2D_elem_list_cont&gt;</t>
  </si>
  <si>
    <t>&lt;weave_elem&gt;</t>
  </si>
  <si>
    <t>&lt;weave_init_list_tail&gt;</t>
  </si>
  <si>
    <t>weave</t>
  </si>
  <si>
    <t>&lt;field_list&gt;</t>
  </si>
  <si>
    <t>&lt;field_dec&gt;</t>
  </si>
  <si>
    <t>&lt;function_def&gt;</t>
  </si>
  <si>
    <t>func</t>
  </si>
  <si>
    <t>&lt;ret_type&gt;</t>
  </si>
  <si>
    <t>&lt;ret_struct&gt;</t>
  </si>
  <si>
    <t>(</t>
  </si>
  <si>
    <t>&lt;param&gt;</t>
  </si>
  <si>
    <t>)</t>
  </si>
  <si>
    <t>&lt;function_body&gt;</t>
  </si>
  <si>
    <t>&lt;ret_stmt&gt;</t>
  </si>
  <si>
    <t>void</t>
  </si>
  <si>
    <t>return</t>
  </si>
  <si>
    <t>&lt;ret_2D&gt;</t>
  </si>
  <si>
    <t>&lt;param_struct&gt;</t>
  </si>
  <si>
    <t>&lt;param_tail&gt;</t>
  </si>
  <si>
    <t>&lt;param_2D&gt;</t>
  </si>
  <si>
    <t>&lt;using_block&gt;</t>
  </si>
  <si>
    <t>&lt;local_block&gt;</t>
  </si>
  <si>
    <t>&lt;statement_list&gt;</t>
  </si>
  <si>
    <t>&lt;using_stmt&gt;</t>
  </si>
  <si>
    <t>using</t>
  </si>
  <si>
    <t>&lt;using_cont&gt;</t>
  </si>
  <si>
    <t>local</t>
  </si>
  <si>
    <t>&lt;statement&gt;</t>
  </si>
  <si>
    <t>&lt;expression&gt;</t>
  </si>
  <si>
    <t>&lt;I/O_stmt&gt;</t>
  </si>
  <si>
    <t>&lt;ctrl_struct&gt;</t>
  </si>
  <si>
    <t>&lt;assign_expr&gt;</t>
  </si>
  <si>
    <t>&lt;builtin_func&gt;</t>
  </si>
  <si>
    <t xml:space="preserve">id </t>
  </si>
  <si>
    <t>&lt;mod_or_call&gt;</t>
  </si>
  <si>
    <t>&lt;assign_mod_opt&gt;</t>
  </si>
  <si>
    <t>&lt;assign_stmt_op&gt;</t>
  </si>
  <si>
    <t>&lt;arg&gt;</t>
  </si>
  <si>
    <t>.</t>
  </si>
  <si>
    <t>&lt;size_mod&gt;</t>
  </si>
  <si>
    <t>&lt;lhs_index_2d_opt&gt;</t>
  </si>
  <si>
    <t xml:space="preserve"> = </t>
  </si>
  <si>
    <t xml:space="preserve"> +=</t>
  </si>
  <si>
    <t>-=</t>
  </si>
  <si>
    <t>*=</t>
  </si>
  <si>
    <t>/=</t>
  </si>
  <si>
    <t>%=</t>
  </si>
  <si>
    <t>&lt;logical_expr&gt;</t>
  </si>
  <si>
    <t>&lt;string_expr_tail&gt;</t>
  </si>
  <si>
    <t>..</t>
  </si>
  <si>
    <t>&lt;logical_term&gt;</t>
  </si>
  <si>
    <t>&lt;logical_expr_tail&gt;</t>
  </si>
  <si>
    <t>||</t>
  </si>
  <si>
    <t>&lt;logical_factor&gt;</t>
  </si>
  <si>
    <t>&lt;logical_term_tail&gt;</t>
  </si>
  <si>
    <t>&amp;&amp;</t>
  </si>
  <si>
    <t>!</t>
  </si>
  <si>
    <t>&lt;rel_expr&gt;</t>
  </si>
  <si>
    <t>&lt;arith_expr&gt;</t>
  </si>
  <si>
    <t>&lt;rel_op&gt;</t>
  </si>
  <si>
    <t>&lt;term&gt;</t>
  </si>
  <si>
    <t>&lt;add_min_cont&gt;</t>
  </si>
  <si>
    <t xml:space="preserve"> +</t>
  </si>
  <si>
    <t xml:space="preserve"> -</t>
  </si>
  <si>
    <t>&lt;primary&gt;</t>
  </si>
  <si>
    <t>&lt;mult_div_modulo_cont&gt;</t>
  </si>
  <si>
    <t xml:space="preserve"> *</t>
  </si>
  <si>
    <t>/</t>
  </si>
  <si>
    <t>%</t>
  </si>
  <si>
    <t>&lt;atom&gt;</t>
  </si>
  <si>
    <t>&lt;cast_or_val&gt;</t>
  </si>
  <si>
    <t>&lt;iden_mod&gt;</t>
  </si>
  <si>
    <t>&lt;arr_or_func&gt;</t>
  </si>
  <si>
    <t>&lt;2D_array&gt;</t>
  </si>
  <si>
    <t>charlit</t>
  </si>
  <si>
    <t>stringlit</t>
  </si>
  <si>
    <t xml:space="preserve"> true</t>
  </si>
  <si>
    <t xml:space="preserve"> false</t>
  </si>
  <si>
    <t>abs</t>
  </si>
  <si>
    <t>len</t>
  </si>
  <si>
    <t>pow</t>
  </si>
  <si>
    <t>sqrt</t>
  </si>
  <si>
    <t>&lt;multi_arg&gt;</t>
  </si>
  <si>
    <t>&lt;input_stmt&gt;</t>
  </si>
  <si>
    <t>&lt;output_stmt&gt;</t>
  </si>
  <si>
    <t>trap</t>
  </si>
  <si>
    <t>&lt;trap_target&gt;</t>
  </si>
  <si>
    <t>&lt;trap_suffix&gt;</t>
  </si>
  <si>
    <t>thread</t>
  </si>
  <si>
    <t>&lt;print_args&gt;</t>
  </si>
  <si>
    <t>threadln</t>
  </si>
  <si>
    <t>&lt;print_tail&gt;</t>
  </si>
  <si>
    <t>&lt;conditional_stmt&gt;</t>
  </si>
  <si>
    <t>&lt;loop_stmt&gt;</t>
  </si>
  <si>
    <t>&lt;if_stmt&gt;</t>
  </si>
  <si>
    <t>&lt;switch_stmt&gt;</t>
  </si>
  <si>
    <t>if</t>
  </si>
  <si>
    <t>&lt;condition&gt;</t>
  </si>
  <si>
    <t>&lt;ctrl_body&gt;</t>
  </si>
  <si>
    <t>&lt;ret_ctrl_body&gt;</t>
  </si>
  <si>
    <t>&lt;else_if_ei_stmt&gt;</t>
  </si>
  <si>
    <t>&lt;and_expr&gt;</t>
  </si>
  <si>
    <t>&lt;or_tail&gt;</t>
  </si>
  <si>
    <t>&lt;logical_op&gt;</t>
  </si>
  <si>
    <t>&lt;and_tail&gt;</t>
  </si>
  <si>
    <t>&lt;bool_ctrl&gt;</t>
  </si>
  <si>
    <t xml:space="preserve"> </t>
  </si>
  <si>
    <t>&lt;bool_ctrl_tail&gt;</t>
  </si>
  <si>
    <t>&lt;cmp_start&gt;</t>
  </si>
  <si>
    <t xml:space="preserve"> ==</t>
  </si>
  <si>
    <t>!=</t>
  </si>
  <si>
    <t>&gt;</t>
  </si>
  <si>
    <t>&lt;</t>
  </si>
  <si>
    <t>&gt;=</t>
  </si>
  <si>
    <t>&lt;=</t>
  </si>
  <si>
    <t>&lt;ctrl_statement_list&gt;</t>
  </si>
  <si>
    <t>&lt;break_opt&gt;</t>
  </si>
  <si>
    <t>break</t>
  </si>
  <si>
    <t>else</t>
  </si>
  <si>
    <t>&lt;else_stmt&gt;</t>
  </si>
  <si>
    <t>switch</t>
  </si>
  <si>
    <t>&lt;switch_val&gt;</t>
  </si>
  <si>
    <t>&lt;case_list&gt;</t>
  </si>
  <si>
    <t>&lt;default_stmt&gt;</t>
  </si>
  <si>
    <t>&lt;case_stmt&gt;</t>
  </si>
  <si>
    <t>case</t>
  </si>
  <si>
    <t>&lt;case_val&gt;</t>
  </si>
  <si>
    <t>:</t>
  </si>
  <si>
    <t>&lt;unique_val&gt;</t>
  </si>
  <si>
    <t>&lt;whole_lit&gt;</t>
  </si>
  <si>
    <t>default</t>
  </si>
  <si>
    <t>&lt;for_stmt&gt;</t>
  </si>
  <si>
    <t>&lt;while_stmt&gt;</t>
  </si>
  <si>
    <t>&lt;do_stmt&gt;</t>
  </si>
  <si>
    <t>for</t>
  </si>
  <si>
    <t>&lt;initializer&gt;</t>
  </si>
  <si>
    <t>&lt;update&gt;</t>
  </si>
  <si>
    <t>&lt;update_op&gt;</t>
  </si>
  <si>
    <t xml:space="preserve"> -=</t>
  </si>
  <si>
    <t xml:space="preserve"> *=</t>
  </si>
  <si>
    <t xml:space="preserve"> /=</t>
  </si>
  <si>
    <t>while</t>
  </si>
  <si>
    <t>do</t>
  </si>
  <si>
    <t xml:space="preserve">int </t>
  </si>
  <si>
    <t>main</t>
  </si>
  <si>
    <t>&lt;main_body&gt;</t>
  </si>
  <si>
    <t>=&gt;</t>
  </si>
  <si>
    <t>First(&lt;program&gt;)</t>
  </si>
  <si>
    <t>First(&lt;global_dec&gt;)</t>
  </si>
  <si>
    <t>First(&lt;mutability&gt;)</t>
  </si>
  <si>
    <t>First(&lt;var_or_weave&gt;)</t>
  </si>
  <si>
    <t>First(&lt;const_weave&gt;)</t>
  </si>
  <si>
    <t>First(&lt;dtype&gt;)</t>
  </si>
  <si>
    <t>First(&lt;var_or_arr&gt;)</t>
  </si>
  <si>
    <t>First(&lt;const_or_arr&gt;)</t>
  </si>
  <si>
    <t>First(&lt;value&gt;)</t>
  </si>
  <si>
    <t>First(&lt;multi_dec&gt;)</t>
  </si>
  <si>
    <t>First(&lt;multi_dec_const&gt;)</t>
  </si>
  <si>
    <t>First(&lt;size&gt;)</t>
  </si>
  <si>
    <t>First(&lt;literals_num&gt;)</t>
  </si>
  <si>
    <t>First(&lt;num_lit&gt;)</t>
  </si>
  <si>
    <t>First(&lt;var_1D_or_2D&gt;)</t>
  </si>
  <si>
    <t>First(&lt;1D_elem_list&gt;)</t>
  </si>
  <si>
    <t>First(&lt;elem_value&gt;)</t>
  </si>
  <si>
    <t>First(&lt;1D_elem_list_tail&gt;)</t>
  </si>
  <si>
    <t>First(&lt;arr_2D_init_opt&gt;)</t>
  </si>
  <si>
    <t>First(&lt;arr_2D_init&gt;)</t>
  </si>
  <si>
    <t>First(&lt;2D_elem_list&gt;)</t>
  </si>
  <si>
    <t>First(&lt;2D_elem_list_cont&gt;)</t>
  </si>
  <si>
    <t>First(&lt;const_1D_or_2D&gt;)</t>
  </si>
  <si>
    <t>First(&lt;weave_init_list&gt;)</t>
  </si>
  <si>
    <t>First(&lt;weave_elem&gt;)</t>
  </si>
  <si>
    <t>First(&lt;weave_init_list_tail&gt;)</t>
  </si>
  <si>
    <t>First(&lt;weave_def&gt;)</t>
  </si>
  <si>
    <t>First(&lt;field_list&gt;)</t>
  </si>
  <si>
    <t>First(&lt;field_dec&gt;)</t>
  </si>
  <si>
    <t>First(&lt;function&gt;)</t>
  </si>
  <si>
    <t>First(&lt;function_def&gt;)</t>
  </si>
  <si>
    <t>First(&lt;ret_type&gt;)</t>
  </si>
  <si>
    <t>First(&lt;ret_struct&gt;)</t>
  </si>
  <si>
    <t>First(&lt;ret_2D&gt;)</t>
  </si>
  <si>
    <t>First(&lt;param&gt;)</t>
  </si>
  <si>
    <t>First(&lt;param_tail&gt;)</t>
  </si>
  <si>
    <t>First(&lt;param_struct&gt;)</t>
  </si>
  <si>
    <t>First(&lt;param_2D&gt;)</t>
  </si>
  <si>
    <t>First(&lt;function_body&gt;)</t>
  </si>
  <si>
    <t>First(&lt;using_block&gt;)</t>
  </si>
  <si>
    <t>First(&lt;using_stmt&gt;)</t>
  </si>
  <si>
    <t>First(&lt;using_cont&gt;)</t>
  </si>
  <si>
    <t>First(&lt;local_block&gt;)</t>
  </si>
  <si>
    <t>First(&lt;statement_list&gt;)</t>
  </si>
  <si>
    <t>First(&lt;statement&gt;)</t>
  </si>
  <si>
    <t>First(&lt;expression&gt;)</t>
  </si>
  <si>
    <t>First(&lt;assign_expr&gt;)</t>
  </si>
  <si>
    <t>First(&lt;mod_or_call&gt;)</t>
  </si>
  <si>
    <t>First(&lt;assign_mod_opt&gt;)</t>
  </si>
  <si>
    <t>First(&lt;lhs_index_2d_opt&gt;)</t>
  </si>
  <si>
    <t>First(&lt;assign_stmt_op&gt;)</t>
  </si>
  <si>
    <t>First(&lt;size_mod&gt;)</t>
  </si>
  <si>
    <t>First(&lt;string_or_logical_expr&gt;)</t>
  </si>
  <si>
    <t>First(&lt;string_expr_tail&gt;)</t>
  </si>
  <si>
    <t>First(&lt;logical_expr&gt;)</t>
  </si>
  <si>
    <t>First(&lt;logical_expr_tail&gt;)</t>
  </si>
  <si>
    <t>First(&lt;logical_term&gt;)</t>
  </si>
  <si>
    <t>First(&lt;logical_term_tail&gt;)</t>
  </si>
  <si>
    <t>First(&lt;logical_factor&gt;)</t>
  </si>
  <si>
    <t>First(&lt;rel_expr&gt;)</t>
  </si>
  <si>
    <t>First(&lt;arith_expr&gt;)</t>
  </si>
  <si>
    <t>First(&lt;add_min_cont&gt;)</t>
  </si>
  <si>
    <t>First(&lt;term&gt;)</t>
  </si>
  <si>
    <t>First(&lt;mult_div_modulo_cont&gt;)</t>
  </si>
  <si>
    <t>First(&lt;primary&gt;)</t>
  </si>
  <si>
    <t>First(&lt;cast_or_val&gt;)</t>
  </si>
  <si>
    <t>First(&lt;atom&gt;)</t>
  </si>
  <si>
    <t>First(&lt;iden_mod&gt;)</t>
  </si>
  <si>
    <t>First(&lt;arr_or_func&gt;)</t>
  </si>
  <si>
    <t>First(&lt;2D_array&gt;)</t>
  </si>
  <si>
    <t>First(&lt;literals&gt;)</t>
  </si>
  <si>
    <t>First(&lt;builtin_func&gt;)</t>
  </si>
  <si>
    <t>First(&lt;arg&gt;)</t>
  </si>
  <si>
    <t>First(&lt;multi_arg&gt;)</t>
  </si>
  <si>
    <t>First(&lt;I/O_stmt&gt;)</t>
  </si>
  <si>
    <t>First(&lt;input_stmt&gt;)</t>
  </si>
  <si>
    <t>First(&lt;trap_target&gt;)</t>
  </si>
  <si>
    <t>First(&lt;trap_suffix&gt;)</t>
  </si>
  <si>
    <t>First(&lt;output_stmt&gt;)</t>
  </si>
  <si>
    <t>First(&lt;print_args&gt;)</t>
  </si>
  <si>
    <t>First(&lt;print_tail&gt;)</t>
  </si>
  <si>
    <t>First(&lt;ctrl_struct&gt;)</t>
  </si>
  <si>
    <t>First(&lt;conditional_stmt&gt;)</t>
  </si>
  <si>
    <t>First(&lt;if_stmt&gt;)</t>
  </si>
  <si>
    <t>First(&lt;condition&gt;)</t>
  </si>
  <si>
    <t>First(&lt;or_tail&gt;)</t>
  </si>
  <si>
    <t>First(&lt;and_expr&gt;)</t>
  </si>
  <si>
    <t>First(&lt;and_tail&gt;)</t>
  </si>
  <si>
    <t>First(&lt;logical_op&gt;)</t>
  </si>
  <si>
    <t>First(&lt;bool_ctrl&gt;)</t>
  </si>
  <si>
    <t>First(&lt;bool_ctrl_tail&gt;)</t>
  </si>
  <si>
    <t>First(&lt;cmp_start&gt;)</t>
  </si>
  <si>
    <t>First(&lt;rel_op&gt;)</t>
  </si>
  <si>
    <t>First(&lt;ctrl_body&gt;)</t>
  </si>
  <si>
    <t>First(&lt;ctrl_statement_list&gt;)</t>
  </si>
  <si>
    <t>First(&lt;break_opt&gt;)</t>
  </si>
  <si>
    <t>First(&lt;ret_ctrl_body&gt;)</t>
  </si>
  <si>
    <t>First(&lt;else_if_ei_stmt&gt;)</t>
  </si>
  <si>
    <t>First(&lt;else_stmt&gt;)</t>
  </si>
  <si>
    <t>First(&lt;switch_stmt&gt;)</t>
  </si>
  <si>
    <t>First(&lt;case_list&gt;)</t>
  </si>
  <si>
    <t>First(&lt;switch_val&gt;)</t>
  </si>
  <si>
    <t>First(&lt;case_stmt&gt;)</t>
  </si>
  <si>
    <t>First(&lt;case_val&gt;)</t>
  </si>
  <si>
    <t>First(&lt;unique_val&gt;)</t>
  </si>
  <si>
    <t>First(&lt;whole_lit&gt;)</t>
  </si>
  <si>
    <t>First(&lt;default_stmt&gt;)</t>
  </si>
  <si>
    <t>First(&lt;loop_stmt&gt;)</t>
  </si>
  <si>
    <t>First(&lt;for_stmt&gt;)</t>
  </si>
  <si>
    <t>First(&lt;initializer&gt;)</t>
  </si>
  <si>
    <t>First(&lt;update&gt;)</t>
  </si>
  <si>
    <t>First(&lt;update_op&gt;)</t>
  </si>
  <si>
    <t>First(&lt;while_stmt&gt;)</t>
  </si>
  <si>
    <t>First(&lt;do_stmt&gt;)</t>
  </si>
  <si>
    <t>First(&lt;ret_stmt&gt;)</t>
  </si>
  <si>
    <t>First(&lt;main_func&gt;)</t>
  </si>
  <si>
    <t>First(&lt;main_body&gt;)</t>
  </si>
  <si>
    <t>Follow(&lt;program&gt;)</t>
  </si>
  <si>
    <t>Follow(&lt;global_dec&gt;)</t>
  </si>
  <si>
    <t>Follow(&lt;mutability&gt;)</t>
  </si>
  <si>
    <t>Follow(&lt;var_or_weave&gt;)</t>
  </si>
  <si>
    <t>Follow(&lt;const_weave&gt;)</t>
  </si>
  <si>
    <t>Follow(&lt;dtype&gt;)</t>
  </si>
  <si>
    <t>Follow(&lt;var_or_arr&gt;)</t>
  </si>
  <si>
    <t>Follow(&lt;const_or_arr&gt;)</t>
  </si>
  <si>
    <t>Follow(&lt;value&gt;)</t>
  </si>
  <si>
    <t>Follow(&lt;multi_dec&gt;)</t>
  </si>
  <si>
    <t>Follow(&lt;multi_dec_const&gt;)</t>
  </si>
  <si>
    <t>Follow(&lt;size&gt;)</t>
  </si>
  <si>
    <t>Follow(&lt;literals_num&gt;)</t>
  </si>
  <si>
    <t>Follow(&lt;num_lit&gt;)</t>
  </si>
  <si>
    <t>Follow(&lt;var_1D_or_2D&gt;)</t>
  </si>
  <si>
    <t>Follow(&lt;1D_elem_list&gt;)</t>
  </si>
  <si>
    <t>Follow(&lt;elem_value&gt;)</t>
  </si>
  <si>
    <t>Follow(&lt;1D_elem_list_tail&gt;)</t>
  </si>
  <si>
    <t>Follow(&lt;arr_2D_init_opt&gt;)</t>
  </si>
  <si>
    <t>Follow(&lt;arr_2D_init&gt;)</t>
  </si>
  <si>
    <t>Follow(&lt;2D_elem_list&gt;)</t>
  </si>
  <si>
    <t>Follow(&lt;2D_elem_list_cont&gt;)</t>
  </si>
  <si>
    <t>Follow(&lt;const_1D_or_2D&gt;)</t>
  </si>
  <si>
    <t>Follow(&lt;weave_init_list&gt;)</t>
  </si>
  <si>
    <t>Follow(&lt;weave_elem&gt;)</t>
  </si>
  <si>
    <t>Follow(&lt;weave_init_list_tail&gt;)</t>
  </si>
  <si>
    <t>Follow(&lt;weave_def&gt;)</t>
  </si>
  <si>
    <t>Follow(&lt;field_list&gt;)</t>
  </si>
  <si>
    <t>Follow(&lt;field_dec&gt;)</t>
  </si>
  <si>
    <t>Follow(&lt;function&gt;)</t>
  </si>
  <si>
    <t>Follow(&lt;function_def&gt;)</t>
  </si>
  <si>
    <t>Follow(&lt;ret_type&gt;)</t>
  </si>
  <si>
    <t>Follow(&lt;ret_struct&gt;)</t>
  </si>
  <si>
    <t>Follow(&lt;ret_2D&gt;)</t>
  </si>
  <si>
    <t>Follow(&lt;param&gt;)</t>
  </si>
  <si>
    <t>Follow(&lt;param_tail&gt;)</t>
  </si>
  <si>
    <t>Follow(&lt;param_struct&gt;)</t>
  </si>
  <si>
    <t>Follow(&lt;param_2D&gt;)</t>
  </si>
  <si>
    <t>Follow(&lt;function_body&gt;)</t>
  </si>
  <si>
    <t>Follow(&lt;using_block&gt;)</t>
  </si>
  <si>
    <t>Follow(&lt;using_stmt&gt;)</t>
  </si>
  <si>
    <t>Follow(&lt;using_cont&gt;)</t>
  </si>
  <si>
    <t>Follow(&lt;local_block&gt;)</t>
  </si>
  <si>
    <t>Follow(&lt;statement_list&gt;)</t>
  </si>
  <si>
    <t>Follow(&lt;statement&gt;)</t>
  </si>
  <si>
    <t>Follow(&lt;expression&gt;)</t>
  </si>
  <si>
    <t>Follow(&lt;assign_expr&gt;)</t>
  </si>
  <si>
    <t>Follow(&lt;mod_or_call&gt;)</t>
  </si>
  <si>
    <t>Follow(&lt;assign_mod_opt&gt;)</t>
  </si>
  <si>
    <t>Follow(&lt;lhs_index_2d_opt&gt;)</t>
  </si>
  <si>
    <t>Follow(&lt;assign_stmt_op&gt;)</t>
  </si>
  <si>
    <t>Follow(&lt;size_mod&gt;)</t>
  </si>
  <si>
    <t>Follow(&lt;string_or_logical_expr&gt;)</t>
  </si>
  <si>
    <t>Follow(&lt;string_expr_tail&gt;)</t>
  </si>
  <si>
    <t>Follow(&lt;logical_expr&gt;)</t>
  </si>
  <si>
    <t>Follow(&lt;logical_expr_tail&gt;)</t>
  </si>
  <si>
    <t>Follow(&lt;logical_term&gt;)</t>
  </si>
  <si>
    <t>Follow(&lt;logical_term_tail&gt;)</t>
  </si>
  <si>
    <t>Follow(&lt;logical_factor&gt;)</t>
  </si>
  <si>
    <t>Follow(&lt;rel_expr&gt;)</t>
  </si>
  <si>
    <t>Follow(&lt;arith_expr&gt;)</t>
  </si>
  <si>
    <t>Follow(&lt;add_min_cont&gt;)</t>
  </si>
  <si>
    <t>Follow(&lt;term&gt;)</t>
  </si>
  <si>
    <t>Follow(&lt;mult_div_modulo_cont&gt;)</t>
  </si>
  <si>
    <t>Follow(&lt;primary&gt;)</t>
  </si>
  <si>
    <t>Follow(&lt;cast_or_val&gt;)</t>
  </si>
  <si>
    <t>Follow(&lt;atom&gt;)</t>
  </si>
  <si>
    <t>Follow(&lt;iden_mod&gt;)</t>
  </si>
  <si>
    <t>Follow(&lt;arr_or_func&gt;)</t>
  </si>
  <si>
    <t>Follow(&lt;2D_array&gt;)</t>
  </si>
  <si>
    <t>Follow(&lt;literals&gt;)</t>
  </si>
  <si>
    <t>Follow(&lt;builtin_func&gt;)</t>
  </si>
  <si>
    <t>Follow(&lt;arg&gt;)</t>
  </si>
  <si>
    <t>Follow(&lt;multi_arg&gt;)</t>
  </si>
  <si>
    <t>Follow(&lt;I/O_stmt&gt;)</t>
  </si>
  <si>
    <t>Follow(&lt;input_stmt&gt;)</t>
  </si>
  <si>
    <t>Follow(&lt;trap_target&gt;)</t>
  </si>
  <si>
    <t>Follow(&lt;trap_suffix&gt;)</t>
  </si>
  <si>
    <t>Follow(&lt;output_stmt&gt;)</t>
  </si>
  <si>
    <t>Follow(&lt;print_args&gt;)</t>
  </si>
  <si>
    <t>Follow(&lt;print_tail&gt;)</t>
  </si>
  <si>
    <t>Follow(&lt;ctrl_struct&gt;)</t>
  </si>
  <si>
    <t>Follow(&lt;conditional_stmt&gt;)</t>
  </si>
  <si>
    <t>Follow(&lt;if_stmt&gt;)</t>
  </si>
  <si>
    <t>Follow(&lt;condition&gt;)</t>
  </si>
  <si>
    <t>Follow(&lt;or_tail&gt;)</t>
  </si>
  <si>
    <t>Follow(&lt;and_expr&gt;)</t>
  </si>
  <si>
    <t>Follow(&lt;and_tail&gt;)</t>
  </si>
  <si>
    <t>Follow(&lt;logical_op&gt;)</t>
  </si>
  <si>
    <t>Follow(&lt;bool_ctrl&gt;)</t>
  </si>
  <si>
    <t>Follow(&lt;bool_ctrl_tail&gt;)</t>
  </si>
  <si>
    <t>Follow(&lt;cmp_start&gt;)</t>
  </si>
  <si>
    <t>Follow(&lt;rel_op&gt;)</t>
  </si>
  <si>
    <t>Follow(&lt;ctrl_body&gt;)</t>
  </si>
  <si>
    <t>Follow(&lt;ctrl_statement_list&gt;)</t>
  </si>
  <si>
    <t>Follow(&lt;break_opt&gt;)</t>
  </si>
  <si>
    <t>Follow(&lt;ret_ctrl_body&gt;)</t>
  </si>
  <si>
    <t>Follow(&lt;else_if_ei_stmt&gt;)</t>
  </si>
  <si>
    <t>Follow(&lt;else_stmt&gt;)</t>
  </si>
  <si>
    <t>Follow(&lt;switch_stmt&gt;)</t>
  </si>
  <si>
    <t>Follow(&lt;case_list&gt;)</t>
  </si>
  <si>
    <t>Follow(&lt;switch_val&gt;)</t>
  </si>
  <si>
    <t>Follow(&lt;case_stmt&gt;)</t>
  </si>
  <si>
    <t>Follow(&lt;case_val&gt;)</t>
  </si>
  <si>
    <t>Follow(&lt;unique_val&gt;)</t>
  </si>
  <si>
    <t>Follow(&lt;whole_lit&gt;)</t>
  </si>
  <si>
    <t>Follow(&lt;default_stmt&gt;)</t>
  </si>
  <si>
    <t>Follow(&lt;loop_stmt&gt;)</t>
  </si>
  <si>
    <t>Follow(&lt;for_stmt&gt;)</t>
  </si>
  <si>
    <t>Follow(&lt;initializer&gt;)</t>
  </si>
  <si>
    <t>Follow(&lt;update&gt;)</t>
  </si>
  <si>
    <t>Follow(&lt;update_op&gt;)</t>
  </si>
  <si>
    <t>Follow(&lt;while_stmt&gt;)</t>
  </si>
  <si>
    <t>Follow(&lt;do_stmt&gt;)</t>
  </si>
  <si>
    <t>Follow(&lt;ret_stmt&gt;)</t>
  </si>
  <si>
    <t>Follow(&lt;main_func&gt;)</t>
  </si>
  <si>
    <t>Follow(&lt;main_body&gt;)</t>
  </si>
  <si>
    <t>First(&lt;global_dec&gt; &lt;function&gt; &lt;main_func&gt;) =</t>
  </si>
  <si>
    <t>First(&lt;global_dec&gt;) =</t>
  </si>
  <si>
    <t>{ global, weave, func, int }</t>
  </si>
  <si>
    <t>First(global &lt;mutability&gt; ; &lt;global_dec&gt;) =</t>
  </si>
  <si>
    <t>{ global }</t>
  </si>
  <si>
    <t>First(&lt;weave_def&gt; &lt;global_dec&gt;) =</t>
  </si>
  <si>
    <t>First(&lt;weave_def&gt;) =</t>
  </si>
  <si>
    <t>{ weave }</t>
  </si>
  <si>
    <t>First(λ - λ) ∪ Follow(&lt;global_dec&gt;) =</t>
  </si>
  <si>
    <t>Follow(&lt;global_dec&gt;) =</t>
  </si>
  <si>
    <t>{ func, int }</t>
  </si>
  <si>
    <t>First(var &lt;var_or_weave&gt;) =</t>
  </si>
  <si>
    <t>{ var }</t>
  </si>
  <si>
    <t>First(const &lt;const_weave&gt;) =</t>
  </si>
  <si>
    <t>{ const }</t>
  </si>
  <si>
    <t>First(&lt;dtype&gt; id &lt;var_or_arr&gt;) =</t>
  </si>
  <si>
    <t>First(&lt;dtype&gt;) =</t>
  </si>
  <si>
    <t>{ int, long, float, double, char, string, bool }</t>
  </si>
  <si>
    <t>First(id id = { &lt;weave_init_list&gt; }) =</t>
  </si>
  <si>
    <t>{ id }</t>
  </si>
  <si>
    <t>First(&lt;dtype&gt; id &lt;const_or_arr&gt;) =</t>
  </si>
  <si>
    <t>First(int) =</t>
  </si>
  <si>
    <t>{ int }</t>
  </si>
  <si>
    <t>First(long) =</t>
  </si>
  <si>
    <t>{ long }</t>
  </si>
  <si>
    <t>First(float) =</t>
  </si>
  <si>
    <t>{ float }</t>
  </si>
  <si>
    <t>First(double) =</t>
  </si>
  <si>
    <t>{ double }</t>
  </si>
  <si>
    <t>First(char) =</t>
  </si>
  <si>
    <t>{ char }</t>
  </si>
  <si>
    <t>First(string) =</t>
  </si>
  <si>
    <t>{ string }</t>
  </si>
  <si>
    <t>First(bool) =</t>
  </si>
  <si>
    <t>{ bool }</t>
  </si>
  <si>
    <t>First(= &lt;value&gt; &lt;multi_dec&gt;) =</t>
  </si>
  <si>
    <t>{ = }</t>
  </si>
  <si>
    <t>First([ &lt;size&gt; ] &lt;var_1D_or_2D&gt;) =</t>
  </si>
  <si>
    <t>{ [ }</t>
  </si>
  <si>
    <t>First(= &lt;literals_num&gt; &lt;multi_dec_const&gt;) =</t>
  </si>
  <si>
    <t>First([ &lt;size&gt; ] &lt;const_1D_or_2D&gt;) =</t>
  </si>
  <si>
    <t>First(&lt;string_or_logical_expr&gt;) =</t>
  </si>
  <si>
    <t>{ !, -, (, id, intlit, longlit, floatlit, doublelit, charlit, stringlit, true, false, abs, len, pow, sqrt }</t>
  </si>
  <si>
    <t>First(, id = &lt;value&gt; &lt;multi_dec&gt;) =</t>
  </si>
  <si>
    <t>{ , }</t>
  </si>
  <si>
    <t>First(λ - λ) ∪ Follow(&lt;multi_dec&gt;) =</t>
  </si>
  <si>
    <t>Follow(&lt;multi_dec&gt;) =</t>
  </si>
  <si>
    <t>{ ; }</t>
  </si>
  <si>
    <t>First(, id = &lt;literals_num&gt; &lt;multi_dec_const&gt;) =</t>
  </si>
  <si>
    <t>First(λ - λ) ∪ Follow(&lt;multi_dec_const&gt;) =</t>
  </si>
  <si>
    <t>Follow(&lt;multi_dec_const&gt;) =</t>
  </si>
  <si>
    <t>First(intlit) =</t>
  </si>
  <si>
    <t>{ intlit }</t>
  </si>
  <si>
    <t>First(id) =</t>
  </si>
  <si>
    <t>First(&lt;literals&gt;) =</t>
  </si>
  <si>
    <t>{ intlit, longlit, floatlit, doublelit, charlit, stringlit, true, false }</t>
  </si>
  <si>
    <t>First(- &lt;num_lit&gt;) =</t>
  </si>
  <si>
    <t>{ - }</t>
  </si>
  <si>
    <t>First(longlit) =</t>
  </si>
  <si>
    <t>{ longlit }</t>
  </si>
  <si>
    <t>First(floatlit) =</t>
  </si>
  <si>
    <t>{ floatlit }</t>
  </si>
  <si>
    <t>First(doublelit) =</t>
  </si>
  <si>
    <t>{ doublelit }</t>
  </si>
  <si>
    <t>First(= { &lt;1D_elem_list&gt; }) =</t>
  </si>
  <si>
    <t>First([ &lt;size&gt; ] &lt;arr_2D_init_opt&gt;) =</t>
  </si>
  <si>
    <t>First(λ - λ) ∪ Follow(&lt;var_1D_or_2D&gt;) =</t>
  </si>
  <si>
    <t>Follow(&lt;var_1D_or_2D&gt;) =</t>
  </si>
  <si>
    <t>First(&lt;elem_value&gt; &lt;1D_elem_list_tail&gt;) =</t>
  </si>
  <si>
    <t>First(&lt;elem_value&gt;) =</t>
  </si>
  <si>
    <t>{ id, intlit, longlit, floatlit, doublelit, charlit, stringlit, true, false }</t>
  </si>
  <si>
    <t>First(, &lt;elem_value&gt; &lt;1D_elem_list_tail&gt;) =</t>
  </si>
  <si>
    <t>First(λ - λ) ∪ Follow(&lt;1D_elem_list_tail&gt;) =</t>
  </si>
  <si>
    <t>Follow(&lt;1D_elem_list_tail&gt;) =</t>
  </si>
  <si>
    <t>{ } }</t>
  </si>
  <si>
    <t>First(&lt;arr_2D_init&gt;) =</t>
  </si>
  <si>
    <t>First(λ - λ) ∪ Follow(&lt;arr_2D_init_opt&gt;) =</t>
  </si>
  <si>
    <t>Follow(&lt;arr_2D_init_opt&gt;) =</t>
  </si>
  <si>
    <t>First(= { &lt;2D_elem_list&gt; }) =</t>
  </si>
  <si>
    <t>First({ &lt;1D_elem_list&gt; } &lt;2D_elem_list_cont&gt;) =</t>
  </si>
  <si>
    <t>{ { }</t>
  </si>
  <si>
    <t>First(, &lt;2D_elem_list&gt;) =</t>
  </si>
  <si>
    <t>First(λ - λ) ∪ Follow(&lt;2D_elem_list_cont&gt;) =</t>
  </si>
  <si>
    <t>Follow(&lt;2D_elem_list_cont&gt;) =</t>
  </si>
  <si>
    <t>First([ &lt;size&gt; ] &lt;arr_2D_init&gt;) =</t>
  </si>
  <si>
    <t>First(&lt;weave_elem&gt; &lt;weave_init_list_tail&gt;) =</t>
  </si>
  <si>
    <t>First(&lt;weave_elem&gt;) =</t>
  </si>
  <si>
    <t>{ -, id, intlit, longlit, floatlit, doublelit, charlit, stringlit, true, false }</t>
  </si>
  <si>
    <t>First(&lt;literals_num&gt;) =</t>
  </si>
  <si>
    <t>{ -, intlit, longlit, floatlit, doublelit, charlit, stringlit, true, false }</t>
  </si>
  <si>
    <t>First(, &lt;weave_elem&gt; &lt;weave_init_list_tail&gt;) =</t>
  </si>
  <si>
    <t>First(λ - λ) ∪ Follow(&lt;weave_init_list_tail&gt;) =</t>
  </si>
  <si>
    <t>Follow(&lt;weave_init_list_tail&gt;) =</t>
  </si>
  <si>
    <t>First(weave id { &lt;field_list&gt; }) =</t>
  </si>
  <si>
    <t>First(&lt;field_dec&gt; &lt;field_list&gt;) =</t>
  </si>
  <si>
    <t>First(&lt;field_dec&gt;) =</t>
  </si>
  <si>
    <t>First(λ - λ) ∪ Follow(&lt;field_list&gt;) =</t>
  </si>
  <si>
    <t>Follow(&lt;field_list&gt;) =</t>
  </si>
  <si>
    <t>First(&lt;dtype&gt; id ;) =</t>
  </si>
  <si>
    <t>First(&lt;function_def&gt; &lt;function&gt;) =</t>
  </si>
  <si>
    <t>First(&lt;function_def&gt;) =</t>
  </si>
  <si>
    <t>{ func }</t>
  </si>
  <si>
    <t>First(λ - λ) ∪ Follow(&lt;function&gt;) =</t>
  </si>
  <si>
    <t>Follow(&lt;function&gt;) =</t>
  </si>
  <si>
    <t>First(func &lt;ret_type&gt;) =</t>
  </si>
  <si>
    <t>First(&lt;dtype&gt; &lt;ret_struct&gt; id ( &lt;param&gt; ) { &lt;function_body&gt; &lt;ret_stmt&gt; }) =</t>
  </si>
  <si>
    <t>First(void id ( ) { &lt;function_body&gt; return ; }) =</t>
  </si>
  <si>
    <t>{ void }</t>
  </si>
  <si>
    <t>First([ &lt;size&gt; ] &lt;ret_2D&gt;) =</t>
  </si>
  <si>
    <t>First(λ - λ) ∪ Follow(&lt;ret_struct&gt;) =</t>
  </si>
  <si>
    <t>Follow(&lt;ret_struct&gt;) =</t>
  </si>
  <si>
    <t>First([ &lt;size&gt; ]) =</t>
  </si>
  <si>
    <t>First(λ - λ) ∪ Follow(&lt;ret_2D&gt;) =</t>
  </si>
  <si>
    <t>Follow(&lt;ret_2D&gt;) =</t>
  </si>
  <si>
    <t>First(&lt;dtype&gt; id &lt;param_struct&gt; &lt;param_tail&gt;) =</t>
  </si>
  <si>
    <t>First(λ - λ) ∪ Follow(&lt;param&gt;) =</t>
  </si>
  <si>
    <t>Follow(&lt;param&gt;) =</t>
  </si>
  <si>
    <t>{ ) }</t>
  </si>
  <si>
    <t>First(, &lt;param&gt;) =</t>
  </si>
  <si>
    <t>First(λ - λ) ∪ Follow(&lt;param_tail&gt;) =</t>
  </si>
  <si>
    <t>Follow(&lt;param_tail&gt;) =</t>
  </si>
  <si>
    <t>First([ &lt;size&gt; ] &lt;param_2D&gt;) =</t>
  </si>
  <si>
    <t>First(λ - λ) ∪ Follow(&lt;param_struct&gt;) =</t>
  </si>
  <si>
    <t>Follow(&lt;param_struct&gt;) =</t>
  </si>
  <si>
    <t>{ ,, ) }</t>
  </si>
  <si>
    <t>First(λ - λ) ∪ Follow(&lt;param_2D&gt;) =</t>
  </si>
  <si>
    <t>Follow(&lt;param_2D&gt;) =</t>
  </si>
  <si>
    <t>First(&lt;using_block&gt; &lt;local_block&gt; &lt;statement_list&gt; - λ) ∪ Follow(&lt;function_body&gt;) =</t>
  </si>
  <si>
    <t>Follow(&lt;function_body&gt;) =</t>
  </si>
  <si>
    <t>{ using, local, id, abs, len, pow, sqrt, trap, thread, threadln, if, switch, for, while, do, return }</t>
  </si>
  <si>
    <t>First(&lt;using_stmt&gt; ; &lt;using_block&gt;) =</t>
  </si>
  <si>
    <t>First(&lt;using_stmt&gt;) =</t>
  </si>
  <si>
    <t>{ using }</t>
  </si>
  <si>
    <t>First(λ - λ) ∪ Follow(&lt;using_block&gt;) =</t>
  </si>
  <si>
    <t>Follow(&lt;using_block&gt;) =</t>
  </si>
  <si>
    <t>{ local, id, abs, len, pow, sqrt, trap, thread, threadln, if, switch, for, while, do, return }</t>
  </si>
  <si>
    <t>First(using id &lt;using_cont&gt;) =</t>
  </si>
  <si>
    <t>First(, id &lt;using_cont&gt;) =</t>
  </si>
  <si>
    <t>First(λ - λ) ∪ Follow(&lt;using_cont&gt;) =</t>
  </si>
  <si>
    <t>Follow(&lt;using_cont&gt;) =</t>
  </si>
  <si>
    <t>First(local &lt;mutability&gt; ; &lt;local_block&gt;) =</t>
  </si>
  <si>
    <t>{ local }</t>
  </si>
  <si>
    <t>First(λ - λ) ∪ Follow(&lt;local_block&gt;) =</t>
  </si>
  <si>
    <t>Follow(&lt;local_block&gt;) =</t>
  </si>
  <si>
    <t>{ id, abs, len, pow, sqrt, trap, thread, threadln, if, switch, for, while, do, return, break, }, case, default }</t>
  </si>
  <si>
    <t>First(&lt;statement&gt; &lt;statement_list&gt;) =</t>
  </si>
  <si>
    <t>First(&lt;statement&gt;) =</t>
  </si>
  <si>
    <t>{ id, abs, len, pow, sqrt, trap, thread, threadln, if, switch, for, while, do }</t>
  </si>
  <si>
    <t>First(λ - λ) ∪ Follow(&lt;statement_list&gt;) =</t>
  </si>
  <si>
    <t>Follow(&lt;statement_list&gt;) =</t>
  </si>
  <si>
    <t>{ return, break, }, case, default }</t>
  </si>
  <si>
    <t>First(&lt;expression&gt; ;) =</t>
  </si>
  <si>
    <t>First(&lt;expression&gt;) =</t>
  </si>
  <si>
    <t>{ id, abs, len, pow, sqrt }</t>
  </si>
  <si>
    <t>First(&lt;I/O_stmt&gt;) =</t>
  </si>
  <si>
    <t>{ trap, thread, threadln }</t>
  </si>
  <si>
    <t>First(&lt;ctrl_struct&gt;) =</t>
  </si>
  <si>
    <t>{ if, switch, for, while, do }</t>
  </si>
  <si>
    <t>First(&lt;assign_expr&gt;) =</t>
  </si>
  <si>
    <t>First(&lt;builtin_func&gt;) =</t>
  </si>
  <si>
    <t>{ abs, len, pow, sqrt }</t>
  </si>
  <si>
    <t>First(id &lt;mod_or_call&gt;) =</t>
  </si>
  <si>
    <t>First(&lt;assign_mod_opt&gt; &lt;assign_stmt_op&gt;) =</t>
  </si>
  <si>
    <t>First(&lt;assign_mod_opt&gt;) =</t>
  </si>
  <si>
    <t>{ ., [, =, +=, -=, *=, /=, %= }</t>
  </si>
  <si>
    <t>First(( &lt;arg&gt; )) =</t>
  </si>
  <si>
    <t>{ ( }</t>
  </si>
  <si>
    <t>First(. id) =</t>
  </si>
  <si>
    <t>{ . }</t>
  </si>
  <si>
    <t>First([ &lt;size_mod&gt; ] &lt;lhs_index_2d_opt&gt;) =</t>
  </si>
  <si>
    <t>First(λ - λ) ∪ Follow(&lt;assign_mod_opt&gt;) =</t>
  </si>
  <si>
    <t>Follow(&lt;assign_mod_opt&gt;) =</t>
  </si>
  <si>
    <t>{ =, +=, -=, *=, /=, %= }</t>
  </si>
  <si>
    <t>First([ &lt;size_mod&gt; ]) =</t>
  </si>
  <si>
    <t>First(λ - λ) ∪ Follow(&lt;lhs_index_2d_opt&gt;) =</t>
  </si>
  <si>
    <t>Follow(&lt;lhs_index_2d_opt&gt;) =</t>
  </si>
  <si>
    <t>First(= &lt;value&gt;) =</t>
  </si>
  <si>
    <t>First(+= &lt;value&gt;) =</t>
  </si>
  <si>
    <t>{ += }</t>
  </si>
  <si>
    <t>First(-= &lt;value&gt;) =</t>
  </si>
  <si>
    <t>{ -= }</t>
  </si>
  <si>
    <t>First(*= &lt;value&gt;) =</t>
  </si>
  <si>
    <t>{ *= }</t>
  </si>
  <si>
    <t>First(/= &lt;value&gt;) =</t>
  </si>
  <si>
    <t>{ /= }</t>
  </si>
  <si>
    <t>First(%= &lt;value&gt;) =</t>
  </si>
  <si>
    <t>{ %= }</t>
  </si>
  <si>
    <t>First(&lt;logical_expr&gt; &lt;string_expr_tail&gt;) =</t>
  </si>
  <si>
    <t>First(&lt;logical_expr&gt;) =</t>
  </si>
  <si>
    <t>First(.. &lt;logical_expr&gt; &lt;string_expr_tail&gt;) =</t>
  </si>
  <si>
    <t>{ .. }</t>
  </si>
  <si>
    <t>First(λ - λ) ∪ Follow(&lt;string_expr_tail&gt;) =</t>
  </si>
  <si>
    <t>Follow(&lt;string_expr_tail&gt;) =</t>
  </si>
  <si>
    <t>{ ,, ;, ) }</t>
  </si>
  <si>
    <t>First(&lt;logical_term&gt; &lt;logical_expr_tail&gt;) =</t>
  </si>
  <si>
    <t>First(&lt;logical_term&gt;) =</t>
  </si>
  <si>
    <t>First(|| &lt;logical_term&gt; &lt;logical_expr_tail&gt;) =</t>
  </si>
  <si>
    <t>{ || }</t>
  </si>
  <si>
    <t>First(λ - λ) ∪ Follow(&lt;logical_expr_tail&gt;) =</t>
  </si>
  <si>
    <t>Follow(&lt;logical_expr_tail&gt;) =</t>
  </si>
  <si>
    <t>{ .., ,, ;, ) }</t>
  </si>
  <si>
    <t>First(&lt;logical_factor&gt; &lt;logical_term_tail&gt;) =</t>
  </si>
  <si>
    <t>First(&lt;logical_factor&gt;) =</t>
  </si>
  <si>
    <t>First(&amp;&amp; &lt;logical_factor&gt; &lt;logical_term_tail&gt;) =</t>
  </si>
  <si>
    <t>{ &amp;&amp; }</t>
  </si>
  <si>
    <t>First(λ - λ) ∪ Follow(&lt;logical_term_tail&gt;) =</t>
  </si>
  <si>
    <t>Follow(&lt;logical_term_tail&gt;) =</t>
  </si>
  <si>
    <t>{ ||, .., ,, ;, ) }</t>
  </si>
  <si>
    <t>First(! &lt;logical_factor&gt;) =</t>
  </si>
  <si>
    <t>{ ! }</t>
  </si>
  <si>
    <t>First(&lt;rel_expr&gt;) =</t>
  </si>
  <si>
    <t>{ -, (, id, intlit, longlit, floatlit, doublelit, charlit, stringlit, true, false, abs, len, pow, sqrt }</t>
  </si>
  <si>
    <t>First(&lt;arith_expr&gt; &lt;rel_op&gt; &lt;arith_expr&gt;) =</t>
  </si>
  <si>
    <t>First(&lt;arith_expr&gt;) =</t>
  </si>
  <si>
    <t>First(&lt;term&gt; &lt;add_min_cont&gt;) =</t>
  </si>
  <si>
    <t>First(&lt;term&gt;) =</t>
  </si>
  <si>
    <t>First(+ &lt;term&gt; &lt;add_min_cont&gt;) =</t>
  </si>
  <si>
    <t>{ + }</t>
  </si>
  <si>
    <t>First(- &lt;term&gt; &lt;add_min_cont&gt;) =</t>
  </si>
  <si>
    <t>First(λ - λ) ∪ Follow(&lt;add_min_cont&gt;) =</t>
  </si>
  <si>
    <t>Follow(&lt;add_min_cont&gt;) =</t>
  </si>
  <si>
    <t>{ ==, !=, &gt;, &lt;, &gt;=, &lt;=, &amp;&amp;, ||, .., ,, ;, , ) }</t>
  </si>
  <si>
    <t>First(&lt;primary&gt; &lt;mult_div_modulo_cont&gt;) =</t>
  </si>
  <si>
    <t>First(&lt;primary&gt;) =</t>
  </si>
  <si>
    <t>First(* &lt;primary&gt; &lt;mult_div_modulo_cont&gt;) =</t>
  </si>
  <si>
    <t>{ * }</t>
  </si>
  <si>
    <t>First(/ &lt;primary&gt; &lt;mult_div_modulo_cont&gt;) =</t>
  </si>
  <si>
    <t>{ / }</t>
  </si>
  <si>
    <t>First(% &lt;primary&gt; &lt;mult_div_modulo_cont&gt;) =</t>
  </si>
  <si>
    <t>{ % }</t>
  </si>
  <si>
    <t>First(λ - λ) ∪ Follow(&lt;mult_div_modulo_cont&gt;) =</t>
  </si>
  <si>
    <t>Follow(&lt;mult_div_modulo_cont&gt;) =</t>
  </si>
  <si>
    <t>{ +, -, ==, !=, &gt;, &lt;, &gt;=, &lt;=, &amp;&amp;, ||, .., ,, ;, , ) }</t>
  </si>
  <si>
    <t>First(&lt;atom&gt;) =</t>
  </si>
  <si>
    <t>{ id, intlit, longlit, floatlit, doublelit, charlit, stringlit, true, false, abs, len, pow, sqrt }</t>
  </si>
  <si>
    <t>First(- &lt;primary&gt;) =</t>
  </si>
  <si>
    <t>First(( &lt;cast_or_val&gt;) =</t>
  </si>
  <si>
    <t>First(&lt;dtype&gt; ) &lt;primary&gt;) =</t>
  </si>
  <si>
    <t>First(&lt;value&gt; )) =</t>
  </si>
  <si>
    <t>First(&lt;value&gt;) =</t>
  </si>
  <si>
    <t>First(id &lt;iden_mod&gt;) =</t>
  </si>
  <si>
    <t>First(&lt;arr_or_func&gt; - λ) ∪ Follow(&lt;iden_mod&gt;) =</t>
  </si>
  <si>
    <t>Follow(&lt;iden_mod&gt;) =</t>
  </si>
  <si>
    <t>{ [, (, *, /, %, +, -, ==, !=, &gt;, &lt;, &gt;=, &lt;=, &amp;&amp;, ||, .., ,, ;, , ) }</t>
  </si>
  <si>
    <t>First([ &lt;size&gt; ] &lt;2D_array&gt;) =</t>
  </si>
  <si>
    <t>First(λ - λ) ∪ Follow(&lt;arr_or_func&gt;) =</t>
  </si>
  <si>
    <t>Follow(&lt;arr_or_func&gt;) =</t>
  </si>
  <si>
    <t>{ *, /, %, +, -, ==, !=, &gt;, &lt;, &gt;=, &lt;=, &amp;&amp;, ||, .., ,, ;, , ) }</t>
  </si>
  <si>
    <t>First(λ - λ) ∪ Follow(&lt;2D_array&gt;) =</t>
  </si>
  <si>
    <t>Follow(&lt;2D_array&gt;) =</t>
  </si>
  <si>
    <t>{ *, /, %, +, -, ==, !=, &gt;, &lt;, &gt;=, &lt;=, &amp;&amp;, ||, .., ,, ;, ),  }</t>
  </si>
  <si>
    <t>First(charlit) =</t>
  </si>
  <si>
    <t>{ charlit }</t>
  </si>
  <si>
    <t>First(stringlit) =</t>
  </si>
  <si>
    <t>{ stringlit }</t>
  </si>
  <si>
    <t>First(true) =</t>
  </si>
  <si>
    <t>{ true }</t>
  </si>
  <si>
    <t>First(false) =</t>
  </si>
  <si>
    <t>{ false }</t>
  </si>
  <si>
    <t>First(abs ( &lt;value&gt; )) =</t>
  </si>
  <si>
    <t>{ abs }</t>
  </si>
  <si>
    <t>First(len ( &lt;value&gt; )) =</t>
  </si>
  <si>
    <t>{ len }</t>
  </si>
  <si>
    <t>First(pow ( &lt;value&gt; , &lt;value&gt; )) =</t>
  </si>
  <si>
    <t>{ pow }</t>
  </si>
  <si>
    <t>First(sqrt ( &lt;value&gt; )) =</t>
  </si>
  <si>
    <t>{ sqrt }</t>
  </si>
  <si>
    <t>First(&lt;value&gt; &lt;multi_arg&gt;) =</t>
  </si>
  <si>
    <t>First(λ - λ) ∪ Follow(&lt;arg&gt;) =</t>
  </si>
  <si>
    <t>Follow(&lt;arg&gt;) =</t>
  </si>
  <si>
    <t>First(, &lt;arg&gt;) =</t>
  </si>
  <si>
    <t>First(λ - λ) ∪ Follow(&lt;multi_arg&gt;) =</t>
  </si>
  <si>
    <t>Follow(&lt;multi_arg&gt;) =</t>
  </si>
  <si>
    <t>First(&lt;input_stmt&gt;) =</t>
  </si>
  <si>
    <t>{ trap }</t>
  </si>
  <si>
    <t>First(&lt;output_stmt&gt;) =</t>
  </si>
  <si>
    <t>{ thread, threadln }</t>
  </si>
  <si>
    <t>First(trap ( &lt;trap_target&gt; ) ;) =</t>
  </si>
  <si>
    <t>First(id &lt;trap_suffix&gt;) =</t>
  </si>
  <si>
    <t>First(λ - λ) ∪ Follow(&lt;trap_suffix&gt;) =</t>
  </si>
  <si>
    <t>Follow(&lt;trap_suffix&gt;) =</t>
  </si>
  <si>
    <t>First(thread ( &lt;print_args&gt; ) ;) =</t>
  </si>
  <si>
    <t>{ thread }</t>
  </si>
  <si>
    <t>First(threadln ( &lt;print_args&gt; ) ;) =</t>
  </si>
  <si>
    <t>{ threadln }</t>
  </si>
  <si>
    <t>First(&lt;value&gt; &lt;print_tail&gt;) =</t>
  </si>
  <si>
    <t>First(, &lt;value&gt; &lt;print_tail&gt;) =</t>
  </si>
  <si>
    <t>First(λ - λ) ∪ Follow(&lt;print_tail&gt;) =</t>
  </si>
  <si>
    <t>Follow(&lt;print_tail&gt;) =</t>
  </si>
  <si>
    <t>First(&lt;conditional_stmt&gt;) =</t>
  </si>
  <si>
    <t>{ if, switch }</t>
  </si>
  <si>
    <t>First(&lt;loop_stmt&gt;) =</t>
  </si>
  <si>
    <t>{ for, while, do }</t>
  </si>
  <si>
    <t>First(&lt;if_stmt&gt;) =</t>
  </si>
  <si>
    <t>{ if }</t>
  </si>
  <si>
    <t>First(&lt;switch_stmt&gt;) =</t>
  </si>
  <si>
    <t>{ switch }</t>
  </si>
  <si>
    <t>First(if ( &lt;condition&gt; ) { &lt;ctrl_body&gt; &lt;ret_ctrl_body&gt; } &lt;else_if_ei_stmt&gt;) =</t>
  </si>
  <si>
    <t>First(&lt;and_expr&gt; &lt;or_tail&gt;) =</t>
  </si>
  <si>
    <t>First(&lt;and_expr&gt;) =</t>
  </si>
  <si>
    <t>{ !, id, true, false, (, abs, len, pow, sqrt, -, intlit, longlit, floatlit, doublelit, charlit, stringlit }</t>
  </si>
  <si>
    <t>First(|| &lt;and_expr&gt; &lt;or_tail&gt;) =</t>
  </si>
  <si>
    <t>First(λ - λ) ∪ Follow(&lt;or_tail&gt;) =</t>
  </si>
  <si>
    <t>Follow(&lt;or_tail&gt;) =</t>
  </si>
  <si>
    <t>{ ), ; }</t>
  </si>
  <si>
    <t>First(&lt;logical_op&gt; &lt;and_tail&gt;) =</t>
  </si>
  <si>
    <t>First(&lt;logical_op&gt;) =</t>
  </si>
  <si>
    <t>First(&amp;&amp; &lt;logical_op&gt; &lt;and_tail&gt;) =</t>
  </si>
  <si>
    <t>First(λ - λ) ∪ Follow(&lt;and_tail&gt;) =</t>
  </si>
  <si>
    <t>Follow(&lt;and_tail&gt;) =</t>
  </si>
  <si>
    <t>{ ||, ), ; }</t>
  </si>
  <si>
    <t>First(! &lt;logical_op&gt;) =</t>
  </si>
  <si>
    <t>First(&lt;bool_ctrl&gt; ) =</t>
  </si>
  <si>
    <t>First(&lt;bool_ctrl&gt;) =</t>
  </si>
  <si>
    <t>{ id, true, false, (, abs, len, pow, sqrt, -, intlit, longlit, floatlit, doublelit, charlit, stringlit }</t>
  </si>
  <si>
    <t>First(id &lt;iden_mod&gt; &lt;mult_div_modulo_cont&gt; &lt;add_min_cont&gt; &lt;bool_ctrl_tail&gt;) =</t>
  </si>
  <si>
    <t>First(true &lt;mult_div_modulo_cont&gt; &lt;add_min_cont&gt; &lt;bool_ctrl_tail&gt;) =</t>
  </si>
  <si>
    <t>First(false &lt;mult_div_modulo_cont&gt; &lt;add_min_cont&gt; &lt;bool_ctrl_tail&gt;) =</t>
  </si>
  <si>
    <t>First(( &lt;cast_or_val&gt; &lt;mult_div_modulo_cont&gt; &lt;add_min_cont&gt; &lt;bool_ctrl_tail&gt;) =</t>
  </si>
  <si>
    <t>First(&lt;cmp_start&gt; &lt;mult_div_modulo_cont&gt; &lt;add_min_cont&gt; &lt;rel_op&gt; &lt;arith_expr&gt;) =</t>
  </si>
  <si>
    <t>First(&lt;cmp_start&gt;) =</t>
  </si>
  <si>
    <t>{ -, intlit, longlit, floatlit, doublelit, charlit, stringlit }</t>
  </si>
  <si>
    <t>First(&lt;builtin_func&gt; &lt;mult_div_modulo_cont&gt; &lt;add_min_cont&gt; &lt;bool_ctrl_tail&gt;) =</t>
  </si>
  <si>
    <t>First(&lt;rel_op&gt; &lt;arith_expr&gt;) =</t>
  </si>
  <si>
    <t>First(&lt;rel_op&gt;) =</t>
  </si>
  <si>
    <t>{ ==, !=, &gt;, &lt;, &gt;=, &lt;= }</t>
  </si>
  <si>
    <t>First(λ - λ) ∪ Follow(&lt;bool_ctrl_tail&gt;) =</t>
  </si>
  <si>
    <t>Follow(&lt;bool_ctrl_tail&gt;) =</t>
  </si>
  <si>
    <t>{  }</t>
  </si>
  <si>
    <t>First(==) =</t>
  </si>
  <si>
    <t>{ == }</t>
  </si>
  <si>
    <t>First(!=) =</t>
  </si>
  <si>
    <t>{ != }</t>
  </si>
  <si>
    <t>First(&gt;) =</t>
  </si>
  <si>
    <t>{ &gt; }</t>
  </si>
  <si>
    <t>First(&lt;) =</t>
  </si>
  <si>
    <t>{ &lt; }</t>
  </si>
  <si>
    <t>First(&gt;=) =</t>
  </si>
  <si>
    <t>{ &gt;= }</t>
  </si>
  <si>
    <t>First(&lt;=) =</t>
  </si>
  <si>
    <t>{ &lt;= }</t>
  </si>
  <si>
    <t>First(&lt;local_block&gt; &lt;ctrl_statement_list&gt; - λ) ∪ Follow(&lt;ctrl_body&gt;) =</t>
  </si>
  <si>
    <t>Follow(&lt;ctrl_body&gt;) =</t>
  </si>
  <si>
    <t>{ local, break, id, abs, len, pow, sqrt, trap, thread, threadln, if, switch, for, while, do, return, }, case, default }</t>
  </si>
  <si>
    <t>First(&lt;statement_list&gt; &lt;break_opt&gt; - λ) ∪ Follow(&lt;ctrl_statement_list&gt;) =</t>
  </si>
  <si>
    <t>Follow(&lt;ctrl_statement_list&gt;) =</t>
  </si>
  <si>
    <t>{ id, abs, len, pow, sqrt, trap, thread, threadln, if, switch, for, while, do, break, return, }, case, default }</t>
  </si>
  <si>
    <t>First(break ;) =</t>
  </si>
  <si>
    <t>{ break }</t>
  </si>
  <si>
    <t>First(λ - λ) ∪ Follow(&lt;break_opt&gt;) =</t>
  </si>
  <si>
    <t>Follow(&lt;break_opt&gt;) =</t>
  </si>
  <si>
    <t>{ return, }, case, default }</t>
  </si>
  <si>
    <t>First(&lt;ret_stmt&gt;) =</t>
  </si>
  <si>
    <t>{ return }</t>
  </si>
  <si>
    <t>First(λ - λ) ∪ Follow(&lt;ret_ctrl_body&gt;) =</t>
  </si>
  <si>
    <t>Follow(&lt;ret_ctrl_body&gt;) =</t>
  </si>
  <si>
    <t>{ }, case, default }</t>
  </si>
  <si>
    <t>First(else &lt;else_stmt&gt;) =</t>
  </si>
  <si>
    <t>{ else }</t>
  </si>
  <si>
    <t>First(λ - λ) ∪ Follow(&lt;else_if_ei_stmt&gt;) =</t>
  </si>
  <si>
    <t>Follow(&lt;else_if_ei_stmt&gt;) =</t>
  </si>
  <si>
    <t>First({ &lt;ctrl_body&gt; &lt;ret_ctrl_body&gt; }) =</t>
  </si>
  <si>
    <t>First(switch ( &lt;switch_val&gt; ) { &lt;case_list&gt; &lt;default_stmt&gt; }) =</t>
  </si>
  <si>
    <t>First(&lt;case_stmt&gt; &lt;case_list&gt;) =</t>
  </si>
  <si>
    <t>First(&lt;case_stmt&gt;) =</t>
  </si>
  <si>
    <t>{ case }</t>
  </si>
  <si>
    <t>First(λ - λ) ∪ Follow(&lt;case_list&gt;) =</t>
  </si>
  <si>
    <t>Follow(&lt;case_list&gt;) =</t>
  </si>
  <si>
    <t>{ default, } }</t>
  </si>
  <si>
    <t>First(case &lt;case_val&gt; : &lt;ctrl_body&gt; &lt;ret_ctrl_body&gt;) =</t>
  </si>
  <si>
    <t>First(&lt;unique_val&gt;) =</t>
  </si>
  <si>
    <t>{ charlit, true, false, intlit, longlit, - }</t>
  </si>
  <si>
    <t>First(- &lt;whole_lit&gt;) =</t>
  </si>
  <si>
    <t>First(default : &lt;ctrl_body&gt; &lt;ret_ctrl_body&gt;) =</t>
  </si>
  <si>
    <t>{ default }</t>
  </si>
  <si>
    <t>First(λ - λ) ∪ Follow(&lt;default_stmt&gt;) =</t>
  </si>
  <si>
    <t>Follow(&lt;default_stmt&gt;) =</t>
  </si>
  <si>
    <t>First(&lt;for_stmt&gt;) =</t>
  </si>
  <si>
    <t>{ for }</t>
  </si>
  <si>
    <t>First(&lt;while_stmt&gt;) =</t>
  </si>
  <si>
    <t>{ while }</t>
  </si>
  <si>
    <t>First(&lt;do_stmt&gt;) =</t>
  </si>
  <si>
    <t>{ do }</t>
  </si>
  <si>
    <t>First(for ( &lt;initializer&gt; ; &lt;condition&gt; ; &lt;update&gt; ) { &lt;ctrl_body&gt; &lt;ret_ctrl_body&gt; }) =</t>
  </si>
  <si>
    <t>First(local var &lt;dtype&gt; id = &lt;literals_num&gt;) =</t>
  </si>
  <si>
    <t>First(id = &lt;literals_num&gt;) =</t>
  </si>
  <si>
    <t>First(λ - λ) ∪ Follow(&lt;initializer&gt;) =</t>
  </si>
  <si>
    <t>Follow(&lt;initializer&gt;) =</t>
  </si>
  <si>
    <t>First(id &lt;update_op&gt; &lt;arith_expr&gt;) =</t>
  </si>
  <si>
    <t>First(λ - λ) ∪ Follow(&lt;update&gt;) =</t>
  </si>
  <si>
    <t>Follow(&lt;update&gt;) =</t>
  </si>
  <si>
    <t>First(+=) =</t>
  </si>
  <si>
    <t>First(-=) =</t>
  </si>
  <si>
    <t>First(*=) =</t>
  </si>
  <si>
    <t>First(/=) =</t>
  </si>
  <si>
    <t>First(%=) =</t>
  </si>
  <si>
    <t>First(while ( &lt;condition&gt; ) { &lt;ctrl_body&gt; &lt;ret_ctrl_body&gt; }) =</t>
  </si>
  <si>
    <t>First(do { &lt;ctrl_body&gt; &lt;ret_ctrl_body&gt; } while ( &lt;condition&gt; ) ;) =</t>
  </si>
  <si>
    <t>First(return &lt;value&gt; ;) =</t>
  </si>
  <si>
    <t>First(int main ( ) { &lt;main_body&gt; }) =</t>
  </si>
  <si>
    <t>First(&lt;using_block&gt; &lt;local_block&gt; &lt;statement_list&gt; return intlit ;) =</t>
  </si>
  <si>
    <t>First(&lt;using_block&gt;) =</t>
  </si>
  <si>
    <t>&lt;global_decl&gt;</t>
  </si>
  <si>
    <t>&lt;recipe_decl&gt;</t>
  </si>
  <si>
    <t>start</t>
  </si>
  <si>
    <t>&lt;platter&gt;</t>
  </si>
  <si>
    <t>piece</t>
  </si>
  <si>
    <t>&lt;piece_decl&gt;</t>
  </si>
  <si>
    <t>chars</t>
  </si>
  <si>
    <t>&lt;chars_decl&gt;</t>
  </si>
  <si>
    <t>sip</t>
  </si>
  <si>
    <t>&lt;sip_decl&gt;</t>
  </si>
  <si>
    <t>flag</t>
  </si>
  <si>
    <t>&lt;flag_decl&gt;</t>
  </si>
  <si>
    <t>&lt;table_prototype&gt;</t>
  </si>
  <si>
    <t>&lt;table_decl&gt;</t>
  </si>
  <si>
    <t>of</t>
  </si>
  <si>
    <t>&lt;piece_id&gt;</t>
  </si>
  <si>
    <t>&lt;decl_type&gt;</t>
  </si>
  <si>
    <t>&lt;piece_ingredient_init&gt;</t>
  </si>
  <si>
    <t>&lt;piece_id_tail&gt;</t>
  </si>
  <si>
    <t>&lt;strict_piece_expr&gt;</t>
  </si>
  <si>
    <t>&lt;strict_piece_term&gt;</t>
  </si>
  <si>
    <t>&lt;strict_piece_add_tail&gt;</t>
  </si>
  <si>
    <t>&lt;strict_piece_factor&gt;</t>
  </si>
  <si>
    <t>&lt;strict_piece_mult_tail&gt;</t>
  </si>
  <si>
    <t>&lt;ret_piece&gt;</t>
  </si>
  <si>
    <t>&lt;id&gt;</t>
  </si>
  <si>
    <t>topiece</t>
  </si>
  <si>
    <t>&lt;any_expr&gt;</t>
  </si>
  <si>
    <t>size</t>
  </si>
  <si>
    <t>&lt;strict_array_expr&gt;</t>
  </si>
  <si>
    <t>search</t>
  </si>
  <si>
    <t>fact</t>
  </si>
  <si>
    <t>piece_lit</t>
  </si>
  <si>
    <t>&lt;piece_mult_tail&gt;</t>
  </si>
  <si>
    <t>&lt;piece_add_tail&gt;</t>
  </si>
  <si>
    <t>&lt;piece_rel_gate&gt;</t>
  </si>
  <si>
    <t>&lt;ret_sip&gt;</t>
  </si>
  <si>
    <t>&lt;sip_mult_tail&gt;</t>
  </si>
  <si>
    <t>&lt;sip_add_tail&gt;</t>
  </si>
  <si>
    <t>&lt;sip_rel_gate&gt;</t>
  </si>
  <si>
    <t>&lt;ret_chars&gt;</t>
  </si>
  <si>
    <t>&lt;chars_add_tail&gt;</t>
  </si>
  <si>
    <t>&lt;chars_rel_gate&gt;</t>
  </si>
  <si>
    <t>&lt;ret_flag&gt;</t>
  </si>
  <si>
    <t>&lt;flag_logic_tail&gt;</t>
  </si>
  <si>
    <t>&lt;univ_mult_tail&gt;</t>
  </si>
  <si>
    <t>&lt;univ_add_tail&gt;</t>
  </si>
  <si>
    <t>&lt;univ_rel_gate&gt;</t>
  </si>
  <si>
    <t>&lt;paren_dispatch&gt;</t>
  </si>
  <si>
    <t>not</t>
  </si>
  <si>
    <t>&lt;must_be_flag&gt;</t>
  </si>
  <si>
    <t>*</t>
  </si>
  <si>
    <t>&lt;piece_factor&gt;</t>
  </si>
  <si>
    <t>&lt;piece_inner_dispatch&gt;</t>
  </si>
  <si>
    <t>&lt;id_tail&gt;</t>
  </si>
  <si>
    <t>&lt;ret_array&gt;</t>
  </si>
  <si>
    <t>&lt;array_accessor&gt;</t>
  </si>
  <si>
    <t>&lt;call_tailopt&gt;</t>
  </si>
  <si>
    <t>&lt;accessor_tail&gt;</t>
  </si>
  <si>
    <t>&lt;flavor&gt;</t>
  </si>
  <si>
    <t>&lt;flavor_tail&gt;</t>
  </si>
  <si>
    <t>&lt;notation_val&gt;</t>
  </si>
  <si>
    <t>&lt;value_tail&gt;</t>
  </si>
  <si>
    <t>&lt;array_element&gt;</t>
  </si>
  <si>
    <t>&lt;array_or_table&gt;</t>
  </si>
  <si>
    <t>&lt;element_value_tail&gt;</t>
  </si>
  <si>
    <t>sip_lit</t>
  </si>
  <si>
    <t>flag_lit</t>
  </si>
  <si>
    <t>chars_lit</t>
  </si>
  <si>
    <t>&lt;array_element_id&gt;</t>
  </si>
  <si>
    <t>rand</t>
  </si>
  <si>
    <t>tosip</t>
  </si>
  <si>
    <t>matches</t>
  </si>
  <si>
    <t>&lt;strict_datas_expr&gt;</t>
  </si>
  <si>
    <t>toflag</t>
  </si>
  <si>
    <t>append</t>
  </si>
  <si>
    <t>sort</t>
  </si>
  <si>
    <t>reverse</t>
  </si>
  <si>
    <t>remove</t>
  </si>
  <si>
    <t>bill</t>
  </si>
  <si>
    <t>&lt;strict_chars_expr&gt;</t>
  </si>
  <si>
    <t>take</t>
  </si>
  <si>
    <t>copy</t>
  </si>
  <si>
    <t>cut</t>
  </si>
  <si>
    <t>&lt;strict_sip_expr&gt;</t>
  </si>
  <si>
    <t>tochars</t>
  </si>
  <si>
    <t>&lt;strict_chars_factor&gt;</t>
  </si>
  <si>
    <t>&lt;strict_chars_add_tail&gt;</t>
  </si>
  <si>
    <t>+</t>
  </si>
  <si>
    <t>&lt;strict_sip_term&gt;</t>
  </si>
  <si>
    <t>&lt;strict_sip_add_tail&gt;</t>
  </si>
  <si>
    <t>&lt;strict_sip_factor&gt;</t>
  </si>
  <si>
    <t>&lt;strict_sip_mult_tail&gt;</t>
  </si>
  <si>
    <t>&lt;field_assignments&gt;</t>
  </si>
  <si>
    <t>&lt;table_accessor&gt;</t>
  </si>
  <si>
    <t>&lt;piece_bridge_recurse&gt;</t>
  </si>
  <si>
    <t>&lt;piece_close_recurse&gt;</t>
  </si>
  <si>
    <t>&lt;piece_term&gt;</t>
  </si>
  <si>
    <t>==</t>
  </si>
  <si>
    <t>&lt;piece_expr&gt;</t>
  </si>
  <si>
    <t>and</t>
  </si>
  <si>
    <t>or</t>
  </si>
  <si>
    <t>&lt;piece_trap_gate&gt;</t>
  </si>
  <si>
    <t>&lt;sip_trap_gate&gt;</t>
  </si>
  <si>
    <t>&lt;chars_trap_gate&gt;</t>
  </si>
  <si>
    <t>&lt;flag_after_paren&gt;</t>
  </si>
  <si>
    <t>&lt;sip_factor&gt;</t>
  </si>
  <si>
    <t>&lt;sip_inner_dispatch&gt;</t>
  </si>
  <si>
    <t>&lt;sip_bridge_recurse&gt;</t>
  </si>
  <si>
    <t>&lt;sip_close_recurse&gt;</t>
  </si>
  <si>
    <t>&lt;sip_term&gt;</t>
  </si>
  <si>
    <t>&lt;sip_expr&gt;</t>
  </si>
  <si>
    <t>&lt;chars_factor&gt;</t>
  </si>
  <si>
    <t>&lt;chars_inner_dispatch&gt;</t>
  </si>
  <si>
    <t>&lt;chars_bridge_recurse&gt;</t>
  </si>
  <si>
    <t>&lt;chars_close_recurse&gt;</t>
  </si>
  <si>
    <t>&lt;chars_expr&gt;</t>
  </si>
  <si>
    <t>&lt;univ_factor&gt;</t>
  </si>
  <si>
    <t>&lt;univ_term&gt;</t>
  </si>
  <si>
    <t>&lt;univ_expr&gt;</t>
  </si>
  <si>
    <t>&lt;piece_bridge&gt;</t>
  </si>
  <si>
    <t>&lt;sip_bridge&gt;</t>
  </si>
  <si>
    <t>&lt;chars_bridge&gt;</t>
  </si>
  <si>
    <t>&lt;flag_closure&gt;</t>
  </si>
  <si>
    <t>&lt;univ_bridge&gt;</t>
  </si>
  <si>
    <t>&lt;univ_closure&gt;</t>
  </si>
  <si>
    <t>&lt;dimensions&gt;</t>
  </si>
  <si>
    <t>&lt;array_declare&gt;</t>
  </si>
  <si>
    <t>&lt;dimensions_tail&gt;</t>
  </si>
  <si>
    <t>&lt;array_init&gt;</t>
  </si>
  <si>
    <t>&lt;array_declare_tail&gt;</t>
  </si>
  <si>
    <t>&lt;chars_id&gt;</t>
  </si>
  <si>
    <t>&lt;chars_ingredient_init&gt;</t>
  </si>
  <si>
    <t>&lt;chars_id_tail&gt;</t>
  </si>
  <si>
    <t>&lt;sip_id&gt;</t>
  </si>
  <si>
    <t>&lt;sip_ingredient_init&gt;</t>
  </si>
  <si>
    <t>&lt;sip_id_tail&gt;</t>
  </si>
  <si>
    <t>&lt;flag_id&gt;</t>
  </si>
  <si>
    <t>&lt;flag_ingredient_init&gt;</t>
  </si>
  <si>
    <t>&lt;flag_id_tail&gt;</t>
  </si>
  <si>
    <t>&lt;strict_flag_expr&gt;</t>
  </si>
  <si>
    <t>&lt;strict_flag_term&gt;</t>
  </si>
  <si>
    <t>&lt;strict_flag_or_tail&gt;</t>
  </si>
  <si>
    <t>&lt;strict_flag_equality&gt;</t>
  </si>
  <si>
    <t>&lt;strict_flag_and_tail&gt;</t>
  </si>
  <si>
    <t>&lt;strict_flag_factor&gt;</t>
  </si>
  <si>
    <t>&lt;strict_flag_eq_tail&gt;</t>
  </si>
  <si>
    <t>&lt;strict_id_master_tail&gt;</t>
  </si>
  <si>
    <t>&lt;strict_flag_paren_entry&gt;</t>
  </si>
  <si>
    <t>&lt;strict_piece_gate&gt;</t>
  </si>
  <si>
    <t>&lt;strict_sip_gate&gt;</t>
  </si>
  <si>
    <t>&lt;strict_chars_gate&gt;</t>
  </si>
  <si>
    <t>&lt;strict_forced_gate&gt;</t>
  </si>
  <si>
    <t>&lt;comparable_expr&gt;</t>
  </si>
  <si>
    <t>&lt;comparable_term&gt;</t>
  </si>
  <si>
    <t>&lt;comparable_add_tail&gt;</t>
  </si>
  <si>
    <t>&lt;comparable_factor&gt;</t>
  </si>
  <si>
    <t>&lt;comparable_mult_tail&gt;</t>
  </si>
  <si>
    <t>&lt;strict_paren_piece_bridge&gt;</t>
  </si>
  <si>
    <t>&lt;strict_paren_sip_bridge&gt;</t>
  </si>
  <si>
    <t>&lt;strict_paren_chars_bridge&gt;</t>
  </si>
  <si>
    <t>&lt;strict_paren_flag_bridge&gt;</t>
  </si>
  <si>
    <t>&lt;strict_paren_univ_bridge&gt;</t>
  </si>
  <si>
    <t>table</t>
  </si>
  <si>
    <t>&lt;required_decl&gt;</t>
  </si>
  <si>
    <t>&lt;decl_head&gt;</t>
  </si>
  <si>
    <t>&lt;required_decl_tail&gt;</t>
  </si>
  <si>
    <t>&lt;primitive_types_dims&gt;</t>
  </si>
  <si>
    <t>&lt;table_declare&gt;</t>
  </si>
  <si>
    <t>&lt;table_init&gt;</t>
  </si>
  <si>
    <t>&lt;table_declare_tail&gt;</t>
  </si>
  <si>
    <t>&lt;strict_table_expr&gt;</t>
  </si>
  <si>
    <t>prepare</t>
  </si>
  <si>
    <t>&lt;serve_type&gt;</t>
  </si>
  <si>
    <t>&lt;spice&gt;</t>
  </si>
  <si>
    <t>&lt;spice_tail&gt;</t>
  </si>
  <si>
    <t>&lt;local_decl&gt;</t>
  </si>
  <si>
    <t>&lt;statements&gt;</t>
  </si>
  <si>
    <t>&lt;local_id_tail&gt;</t>
  </si>
  <si>
    <t>&lt;]_tail&gt;</t>
  </si>
  <si>
    <t>&lt;assignment_op&gt;</t>
  </si>
  <si>
    <t>&lt;tail1&gt;</t>
  </si>
  <si>
    <t>&lt;id_statements&gt;</t>
  </si>
  <si>
    <t>&lt;built-in_rec_call&gt;</t>
  </si>
  <si>
    <t>&lt;conditional_st&gt;</t>
  </si>
  <si>
    <t>&lt;looping_st&gt;</t>
  </si>
  <si>
    <t>&lt;jump_serve&gt;</t>
  </si>
  <si>
    <t>&lt;id_statements_ext&gt;</t>
  </si>
  <si>
    <t>&lt;assignment_st&gt;</t>
  </si>
  <si>
    <t>&lt;call_tail&gt;</t>
  </si>
  <si>
    <t>&lt;built-in_rec&gt;</t>
  </si>
  <si>
    <t>&lt;cond_check&gt;</t>
  </si>
  <si>
    <t>&lt;cond_menu&gt;</t>
  </si>
  <si>
    <t>check</t>
  </si>
  <si>
    <t>&lt;alt_clause&gt;</t>
  </si>
  <si>
    <t>&lt;instead_clause&gt;</t>
  </si>
  <si>
    <t>alt</t>
  </si>
  <si>
    <t>instead</t>
  </si>
  <si>
    <t>menu</t>
  </si>
  <si>
    <t>&lt;menu_platter&gt;</t>
  </si>
  <si>
    <t>&lt;choice_clause&gt;</t>
  </si>
  <si>
    <t>&lt;usual_clause&gt;</t>
  </si>
  <si>
    <t>choice</t>
  </si>
  <si>
    <t>&lt;choice_val&gt;</t>
  </si>
  <si>
    <t>&lt;statements_menu&gt;</t>
  </si>
  <si>
    <t>&lt;id_statements_menu&gt;</t>
  </si>
  <si>
    <t>&lt;conditional_st_menu&gt;</t>
  </si>
  <si>
    <t>&lt;jump_stop&gt;</t>
  </si>
  <si>
    <t>&lt;cond_check_menu&gt;</t>
  </si>
  <si>
    <t>&lt;menu_check_platter&gt;</t>
  </si>
  <si>
    <t>&lt;local_decl_menu&gt;</t>
  </si>
  <si>
    <t>&lt;local_id_tail_menu&gt;</t>
  </si>
  <si>
    <t>&lt;]_tail_menu&gt;</t>
  </si>
  <si>
    <t>&lt;loop_pass&gt;</t>
  </si>
  <si>
    <t>&lt;loop_repeat&gt;</t>
  </si>
  <si>
    <t>&lt;loop_order&gt;</t>
  </si>
  <si>
    <t>pass</t>
  </si>
  <si>
    <t>&lt;initialization&gt;</t>
  </si>
  <si>
    <t>&lt;loop_platter&gt;</t>
  </si>
  <si>
    <t>&lt;loop_init&gt;</t>
  </si>
  <si>
    <t>&lt;local_decl_loop&gt;</t>
  </si>
  <si>
    <t>&lt;statements_loop&gt;</t>
  </si>
  <si>
    <t>&lt;local_id_tail_loop&gt;</t>
  </si>
  <si>
    <t>&lt;]_tail_loop&gt;</t>
  </si>
  <si>
    <t>&lt;id_statements_loop&gt;</t>
  </si>
  <si>
    <t>&lt;conditional_st_loop&gt;</t>
  </si>
  <si>
    <t>&lt;jump_st&gt;</t>
  </si>
  <si>
    <t>&lt;cond_check_loop&gt;</t>
  </si>
  <si>
    <t>&lt;cond_menu_loop&gt;</t>
  </si>
  <si>
    <t>&lt;alt_clause_loop&gt;</t>
  </si>
  <si>
    <t>&lt;instead_clause_loop&gt;</t>
  </si>
  <si>
    <t>&lt;menu_loop_platter&gt;</t>
  </si>
  <si>
    <t>&lt;choice_clause_loop&gt;</t>
  </si>
  <si>
    <t>&lt;usual_clause_loop&gt;</t>
  </si>
  <si>
    <t>usual</t>
  </si>
  <si>
    <t>&lt;jump_next&gt;</t>
  </si>
  <si>
    <t>next</t>
  </si>
  <si>
    <t>stop</t>
  </si>
  <si>
    <t>serve</t>
  </si>
  <si>
    <t>repeat</t>
  </si>
  <si>
    <t>order</t>
  </si>
  <si>
    <t>&lt;start_recipe&gt;</t>
  </si>
  <si>
    <t>&lt;ingredient_decl&gt;</t>
  </si>
  <si>
    <t>&lt;array_declaration&gt;</t>
  </si>
  <si>
    <t>&lt;table_declaration&gt;</t>
  </si>
  <si>
    <t>&lt;data_type&gt;</t>
  </si>
  <si>
    <t>&lt;ingredient_id&gt;</t>
  </si>
  <si>
    <t>&lt;ingredient_init&gt;</t>
  </si>
  <si>
    <t>&lt;ingredient_id_tail&gt;</t>
  </si>
  <si>
    <t>&lt;expr&gt;</t>
  </si>
  <si>
    <t>&lt;or_expr&gt;</t>
  </si>
  <si>
    <t>&lt;eq_expr&gt;</t>
  </si>
  <si>
    <t>&lt;eq_tail&gt;</t>
  </si>
  <si>
    <t>&lt;add_expr&gt;</t>
  </si>
  <si>
    <t>&lt;rel_tail&gt;</t>
  </si>
  <si>
    <t>&lt;mult_expr&gt;</t>
  </si>
  <si>
    <t>&lt;add_tail&gt;</t>
  </si>
  <si>
    <t>&lt;unary_expr&gt;</t>
  </si>
  <si>
    <t>&lt;mult_tail&gt;</t>
  </si>
  <si>
    <t>&lt;primary_val&gt;</t>
  </si>
  <si>
    <t>&lt;table_accessing&gt;</t>
  </si>
  <si>
    <t>&lt;array_accessing&gt;</t>
  </si>
  <si>
    <t>&lt;recipe_call&gt;</t>
  </si>
  <si>
    <t>&lt;array_notation&gt;</t>
  </si>
  <si>
    <t>&lt;table_notation&gt;</t>
  </si>
  <si>
    <t>&lt;array_initialization&gt;</t>
  </si>
  <si>
    <t>&lt;array_value&gt;</t>
  </si>
  <si>
    <t>&lt;elements_value&gt;</t>
  </si>
  <si>
    <t>&lt;array_accessor_tail&gt;</t>
  </si>
  <si>
    <t>&lt;table_initialization&gt;</t>
  </si>
  <si>
    <t>&lt;table_value&gt;</t>
  </si>
  <si>
    <t>&lt;assignment_st_eq&gt;</t>
  </si>
  <si>
    <t>&lt;spice_list&gt;</t>
  </si>
  <si>
    <t>&lt;recipe_platter&gt;</t>
  </si>
  <si>
    <t>&lt;spice_ingr&gt;</t>
  </si>
  <si>
    <t>&lt;spice_array&gt;</t>
  </si>
  <si>
    <t>&lt;spice_table&gt;</t>
  </si>
  <si>
    <t>&lt;recipe_call_st&gt;</t>
  </si>
  <si>
    <t>&lt;nonrecipe_platter&gt;</t>
  </si>
  <si>
    <t>&lt;flag_val&gt;</t>
  </si>
  <si>
    <t>&lt;chars_val&gt;</t>
  </si>
  <si>
    <t>&lt;piece_val&gt;</t>
  </si>
  <si>
    <t>&lt;sip_val&gt;</t>
  </si>
  <si>
    <t>&lt;flag_op_flag&gt;</t>
  </si>
  <si>
    <t>&lt;flag_op_chars&gt;</t>
  </si>
  <si>
    <t>&lt;flag_op_num&gt;</t>
  </si>
  <si>
    <t>&lt;flag_op_all&gt;</t>
  </si>
  <si>
    <t>&lt;chars_op&gt;</t>
  </si>
  <si>
    <t>&lt;piece_op_piece&gt;</t>
  </si>
  <si>
    <t>&lt;sip_op_sip&gt;</t>
  </si>
  <si>
    <t>&lt;sip_op_piece&gt;</t>
  </si>
  <si>
    <t>&lt;num_val&gt;</t>
  </si>
  <si>
    <t>&lt;decl_data_type&gt;</t>
  </si>
  <si>
    <t>&lt;array_table_init&gt;</t>
  </si>
  <si>
    <t>&lt;...&gt;</t>
  </si>
  <si>
    <t>&lt;st_recipe&gt;</t>
  </si>
  <si>
    <t>&lt;statements_when_in_loop&gt;</t>
  </si>
  <si>
    <t>&lt;st_choice_n_usual&gt;</t>
  </si>
  <si>
    <t>&lt;st_for_check_in_loop&gt;</t>
  </si>
  <si>
    <t>&lt;st_for_check&gt;</t>
  </si>
  <si>
    <t>&lt;st_for_choice_in_loop&gt;</t>
  </si>
  <si>
    <t>&lt;st_for_choice&gt;</t>
  </si>
  <si>
    <t>&lt;st_for_usual_in_loop&gt;</t>
  </si>
  <si>
    <t>&lt;st_for_usual&gt;</t>
  </si>
  <si>
    <t>v</t>
  </si>
  <si>
    <t>x</t>
  </si>
  <si>
    <t>{ piece, sip, flag, chars, id, table, prepare }</t>
  </si>
  <si>
    <t>{ piece, sip, flag, chars, id, table, λ }</t>
  </si>
  <si>
    <t>{ piece, sip, flag, chars, λ }</t>
  </si>
  <si>
    <t>{ piece, sip, flag, chars }</t>
  </si>
  <si>
    <t>{ =, λ }</t>
  </si>
  <si>
    <t>{ ,, λ }</t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</si>
  <si>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</si>
  <si>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</si>
  <si>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</si>
  <si>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or, λ }</t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</si>
  <si>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</si>
  <si>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and, λ }</t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</si>
  <si>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</si>
  <si>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==, !=, λ }</t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</si>
  <si>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</si>
  <si>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&gt;, &lt;, &gt;=, &lt;=, λ }</t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</si>
  <si>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</si>
  <si>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+, -, λ }</t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</si>
  <si>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</si>
  <si>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*, /, %, λ }</t>
  </si>
  <si>
    <t>{ (, piece_lit, sip_lit, flag_lit, chars_lit, id, [, append, bill, copy, cut, fact, matches, pow, rand, remove, reverse, search, size, sort, sqrt, take, tochars, topiece, tosip }</t>
  </si>
  <si>
    <t>{ append, bill, copy, cut, fact, matches, pow, rand, remove, reverse, search, size, sort, sqrt, take, tochars, topiece, tosip, id }</t>
  </si>
  <si>
    <t xml:space="preserve">{ append, bill, copy, cut, fact, matches, pow, rand, remove, reverse, search, size, sort, sqrt, take, tochars, topiece, tosip } </t>
  </si>
  <si>
    <t>{ not, (, piece_lit, sip_lit, flag_lit, chars_lit, id, [, append, bill, copy, cut, fact, matches, pow, rand, remove, reverse, search, size, sort, sqrt, take, tochars, topiece, tosip, λ }</t>
  </si>
  <si>
    <t>{ not, (, piece_lit, sip_lit, flag_lit, chars_lit, id, [, append, bill, copy, cut, fact, matches, pow, rand, remove, reverse, search, size, sort, sqrt, take, tochars, topiece, tosip }</t>
  </si>
  <si>
    <t>{ piece, sip, flag, chars, id }</t>
  </si>
  <si>
    <t>{ [, λ }</t>
  </si>
  <si>
    <r>
      <rPr>
        <rFont val="Calibri"/>
        <color theme="1"/>
        <sz val="12.0"/>
      </rPr>
      <t>{ [, id,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</si>
  <si>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[, :, λ }</t>
  </si>
  <si>
    <t>{ [, id, append, bill, copy, cut, fact, matches, pow, rand, remove, reverse, search, size, sort, sqrt, take, tochars, topiece, tosip }</t>
  </si>
  <si>
    <t>{ table }</t>
  </si>
  <si>
    <r>
      <rPr>
        <rFont val="Calibri"/>
        <color theme="1"/>
        <sz val="12.0"/>
      </rPr>
      <t>{ piece, sip, flag, chars, id,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λ }</t>
    </r>
  </si>
  <si>
    <r>
      <rPr>
        <rFont val="Calibri"/>
        <color theme="1"/>
        <sz val="12.0"/>
      </rPr>
      <t>{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</si>
  <si>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id, λ }</t>
  </si>
  <si>
    <r>
      <rPr>
        <rFont val="Calibri"/>
        <color theme="1"/>
        <sz val="12.0"/>
      </rPr>
      <t>{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</si>
  <si>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prepare, λ }</t>
  </si>
  <si>
    <t>{ piece, sip, flag, chars, id, λ }</t>
  </si>
  <si>
    <t xml:space="preserve">{ piece, sip, flag, chars, id } </t>
  </si>
  <si>
    <t>{ id, append, bill, copy, cut, fact, matches, pow, rand, remove, reverse, search, size, sort, sqrt, take, tochars, topiece, tosip, check, menu, pass, repeat, order, next, stop, serve, λ }</t>
  </si>
  <si>
    <t>{ check, menu }</t>
  </si>
  <si>
    <t>{ pass, repeat, order }</t>
  </si>
  <si>
    <t>{ next, stop, serve }</t>
  </si>
  <si>
    <t>{ next }</t>
  </si>
  <si>
    <t>{ stop }</t>
  </si>
  <si>
    <t>{ serve }</t>
  </si>
  <si>
    <t>{ check }</t>
  </si>
  <si>
    <t>{ alt, λ }</t>
  </si>
  <si>
    <t>{ instead, λ }</t>
  </si>
  <si>
    <t>{ menu }</t>
  </si>
  <si>
    <t>{ choice, λ }</t>
  </si>
  <si>
    <t>{ usual, λ }</t>
  </si>
  <si>
    <t>{ pass }</t>
  </si>
  <si>
    <t>{ repeat }</t>
  </si>
  <si>
    <t>{ order }</t>
  </si>
  <si>
    <t>{ piece }</t>
  </si>
  <si>
    <r>
      <rPr>
        <rFont val="Calibri"/>
        <b val="0"/>
        <color theme="1"/>
        <sz val="12.0"/>
      </rPr>
      <t xml:space="preserve">{ </t>
    </r>
    <r>
      <rPr>
        <rFont val="Calibri"/>
        <b/>
        <color theme="1"/>
        <sz val="12.0"/>
      </rPr>
      <t>FIRST(&lt;global_decl&gt;)</t>
    </r>
    <r>
      <rPr>
        <rFont val="Calibri"/>
        <b val="0"/>
        <color theme="1"/>
        <sz val="12.0"/>
      </rPr>
      <t xml:space="preserve"> }</t>
    </r>
  </si>
  <si>
    <r>
      <rPr>
        <rFont val="Calibri"/>
        <b val="0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FIRST(&lt;recipe_decl&gt;)</t>
    </r>
    <r>
      <rPr>
        <rFont val="Calibri"/>
        <b val="0"/>
        <color theme="1"/>
        <sz val="12.0"/>
      </rPr>
      <t xml:space="preserve"> }</t>
    </r>
  </si>
  <si>
    <r>
      <rPr>
        <rFont val="Calibri"/>
        <b val="0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 xml:space="preserve">prepare, λ </t>
    </r>
    <r>
      <rPr>
        <rFont val="Calibri"/>
        <b val="0"/>
        <color theme="1"/>
        <sz val="12.0"/>
      </rPr>
      <t>}</t>
    </r>
  </si>
  <si>
    <r>
      <rPr>
        <rFont val="Calibri"/>
        <b val="0"/>
        <color theme="1"/>
        <sz val="12.0"/>
      </rPr>
      <t xml:space="preserve">{ piece, sip, flag, chars, id, table, prepare, </t>
    </r>
    <r>
      <rPr>
        <rFont val="Calibri"/>
        <b/>
        <color theme="1"/>
        <sz val="12.0"/>
      </rPr>
      <t>FIRST(&lt;start_recipe&gt;)</t>
    </r>
    <r>
      <rPr>
        <rFont val="Calibri"/>
        <b val="0"/>
        <color theme="1"/>
        <sz val="12.0"/>
      </rPr>
      <t xml:space="preserve"> }</t>
    </r>
  </si>
  <si>
    <t>AMBIGUOUS</t>
  </si>
  <si>
    <r>
      <rPr>
        <rFont val="Calibri"/>
        <b val="0"/>
        <color theme="1"/>
        <sz val="12.0"/>
      </rPr>
      <t xml:space="preserve">{ piece, sip, flag, chars, id, table, prepare, </t>
    </r>
    <r>
      <rPr>
        <rFont val="Calibri"/>
        <b/>
        <color theme="1"/>
        <sz val="12.0"/>
      </rPr>
      <t xml:space="preserve">piece </t>
    </r>
    <r>
      <rPr>
        <rFont val="Calibri"/>
        <b val="0"/>
        <color theme="1"/>
        <sz val="12.0"/>
      </rPr>
      <t xml:space="preserve">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</si>
  <si>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FIRST(&lt;ingredient_decl&gt;)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FIRST(&lt;array_declaration&gt;)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FIRST(&lt;table_prototype&gt;)</t>
    </r>
    <r>
      <rPr>
        <rFont val="Calibri"/>
        <color theme="1"/>
        <sz val="12.0"/>
      </rPr>
      <t xml:space="preserve">, 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</si>
  <si>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piece, sip, flag, chars, λ,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FIRST(&lt;array_declaration&gt;)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FIRST(&lt;table_prototype&gt;)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</si>
  <si>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>{ piece, sip, flag, chars,</t>
    </r>
    <r>
      <rPr>
        <rFont val="Calibri"/>
        <b/>
        <color theme="1"/>
        <sz val="12.0"/>
      </rPr>
      <t xml:space="preserve"> FIRST(&lt;array_declaration&gt;)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FIRST(&lt;table_prototype&gt;)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</si>
  <si>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</t>
    </r>
    <r>
      <rPr>
        <rFont val="Calibri"/>
        <b/>
        <color theme="1"/>
        <sz val="12.0"/>
      </rPr>
      <t>piece, sip, flag, chars, id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FIRST(&lt;table_prototype&gt;)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</si>
  <si>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id, </t>
    </r>
    <r>
      <rPr>
        <rFont val="Calibri"/>
        <b/>
        <color theme="1"/>
        <sz val="12.0"/>
      </rPr>
      <t>FIRST(&lt;table_prototype&gt;)</t>
    </r>
    <r>
      <rPr>
        <rFont val="Calibri"/>
        <color theme="1"/>
        <sz val="12.0"/>
      </rPr>
      <t xml:space="preserve">, 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</si>
  <si>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id, </t>
    </r>
    <r>
      <rPr>
        <rFont val="Calibri"/>
        <b/>
        <color theme="1"/>
        <sz val="12.0"/>
      </rPr>
      <t>table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</si>
  <si>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</si>
  <si>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id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</si>
  <si>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FIRST(&lt;data_type&gt;)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</si>
  <si>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 xml:space="preserve">FIRST(&lt;or_expr&gt;)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</si>
  <si>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</si>
  <si>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FIRST(&lt;and_expr&gt;)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</si>
  <si>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</si>
  <si>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 xml:space="preserve">FIRST(&lt;eq_expr&gt;)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</si>
  <si>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</si>
  <si>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FIRST(&lt;rel_expr&gt;)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</si>
  <si>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</si>
  <si>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 xml:space="preserve">FIRST(&lt;add_expr&gt;)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</si>
  <si>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</si>
  <si>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FIRST(&lt;mult_expr&gt;)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</si>
  <si>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</si>
  <si>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 xml:space="preserve">FIRST(&lt;unary_expr&gt;)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</si>
  <si>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</si>
  <si>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not, </t>
    </r>
    <r>
      <rPr>
        <rFont val="Calibri"/>
        <b/>
        <color theme="1"/>
        <sz val="12.0"/>
      </rPr>
      <t xml:space="preserve">FIRST(&lt;primary_val&gt;)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</si>
  <si>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not, (, piece_lit, sip_lit, flag_lit, chars_lit,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</si>
  <si>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(, piece_lit, sip_lit, flag_lit, chars_lit, id, </t>
    </r>
    <r>
      <rPr>
        <rFont val="Calibri"/>
        <b/>
        <color theme="1"/>
        <sz val="12.0"/>
      </rPr>
      <t>FIRST(&lt;table_accessing&gt;)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FIRST(&lt;array_accessing&gt;)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FIRST(&lt;recipe_call&gt;)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</si>
  <si>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(, piece_lit, sip_lit, flag_lit, chars_lit, id, </t>
    </r>
    <r>
      <rPr>
        <rFont val="Calibri"/>
        <b/>
        <color theme="1"/>
        <sz val="12.0"/>
      </rPr>
      <t>id, [, append, bill, copy, cut, fact, matches, pow, rand, remove, reverse, search, size, sort, sqrt, take, tochars, topiece, tosip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FIRST(&lt;array_accessing&gt;)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FIRST(&lt;recipe_call&gt;)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</si>
  <si>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(, piece_lit, sip_lit, flag_lit, chars_lit, id, [, append, bill, copy, cut, fact, matches, pow, rand, remove, reverse, search, size, sort, sqrt, take, tochars, topiece, tosip, </t>
    </r>
    <r>
      <rPr>
        <rFont val="Calibri"/>
        <b/>
        <color theme="1"/>
        <sz val="12.0"/>
      </rPr>
      <t>FIRST(&lt;array_accessing&gt;)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FIRST(&lt;recipe_call&gt;)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</si>
  <si>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(, piece_lit, sip_lit, flag_lit, chars_lit, id, [, append, bill, copy, cut, fact, matches, pow, rand, remove, reverse, search, size, sort, sqrt, take, tochars, topiece, tosip, </t>
    </r>
    <r>
      <rPr>
        <rFont val="Calibri"/>
        <b/>
        <color theme="1"/>
        <sz val="12.0"/>
      </rPr>
      <t>[, id, append, bill, copy, cut, fact, matches, pow, rand, remove, reverse, search, size, sort, sqrt, take, tochars, topiece, tosip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FIRST(&lt;recipe_call&gt;)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</si>
  <si>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(, piece_lit, sip_lit, flag_lit, chars_lit, id, [, append, bill, copy, cut, fact, matches, pow, rand, remove, reverse, search, size, sort, sqrt, take, tochars, topiece, tosip, </t>
    </r>
    <r>
      <rPr>
        <rFont val="Calibri"/>
        <b/>
        <color theme="1"/>
        <sz val="12.0"/>
      </rPr>
      <t>FIRST(&lt;recipe_call&gt;)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</si>
  <si>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(, piece_lit, sip_lit, flag_lit, chars_lit, id, [, append, bill, copy, cut, fact, matches, pow, rand, remove, reverse, search, size, sort, sqrt, take, tochars, topiece, tosip, </t>
    </r>
    <r>
      <rPr>
        <rFont val="Calibri"/>
        <b/>
        <color theme="1"/>
        <sz val="12.0"/>
      </rPr>
      <t>append, bill, copy, cut, fact, matches, pow, rand, remove, reverse, search, size, sort, sqrt, take, tochars, topiece, tosip, id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</si>
  <si>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FIRST(&lt;value&gt;)</t>
    </r>
    <r>
      <rPr>
        <rFont val="Calibri"/>
        <color theme="1"/>
        <sz val="12.0"/>
      </rPr>
      <t xml:space="preserve">, λ </t>
    </r>
    <r>
      <rPr>
        <rFont val="Calibri"/>
        <b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</si>
  <si>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FIRST(&lt;array_notation&gt;)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FIRST(&lt;table_notation&gt;)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</si>
  <si>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not, (, piece_lit, sip_lit, flag_lit, chars_lit, id, [, append, bill, copy, cut, fact, matches, pow, rand, remove, reverse, search, size, sort, sqrt, take, tochars, topiece, tosip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FIRST(&lt;array_notation&gt;)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FIRST(&lt;table_notation&gt;)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</si>
  <si>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not, (, piece_lit, sip_lit, flag_lit, chars_lit, id, [, append, bill, copy, cut, fact, matches, pow, rand, remove, reverse, search, size, sort, sqrt, take, tochars, topiece, tosip, </t>
    </r>
    <r>
      <rPr>
        <rFont val="Calibri"/>
        <b/>
        <color theme="1"/>
        <sz val="12.0"/>
      </rPr>
      <t>FIRST(&lt;array_notation&gt;)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FIRST(&lt;table_notation&gt;)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</si>
  <si>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not, (, piece_lit, sip_lit, flag_lit, chars_lit, id, [, append, bill, copy, cut, fact, matches, pow, rand, remove, reverse, search, size, sort, sqrt, take, tochars, topiece, tosip, </t>
    </r>
    <r>
      <rPr>
        <rFont val="Calibri"/>
        <b/>
        <color theme="1"/>
        <sz val="12.0"/>
      </rPr>
      <t>[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FIRST(&lt;table_notation&gt;)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</si>
  <si>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not, (, piece_lit, sip_lit, flag_lit, chars_lit, id, [, append, bill, copy, cut, fact, matches, pow, rand, remove, reverse, search, size, sort, sqrt, take, tochars, topiece, tosip, </t>
    </r>
    <r>
      <rPr>
        <rFont val="Calibri"/>
        <b/>
        <color theme="1"/>
        <sz val="12.0"/>
      </rPr>
      <t>FIRST(&lt;table_notation&gt;)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</si>
  <si>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not, (, piece_lit, sip_lit, flag_lit, chars_lit, id, [, append, bill, copy, cut, fact, matches, pow, rand, remove, reverse, search, size, sort, sqrt, take, tochars, topiece, tosip, </t>
    </r>
    <r>
      <rPr>
        <rFont val="Calibri"/>
        <b/>
        <color theme="1"/>
        <sz val="12.0"/>
      </rPr>
      <t>[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</si>
  <si>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FIRST(&lt;data_type&gt;)</t>
    </r>
    <r>
      <rPr>
        <rFont val="Calibri"/>
        <color theme="1"/>
        <sz val="12.0"/>
      </rPr>
      <t>, id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</si>
  <si>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FIRST(&lt;dimensions&gt;)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</si>
  <si>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FIRST(&lt;array_notation&gt;)</t>
    </r>
    <r>
      <rPr>
        <rFont val="Calibri"/>
        <color theme="1"/>
        <sz val="12.0"/>
      </rPr>
      <t xml:space="preserve">, id, </t>
    </r>
    <r>
      <rPr>
        <rFont val="Calibri"/>
        <b/>
        <color theme="1"/>
        <sz val="12.0"/>
      </rPr>
      <t xml:space="preserve">FIRST(&lt;recipe_call&gt;)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</si>
  <si>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[</t>
    </r>
    <r>
      <rPr>
        <rFont val="Calibri"/>
        <color theme="1"/>
        <sz val="12.0"/>
      </rPr>
      <t xml:space="preserve">, id, </t>
    </r>
    <r>
      <rPr>
        <rFont val="Calibri"/>
        <b/>
        <color theme="1"/>
        <sz val="12.0"/>
      </rPr>
      <t xml:space="preserve">FIRST(&lt;recipe_call&gt;)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</si>
  <si>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[, id, </t>
    </r>
    <r>
      <rPr>
        <rFont val="Calibri"/>
        <b/>
        <color theme="1"/>
        <sz val="12.0"/>
      </rPr>
      <t xml:space="preserve">FIRST(&lt;recipe_call&gt;)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</si>
  <si>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[, id, </t>
    </r>
    <r>
      <rPr>
        <rFont val="Calibri"/>
        <b/>
        <color theme="1"/>
        <sz val="12.0"/>
      </rPr>
      <t xml:space="preserve">append, bill, copy, cut, fact, matches, pow, rand, remove, reverse, search, size, sort, sqrt, take, tochars, topiece, tosip, id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</si>
  <si>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[, id,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</si>
  <si>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FIRST(&lt;array_accessor&gt;)</t>
    </r>
    <r>
      <rPr>
        <rFont val="Calibri"/>
        <color theme="1"/>
        <sz val="12.0"/>
      </rPr>
      <t>, :,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</si>
  <si>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FIRST(&lt;value&gt;)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</si>
  <si>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FIRST(&lt;array_value&gt;)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</si>
  <si>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FIRST(&lt;array_accessor&gt;)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</si>
  <si>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FIRST(&lt;data_type)</t>
    </r>
    <r>
      <rPr>
        <rFont val="Calibri"/>
        <color theme="1"/>
        <sz val="12.0"/>
      </rPr>
      <t>, id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</si>
  <si>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FIRST(&lt;required_decl&gt;)</t>
    </r>
    <r>
      <rPr>
        <rFont val="Calibri"/>
        <color theme="1"/>
        <sz val="12.0"/>
      </rPr>
      <t>,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λ }</t>
    </r>
  </si>
  <si>
    <r>
      <rPr>
        <rFont val="Calibri"/>
        <color theme="1"/>
        <sz val="12.0"/>
      </rPr>
      <t>{ piece, sip, flag, chars, id,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λ }</t>
    </r>
  </si>
  <si>
    <r>
      <rPr>
        <rFont val="Calibri"/>
        <color theme="1"/>
        <sz val="12.0"/>
      </rPr>
      <t xml:space="preserve">{ id, </t>
    </r>
    <r>
      <rPr>
        <rFont val="Calibri"/>
        <b/>
        <color theme="1"/>
        <sz val="12.0"/>
      </rPr>
      <t>FIRST(&lt;table_notation&gt;)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FIRST(&lt;recipe_call&gt;)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</si>
  <si>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id, [, </t>
    </r>
    <r>
      <rPr>
        <rFont val="Calibri"/>
        <b/>
        <color theme="1"/>
        <sz val="12.0"/>
      </rPr>
      <t xml:space="preserve">FIRST(&lt;recipe_call&gt;)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</si>
  <si>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id, [, </t>
    </r>
    <r>
      <rPr>
        <rFont val="Calibri"/>
        <b/>
        <color theme="1"/>
        <sz val="12.0"/>
      </rPr>
      <t xml:space="preserve">append, bill, copy, cut, fact, matches, pow, rand, remove, reverse, search, size, sort, sqrt, take, tochars, topiece, tosip, id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</si>
  <si>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</si>
  <si>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FIRST(&lt;assignment_st_eq&gt;)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</si>
  <si>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 xml:space="preserve">FIRST(&lt;table_value&gt;)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</si>
  <si>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id, [, append, bill, copy, cut, fact, matches, pow, rand, remove, reverse, search, size, sort, sqrt, take, tochars, topiece, tosip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</si>
  <si>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FIRST(&lt;spice&gt;)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</si>
  <si>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FIRST(&lt;spice_ingr&gt;)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FIRST(&lt;spice_array&gt;)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FIRST(&lt;spice_table&gt;)</t>
    </r>
    <r>
      <rPr>
        <rFont val="Calibri"/>
        <color theme="1"/>
        <sz val="12.0"/>
      </rPr>
      <t xml:space="preserve"> } 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</si>
  <si>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piece, sip, flag, chars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FIRST(&lt;spice_array&gt;)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FIRST(&lt;spice_table&gt;)</t>
    </r>
    <r>
      <rPr>
        <rFont val="Calibri"/>
        <color theme="1"/>
        <sz val="12.0"/>
      </rPr>
      <t xml:space="preserve"> } </t>
    </r>
  </si>
  <si>
    <r>
      <rPr>
        <rFont val="Calibri"/>
        <color theme="1"/>
        <sz val="12.0"/>
      </rPr>
      <t xml:space="preserve">{ piece, sip, flag, chars, </t>
    </r>
    <r>
      <rPr>
        <rFont val="Calibri"/>
        <b/>
        <color theme="1"/>
        <sz val="12.0"/>
      </rPr>
      <t>FIRST(&lt;spice_array&gt;)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FIRST(&lt;spice_table&gt;)</t>
    </r>
    <r>
      <rPr>
        <rFont val="Calibri"/>
        <color theme="1"/>
        <sz val="12.0"/>
      </rPr>
      <t xml:space="preserve"> } </t>
    </r>
  </si>
  <si>
    <r>
      <rPr>
        <rFont val="Calibri"/>
        <color theme="1"/>
        <sz val="12.0"/>
      </rPr>
      <t xml:space="preserve">{ piece, sip, flag, chars, </t>
    </r>
    <r>
      <rPr>
        <rFont val="Calibri"/>
        <b/>
        <color theme="1"/>
        <sz val="12.0"/>
      </rPr>
      <t>piece, sip, flag, chars, id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FIRST(&lt;spice_table&gt;)</t>
    </r>
    <r>
      <rPr>
        <rFont val="Calibri"/>
        <color theme="1"/>
        <sz val="12.0"/>
      </rPr>
      <t xml:space="preserve"> } </t>
    </r>
  </si>
  <si>
    <r>
      <rPr>
        <rFont val="Calibri"/>
        <color theme="1"/>
        <sz val="12.0"/>
      </rPr>
      <t xml:space="preserve">{ piece, sip, flag, chars, id, </t>
    </r>
    <r>
      <rPr>
        <rFont val="Calibri"/>
        <b/>
        <color theme="1"/>
        <sz val="12.0"/>
      </rPr>
      <t>FIRST(&lt;spice_table&gt;)</t>
    </r>
    <r>
      <rPr>
        <rFont val="Calibri"/>
        <color theme="1"/>
        <sz val="12.0"/>
      </rPr>
      <t xml:space="preserve"> } </t>
    </r>
  </si>
  <si>
    <r>
      <rPr>
        <rFont val="Calibri"/>
        <color theme="1"/>
        <sz val="12.0"/>
      </rPr>
      <t xml:space="preserve">{ piece, sip, flag, chars, id, </t>
    </r>
    <r>
      <rPr>
        <rFont val="Calibri"/>
        <b/>
        <color theme="1"/>
        <sz val="12.0"/>
      </rPr>
      <t>id</t>
    </r>
    <r>
      <rPr>
        <rFont val="Calibri"/>
        <color theme="1"/>
        <sz val="12.0"/>
      </rPr>
      <t xml:space="preserve"> } 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</si>
  <si>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FIRST(&lt;data_type&gt;)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</si>
  <si>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FIRST(&lt;data_type&gt;)</t>
    </r>
    <r>
      <rPr>
        <rFont val="Calibri"/>
        <color theme="1"/>
        <sz val="12.0"/>
      </rPr>
      <t>, id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</si>
  <si>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FIRST(&lt;ingredient_decl&gt;)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FIRST(&lt;array_declaration&gt;)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</si>
  <si>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piece, sip, flag, chars, λ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FIRST(&lt;array_declaration&gt;)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</si>
  <si>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</t>
    </r>
    <r>
      <rPr>
        <rFont val="Calibri"/>
        <b/>
        <color theme="1"/>
        <sz val="12.0"/>
      </rPr>
      <t>FIRST(&lt;array_declaration&gt;)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</si>
  <si>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</t>
    </r>
    <r>
      <rPr>
        <rFont val="Calibri"/>
        <b/>
        <color theme="1"/>
        <sz val="12.0"/>
      </rPr>
      <t>piece, sip, flag, chars, id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</si>
  <si>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id, </t>
    </r>
    <r>
      <rPr>
        <rFont val="Calibri"/>
        <b/>
        <color theme="1"/>
        <sz val="12.0"/>
      </rPr>
      <t>FIRST(&lt;table_declaration&gt;)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</si>
  <si>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id, </t>
    </r>
    <r>
      <rPr>
        <rFont val="Calibri"/>
        <b/>
        <color theme="1"/>
        <sz val="12.0"/>
      </rPr>
      <t>id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</si>
  <si>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FIRST(&lt;assignment_st&gt;)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FIRST(&lt;recipe_call_st&gt;)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FIRST(&lt;conditional_st&gt;)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FIRST(&lt;looping_st&gt;)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</si>
  <si>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id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FIRST(&lt;recipe_call_st&gt;)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FIRST(&lt;conditional_st&gt;)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FIRST(&lt;looping_st&gt;)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</si>
  <si>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id, </t>
    </r>
    <r>
      <rPr>
        <rFont val="Calibri"/>
        <b/>
        <color theme="1"/>
        <sz val="12.0"/>
      </rPr>
      <t>FIRST(&lt;recipe_call_st&gt;)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FIRST(&lt;conditional_st&gt;)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FIRST(&lt;looping_st&gt;)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</si>
  <si>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id, </t>
    </r>
    <r>
      <rPr>
        <rFont val="Calibri"/>
        <b/>
        <color theme="1"/>
        <sz val="12.0"/>
      </rPr>
      <t>append, bill, copy, cut, fact, matches, pow, rand, remove, reverse, search, size, sort, sqrt, take, tochars, topiece, tosip, id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FIRST(&lt;conditional_st&gt;)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FIRST(&lt;looping_st&gt;)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</si>
  <si>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</t>
    </r>
    <r>
      <rPr>
        <rFont val="Calibri"/>
        <b/>
        <color theme="1"/>
        <sz val="12.0"/>
      </rPr>
      <t>FIRST(&lt;conditional_st&gt;)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FIRST(&lt;looping_st&gt;)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</si>
  <si>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</t>
    </r>
    <r>
      <rPr>
        <rFont val="Calibri"/>
        <b/>
        <color theme="1"/>
        <sz val="12.0"/>
      </rPr>
      <t>check, menu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FIRST(&lt;looping_st&gt;)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</si>
  <si>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</t>
    </r>
    <r>
      <rPr>
        <rFont val="Calibri"/>
        <b/>
        <color theme="1"/>
        <sz val="12.0"/>
      </rPr>
      <t>FIRST(&lt;looping_st&gt;)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</si>
  <si>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</t>
    </r>
    <r>
      <rPr>
        <rFont val="Calibri"/>
        <b/>
        <color theme="1"/>
        <sz val="12.0"/>
      </rPr>
      <t>pass, repeat, order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</si>
  <si>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</t>
    </r>
    <r>
      <rPr>
        <rFont val="Calibri"/>
        <b/>
        <color theme="1"/>
        <sz val="12.0"/>
      </rPr>
      <t>FIRST(&lt;jump_st&gt;)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</si>
  <si>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</t>
    </r>
    <r>
      <rPr>
        <rFont val="Calibri"/>
        <b/>
        <color theme="1"/>
        <sz val="12.0"/>
      </rPr>
      <t>next, stop, serve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</si>
  <si>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FIRST(&lt;built-in_rec&gt;)</t>
    </r>
    <r>
      <rPr>
        <rFont val="Calibri"/>
        <color theme="1"/>
        <sz val="12.0"/>
      </rPr>
      <t>, id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</si>
  <si>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 xml:space="preserve">FIRST(&lt;recipe_call&gt;) </t>
    </r>
    <r>
      <rPr>
        <rFont val="Calibri"/>
        <color theme="1"/>
        <sz val="12.0"/>
      </rPr>
      <t>}</t>
    </r>
  </si>
  <si>
    <t>{ }</t>
  </si>
  <si>
    <t>{ prepare, piece }</t>
  </si>
  <si>
    <t>{ piece, sip, flag, chars, id, table, prepare, alt, instead, append, bill, copy, cut, fact, matches, pow, rand, remove, reverse, search, size, sort, sqrt, take, tochars, topiece, tosip, check, menu, pass, repeat, next, stop, serve, }, choice, usual, order }</t>
  </si>
  <si>
    <r>
      <rPr>
        <rFont val="Calibri"/>
        <color theme="1"/>
        <sz val="12.0"/>
      </rPr>
      <t>{ of, [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</si>
  <si>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,, ; }</t>
  </si>
  <si>
    <t>{ ,, ), ], ;, : }</t>
  </si>
  <si>
    <t>{ or, ,, ), ], ;, :  }</t>
  </si>
  <si>
    <r>
      <rPr>
        <rFont val="Calibri"/>
        <color theme="1"/>
        <sz val="12.0"/>
      </rPr>
      <t>{ and, or, ,, ), ], ;, 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</si>
  <si>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or, ,, ), ], ;, : }</t>
  </si>
  <si>
    <t>{ ==, !=, and, or, ,, ), ], ;, : }</t>
  </si>
  <si>
    <r>
      <rPr>
        <rFont val="Calibri"/>
        <color theme="1"/>
        <sz val="12.0"/>
      </rPr>
      <t>{ and, or, ,, ), ], ;, 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</si>
  <si>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&gt;, &lt;, &gt;=, &lt;=, ==, !=, and, or, ,, ), ], ;, : }</t>
  </si>
  <si>
    <t>{ +, -, &gt;, &lt;, &gt;=, &lt;=, ==, !=, and, or, ,, ), ], ;, : }</t>
  </si>
  <si>
    <t>{ *, /, %, +, -, &gt;, &lt;, &gt;=, &lt;=, ==, !=, and, or, ,, ), ], ;, : }</t>
  </si>
  <si>
    <t>{ *, /, %, +, -, &gt;, &lt;, &gt;=, &lt;=, ==, !=, and, or, ,, ), ], :, [, ; }</t>
  </si>
  <si>
    <t>{ ,, ), ], , ; }</t>
  </si>
  <si>
    <t>{ piece, sip, flag, chars, id, table, prepare, append, bill, copy, cut, fact, matches, pow, rand, remove, reverse, search, size, sort, sqrt, take, tochars, topiece, tosip, check, menu, pass, repeat, order, next, stop, serve, piece, alt, instead, }, choice, usual }</t>
  </si>
  <si>
    <t>{ of }</t>
  </si>
  <si>
    <t>{ ,, ;, [ }</t>
  </si>
  <si>
    <t>{ ,, ), ], ;, [ }</t>
  </si>
  <si>
    <r>
      <rPr>
        <rFont val="Calibri"/>
        <color theme="1"/>
        <sz val="12.0"/>
      </rPr>
      <t>{ ,, ;, [, :,  =, +=, -=, *=, /=, %=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</si>
  <si>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] }</t>
  </si>
  <si>
    <t>{ ,, ;, [, :,  =, +=, -=, *=, /=, %= , *, /, %, +, -, &gt;, &lt;, &gt;=, &lt;=, ==, !=, and, or, ,, ), ] }</t>
  </si>
  <si>
    <r>
      <rPr>
        <rFont val="Calibri"/>
        <color theme="1"/>
        <sz val="12.0"/>
      </rPr>
      <t>{ piece, sip, flag, chars, id, table, prepare, append, bill, copy, cut, fact, matches, pow, rand, remove, reverse, search, size, sort, sqrt, take, tochars, topiece, tosip, check, menu, pass, repeat, order, next, stop, serve, alt, instead, }, choice, usual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</si>
  <si>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,, ;, : }</t>
  </si>
  <si>
    <t>{ id, ] }</t>
  </si>
  <si>
    <t>{ id, append, bill, copy, cut, fact, matches, pow, rand, remove, reverse, search, size, sort, sqrt, take, tochars, topiece, tosip, check, menu, pass, repeat, order, next, stop, serve, prepare, piece, alt, instead, }, choice, usual }</t>
  </si>
  <si>
    <t>{ serve, }, choice, usual }</t>
  </si>
  <si>
    <t>{ id, append, bill, copy, cut, fact, matches, pow, rand, remove, reverse, search, size, sort, sqrt, take, tochars, topiece, tosip, check, menu, pass, repeat, order, next, stop, serve, }, choice, usual, not, (, piece_lit, sip_lit, flag_lit, chars_lit, [ }</t>
  </si>
  <si>
    <t>{ id, append, bill, copy, cut, fact, matches, pow, rand, remove, reverse, search, size, sort, sqrt, take, tochars, topiece, tosip, check, menu, pass, repeat, order, next, stop, serve, }, choice, usual }</t>
  </si>
  <si>
    <t>{ alt, instead, id, append, bill, copy, cut, fact, matches, pow, rand, remove, reverse, search, size, sort, sqrt, take, tochars, topiece, tosip, check, menu, pass, repeat, next, stop, serve, }, choice, usual, order }</t>
  </si>
  <si>
    <t>{ instead, id, append, bill, copy, cut, fact, matches, pow, rand, remove, reverse, search, size, sort, sqrt, take, tochars, topiece, tosip, check, menu, pass, repeat, order, next, stop, serve, }, choice, usual }</t>
  </si>
  <si>
    <t>{ usual, } }</t>
  </si>
  <si>
    <r>
      <rPr>
        <rFont val="Calibri"/>
        <color theme="1"/>
        <sz val="12.0"/>
      </rPr>
      <t xml:space="preserve">One at a time. Resolve </t>
    </r>
    <r>
      <rPr>
        <rFont val="Calibri"/>
        <b/>
        <color theme="1"/>
        <sz val="12.0"/>
      </rPr>
      <t>FIRST</t>
    </r>
    <r>
      <rPr>
        <rFont val="Calibri"/>
        <color theme="1"/>
        <sz val="12.0"/>
      </rPr>
      <t xml:space="preserve">s then </t>
    </r>
    <r>
      <rPr>
        <rFont val="Calibri"/>
        <b/>
        <color theme="1"/>
        <sz val="12.0"/>
      </rPr>
      <t>FOLLOW</t>
    </r>
    <r>
      <rPr>
        <rFont val="Calibri"/>
        <color theme="1"/>
        <sz val="12.0"/>
      </rPr>
      <t>.</t>
    </r>
  </si>
  <si>
    <t xml:space="preserve">{ </t>
  </si>
  <si>
    <r>
      <rPr>
        <rFont val="Calibri"/>
        <color theme="1"/>
        <sz val="12.0"/>
      </rPr>
      <t xml:space="preserve">{ 1: </t>
    </r>
    <r>
      <rPr>
        <rFont val="Calibri"/>
        <b/>
        <color theme="1"/>
        <sz val="12.0"/>
      </rPr>
      <t xml:space="preserve">FIRST(&lt;recipe_decl&gt;)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</si>
  <si>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prepare, </t>
    </r>
    <r>
      <rPr>
        <rFont val="Calibri"/>
        <b/>
        <color theme="1"/>
        <sz val="12.0"/>
      </rPr>
      <t xml:space="preserve">FIRST(&lt;start_recipe&gt;)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</si>
  <si>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2: </t>
    </r>
    <r>
      <rPr>
        <rFont val="Calibri"/>
        <b/>
        <color theme="1"/>
        <sz val="12.0"/>
      </rPr>
      <t>FIRST(&lt;global_decl&gt;)</t>
    </r>
    <r>
      <rPr>
        <rFont val="Calibri"/>
        <color theme="1"/>
        <sz val="12.0"/>
      </rPr>
      <t xml:space="preserve">, 141: </t>
    </r>
    <r>
      <rPr>
        <rFont val="Calibri"/>
        <b/>
        <color theme="1"/>
        <sz val="12.0"/>
      </rPr>
      <t xml:space="preserve">FIRST(&lt;local_decl&gt;)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</si>
  <si>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λ, </t>
    </r>
    <r>
      <rPr>
        <rFont val="Calibri"/>
        <b/>
        <color theme="1"/>
        <sz val="12.0"/>
      </rPr>
      <t xml:space="preserve">FIRST(&lt;local_decl&gt;)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</si>
  <si>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FOLLOW(&lt;global_decl&gt;)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FIRST(&lt;local_decl&gt;)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</si>
  <si>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prepare, </t>
    </r>
    <r>
      <rPr>
        <rFont val="Calibri"/>
        <b/>
        <color theme="1"/>
        <sz val="12.0"/>
      </rPr>
      <t xml:space="preserve">FIRST(&lt;local_decl&gt;)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</si>
  <si>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prepare, </t>
    </r>
    <r>
      <rPr>
        <rFont val="Calibri"/>
        <b/>
        <color theme="1"/>
        <sz val="12.0"/>
      </rPr>
      <t xml:space="preserve">FOLLOW(&lt;local_decl&gt;)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</si>
  <si>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7: of, 83: </t>
    </r>
    <r>
      <rPr>
        <rFont val="Calibri"/>
        <b/>
        <color theme="1"/>
        <sz val="12.0"/>
      </rPr>
      <t>FIRST(&lt;dimensions&gt;)</t>
    </r>
    <r>
      <rPr>
        <rFont val="Calibri"/>
        <color theme="1"/>
        <sz val="12.0"/>
      </rPr>
      <t xml:space="preserve">, 109: </t>
    </r>
    <r>
      <rPr>
        <rFont val="Calibri"/>
        <b/>
        <color theme="1"/>
        <sz val="12.0"/>
      </rPr>
      <t xml:space="preserve">FIRST(&lt;dimensions_tail&gt;)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</si>
  <si>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of, [, </t>
    </r>
    <r>
      <rPr>
        <rFont val="Calibri"/>
        <b/>
        <color theme="1"/>
        <sz val="12.0"/>
      </rPr>
      <t xml:space="preserve">FIRST(&lt;dimensions_tail&gt;)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</si>
  <si>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of, [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</si>
  <si>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7: ; }</t>
  </si>
  <si>
    <r>
      <rPr>
        <rFont val="Calibri"/>
        <color theme="1"/>
        <sz val="12.0"/>
      </rPr>
      <t xml:space="preserve">{ 13: </t>
    </r>
    <r>
      <rPr>
        <rFont val="Calibri"/>
        <b/>
        <color theme="1"/>
        <sz val="12.0"/>
      </rPr>
      <t>FIRST(&lt;ingredient_id_tail&gt;)</t>
    </r>
    <r>
      <rPr>
        <rFont val="Calibri"/>
        <color theme="1"/>
        <sz val="12.0"/>
      </rPr>
      <t xml:space="preserve">, 16: </t>
    </r>
    <r>
      <rPr>
        <rFont val="Calibri"/>
        <b/>
        <color theme="1"/>
        <sz val="12.0"/>
      </rPr>
      <t>FIRST(&lt;ingredient_id_tail&gt;)</t>
    </r>
    <r>
      <rPr>
        <rFont val="Calibri"/>
        <color theme="1"/>
        <sz val="12.0"/>
      </rPr>
      <t>, 182: ; }</t>
    </r>
  </si>
  <si>
    <r>
      <rPr>
        <rFont val="Calibri"/>
        <color theme="1"/>
        <sz val="12.0"/>
      </rPr>
      <t xml:space="preserve">{ ,, λ, </t>
    </r>
    <r>
      <rPr>
        <rFont val="Calibri"/>
        <b/>
        <color theme="1"/>
        <sz val="12.0"/>
      </rPr>
      <t>FIRST(&lt;ingredient_id_tail&gt;)</t>
    </r>
    <r>
      <rPr>
        <rFont val="Calibri"/>
        <color theme="1"/>
        <sz val="12.0"/>
      </rPr>
      <t>, ; 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</si>
  <si>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FOLLOW(&lt;ingredient_id&gt;)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FIRST(&lt;ingredient_id_tail&gt;)</t>
    </r>
    <r>
      <rPr>
        <rFont val="Calibri"/>
        <color theme="1"/>
        <sz val="12.0"/>
      </rPr>
      <t>, ; 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</si>
  <si>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FIRST(&lt;ingredient_id_tail&gt;)</t>
    </r>
    <r>
      <rPr>
        <rFont val="Calibri"/>
        <color theme="1"/>
        <sz val="12.0"/>
      </rPr>
      <t>, ; }</t>
    </r>
  </si>
  <si>
    <r>
      <rPr>
        <rFont val="Calibri"/>
        <color theme="1"/>
        <sz val="12.0"/>
      </rPr>
      <t xml:space="preserve">{ 13: </t>
    </r>
    <r>
      <rPr>
        <rFont val="Calibri"/>
        <b/>
        <color theme="1"/>
        <sz val="12.0"/>
      </rPr>
      <t xml:space="preserve">FOLLOW(&lt;ingredient_id&gt;)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</si>
  <si>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14: </t>
    </r>
    <r>
      <rPr>
        <rFont val="Calibri"/>
        <b/>
        <color theme="1"/>
        <sz val="12.0"/>
      </rPr>
      <t>FOLLOW(&lt;ingredient_init&gt;)</t>
    </r>
    <r>
      <rPr>
        <rFont val="Calibri"/>
        <color theme="1"/>
        <sz val="12.0"/>
      </rPr>
      <t xml:space="preserve">, 46: ), 78: </t>
    </r>
    <r>
      <rPr>
        <rFont val="Calibri"/>
        <b/>
        <color theme="1"/>
        <sz val="12.0"/>
      </rPr>
      <t>FOLLOW(&lt;value&gt;)</t>
    </r>
    <r>
      <rPr>
        <rFont val="Calibri"/>
        <color theme="1"/>
        <sz val="12.0"/>
      </rPr>
      <t>, 105: ], 131: ;, 178: : }</t>
    </r>
  </si>
  <si>
    <r>
      <rPr>
        <rFont val="Calibri"/>
        <color theme="1"/>
        <sz val="12.0"/>
      </rPr>
      <t xml:space="preserve">{ ,, ), </t>
    </r>
    <r>
      <rPr>
        <rFont val="Calibri"/>
        <b/>
        <color theme="1"/>
        <sz val="12.0"/>
      </rPr>
      <t>FOLLOW(&lt;value&gt;)</t>
    </r>
    <r>
      <rPr>
        <rFont val="Calibri"/>
        <color theme="1"/>
        <sz val="12.0"/>
      </rPr>
      <t>, ], ;, : }</t>
    </r>
  </si>
  <si>
    <r>
      <rPr>
        <rFont val="Calibri"/>
        <color theme="1"/>
        <sz val="12.0"/>
      </rPr>
      <t xml:space="preserve">{ 18: </t>
    </r>
    <r>
      <rPr>
        <rFont val="Calibri"/>
        <b/>
        <color theme="1"/>
        <sz val="12.0"/>
      </rPr>
      <t xml:space="preserve">FOLLOW(&lt;expr&gt;)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</si>
  <si>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19: </t>
    </r>
    <r>
      <rPr>
        <rFont val="Calibri"/>
        <b/>
        <color theme="1"/>
        <sz val="12.0"/>
      </rPr>
      <t>FIRST(&lt;or_tail&gt;)</t>
    </r>
    <r>
      <rPr>
        <rFont val="Calibri"/>
        <color theme="1"/>
        <sz val="12.0"/>
      </rPr>
      <t xml:space="preserve">, 21: </t>
    </r>
    <r>
      <rPr>
        <rFont val="Calibri"/>
        <b/>
        <color theme="1"/>
        <sz val="12.0"/>
      </rPr>
      <t>FIRST(&lt;or_tail&gt;)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</si>
  <si>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or, λ, </t>
    </r>
    <r>
      <rPr>
        <rFont val="Calibri"/>
        <b/>
        <color theme="1"/>
        <sz val="12.0"/>
      </rPr>
      <t>FIRST(&lt;or_tail&gt;)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</si>
  <si>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or, </t>
    </r>
    <r>
      <rPr>
        <rFont val="Calibri"/>
        <b/>
        <color theme="1"/>
        <sz val="12.0"/>
      </rPr>
      <t>FOLLOW(&lt;or_expr&gt;)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FIRST(&lt;or_tail&gt;)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</si>
  <si>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or, </t>
    </r>
    <r>
      <rPr>
        <rFont val="Calibri"/>
        <b/>
        <color theme="1"/>
        <sz val="12.0"/>
      </rPr>
      <t>FOLLOW(&lt;or_expr&gt;)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FOLLOW(&lt;or_tail&gt;)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</si>
  <si>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or, ,, ), ], ;, :, </t>
    </r>
    <r>
      <rPr>
        <rFont val="Calibri"/>
        <b/>
        <color theme="1"/>
        <sz val="12.0"/>
      </rPr>
      <t>FOLLOW(&lt;or_tail&gt;)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</si>
  <si>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19: </t>
    </r>
    <r>
      <rPr>
        <rFont val="Calibri"/>
        <b/>
        <color theme="1"/>
        <sz val="12.0"/>
      </rPr>
      <t xml:space="preserve">FOLLOW(&lt;or_expr&gt;)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</si>
  <si>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20: </t>
    </r>
    <r>
      <rPr>
        <rFont val="Calibri"/>
        <b/>
        <color theme="1"/>
        <sz val="12.0"/>
      </rPr>
      <t>FIRST(&lt;and_tail&gt;)</t>
    </r>
    <r>
      <rPr>
        <rFont val="Calibri"/>
        <color theme="1"/>
        <sz val="12.0"/>
      </rPr>
      <t xml:space="preserve">, 24: </t>
    </r>
    <r>
      <rPr>
        <rFont val="Calibri"/>
        <b/>
        <color theme="1"/>
        <sz val="12.0"/>
      </rPr>
      <t xml:space="preserve">FIRST(&lt;and_tail&gt;)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</si>
  <si>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and, λ, </t>
    </r>
    <r>
      <rPr>
        <rFont val="Calibri"/>
        <b/>
        <color theme="1"/>
        <sz val="12.0"/>
      </rPr>
      <t xml:space="preserve">FIRST(&lt;and_tail&gt;)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</si>
  <si>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and, </t>
    </r>
    <r>
      <rPr>
        <rFont val="Calibri"/>
        <b/>
        <color theme="1"/>
        <sz val="12.0"/>
      </rPr>
      <t>FOLLOW(&lt;and_expr&gt;)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FIRST(&lt;and_tail&gt;)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</si>
  <si>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and, </t>
    </r>
    <r>
      <rPr>
        <rFont val="Calibri"/>
        <b/>
        <color theme="1"/>
        <sz val="12.0"/>
      </rPr>
      <t>FOLLOW(&lt;and_expr&gt;)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FOLLOW(&lt;and_tail&gt;)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</si>
  <si>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and, or, ,, ), ], ;, :, </t>
    </r>
    <r>
      <rPr>
        <rFont val="Calibri"/>
        <b/>
        <color theme="1"/>
        <sz val="12.0"/>
      </rPr>
      <t xml:space="preserve">FOLLOW(&lt;and_tail&gt;)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</si>
  <si>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and, or, ,, ), ], ;, 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</si>
  <si>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20: </t>
    </r>
    <r>
      <rPr>
        <rFont val="Calibri"/>
        <b/>
        <color theme="1"/>
        <sz val="12.0"/>
      </rPr>
      <t xml:space="preserve">FOLLOW(&lt;and_expr&gt;)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</si>
  <si>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23: </t>
    </r>
    <r>
      <rPr>
        <rFont val="Calibri"/>
        <b/>
        <color theme="1"/>
        <sz val="12.0"/>
      </rPr>
      <t xml:space="preserve">FIRST(&lt;eq_tail&gt;), </t>
    </r>
    <r>
      <rPr>
        <rFont val="Calibri"/>
        <color theme="1"/>
        <sz val="12.0"/>
      </rPr>
      <t xml:space="preserve">27: </t>
    </r>
    <r>
      <rPr>
        <rFont val="Calibri"/>
        <b/>
        <color theme="1"/>
        <sz val="12.0"/>
      </rPr>
      <t>FIRST(&lt;eq_tail&gt;)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</si>
  <si>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>{ ==, !=, λ</t>
    </r>
    <r>
      <rPr>
        <rFont val="Calibri"/>
        <b/>
        <color theme="1"/>
        <sz val="12.0"/>
      </rPr>
      <t>, FIRST(&lt;eq_tail&gt;)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</si>
  <si>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==, !=, </t>
    </r>
    <r>
      <rPr>
        <rFont val="Calibri"/>
        <b/>
        <color theme="1"/>
        <sz val="12.0"/>
      </rPr>
      <t>FOLLOW(&lt;eq_expr&gt;), FIRST(&lt;eq_tail&gt;)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</si>
  <si>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==, !=, </t>
    </r>
    <r>
      <rPr>
        <rFont val="Calibri"/>
        <b/>
        <color theme="1"/>
        <sz val="12.0"/>
      </rPr>
      <t>FOLLOW(&lt;eq_expr&gt;), FOLLOW(&lt;eq_tail&gt;)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</si>
  <si>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>{ ==, !=, and, or, ,, ), ], ;, :,</t>
    </r>
    <r>
      <rPr>
        <rFont val="Calibri"/>
        <b/>
        <color theme="1"/>
        <sz val="12.0"/>
      </rPr>
      <t xml:space="preserve"> FOLLOW(&lt;eq_tail&gt;)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</si>
  <si>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23: </t>
    </r>
    <r>
      <rPr>
        <rFont val="Calibri"/>
        <b/>
        <color theme="1"/>
        <sz val="12.0"/>
      </rPr>
      <t xml:space="preserve">FOLLOW(&lt;eq_expr&gt;)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</si>
  <si>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and, or, ,, ), ], ;, 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</si>
  <si>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26: </t>
    </r>
    <r>
      <rPr>
        <rFont val="Calibri"/>
        <b/>
        <color theme="1"/>
        <sz val="12.0"/>
      </rPr>
      <t>FIRST(&lt;rel_tail&gt;)</t>
    </r>
    <r>
      <rPr>
        <rFont val="Calibri"/>
        <color theme="1"/>
        <sz val="12.0"/>
      </rPr>
      <t xml:space="preserve">, 31: </t>
    </r>
    <r>
      <rPr>
        <rFont val="Calibri"/>
        <b/>
        <color theme="1"/>
        <sz val="12.0"/>
      </rPr>
      <t>FIRST(&lt;rel_tail&gt;)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</si>
  <si>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&gt;, &lt;, &gt;=, &lt;=, λ, </t>
    </r>
    <r>
      <rPr>
        <rFont val="Calibri"/>
        <b/>
        <color theme="1"/>
        <sz val="12.0"/>
      </rPr>
      <t>FIRST(&lt;rel_tail&gt;)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</si>
  <si>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&gt;, &lt;, &gt;=, &lt;=, </t>
    </r>
    <r>
      <rPr>
        <rFont val="Calibri"/>
        <b/>
        <color theme="1"/>
        <sz val="12.0"/>
      </rPr>
      <t>FOLLOW(&lt;rel_expr&gt;)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FIRST(&lt;rel_tail&gt;)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</si>
  <si>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&gt;, &lt;, &gt;=, &lt;=, </t>
    </r>
    <r>
      <rPr>
        <rFont val="Calibri"/>
        <b/>
        <color theme="1"/>
        <sz val="12.0"/>
      </rPr>
      <t>FOLLOW(&lt;rel_expr&gt;)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FOLLOW(&lt;rel_tail&gt;)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</si>
  <si>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&gt;, &lt;, &gt;=, &lt;=, ==, !=, and, or, ,, ), ], ;, :, </t>
    </r>
    <r>
      <rPr>
        <rFont val="Calibri"/>
        <b/>
        <color theme="1"/>
        <sz val="12.0"/>
      </rPr>
      <t>FOLLOW(&lt;rel_tail&gt;)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</si>
  <si>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26: </t>
    </r>
    <r>
      <rPr>
        <rFont val="Calibri"/>
        <b/>
        <color theme="1"/>
        <sz val="12.0"/>
      </rPr>
      <t>FOLLOW(&lt;rel_expr&gt;)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</si>
  <si>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30: </t>
    </r>
    <r>
      <rPr>
        <rFont val="Calibri"/>
        <b/>
        <color theme="1"/>
        <sz val="12.0"/>
      </rPr>
      <t>FIRST(&lt;add_tail&gt;)</t>
    </r>
    <r>
      <rPr>
        <rFont val="Calibri"/>
        <color theme="1"/>
        <sz val="12.0"/>
      </rPr>
      <t xml:space="preserve">, 37: </t>
    </r>
    <r>
      <rPr>
        <rFont val="Calibri"/>
        <b/>
        <color theme="1"/>
        <sz val="12.0"/>
      </rPr>
      <t xml:space="preserve">FIRST(&lt;add_tail&gt;)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</si>
  <si>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+, -, λ, </t>
    </r>
    <r>
      <rPr>
        <rFont val="Calibri"/>
        <b/>
        <color theme="1"/>
        <sz val="12.0"/>
      </rPr>
      <t xml:space="preserve">FIRST(&lt;add_tail&gt;)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</si>
  <si>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+, -, </t>
    </r>
    <r>
      <rPr>
        <rFont val="Calibri"/>
        <b/>
        <color theme="1"/>
        <sz val="12.0"/>
      </rPr>
      <t>FOLLOW(&lt;add_expr&gt;)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FIRST(&lt;add_tail&gt;)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</si>
  <si>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+, -, </t>
    </r>
    <r>
      <rPr>
        <rFont val="Calibri"/>
        <b/>
        <color theme="1"/>
        <sz val="12.0"/>
      </rPr>
      <t>FOLLOW(&lt;add_expr&gt;)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FOLLOW(&lt;add_tail&gt;)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</si>
  <si>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+, -, &gt;, &lt;, &gt;=, &lt;=, ==, !=, and, or, ,, ), ], ;, :, </t>
    </r>
    <r>
      <rPr>
        <rFont val="Calibri"/>
        <b/>
        <color theme="1"/>
        <sz val="12.0"/>
      </rPr>
      <t xml:space="preserve">FOLLOW(&lt;add_tail&gt;)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</si>
  <si>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30: </t>
    </r>
    <r>
      <rPr>
        <rFont val="Calibri"/>
        <b/>
        <color theme="1"/>
        <sz val="12.0"/>
      </rPr>
      <t xml:space="preserve">FOLLOW(&lt;add_expr&gt;)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</si>
  <si>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36: </t>
    </r>
    <r>
      <rPr>
        <rFont val="Calibri"/>
        <b/>
        <color theme="1"/>
        <sz val="12.0"/>
      </rPr>
      <t>FIRST(&lt;mult_tail&gt;)</t>
    </r>
    <r>
      <rPr>
        <rFont val="Calibri"/>
        <color theme="1"/>
        <sz val="12.0"/>
      </rPr>
      <t xml:space="preserve">, 42: </t>
    </r>
    <r>
      <rPr>
        <rFont val="Calibri"/>
        <b/>
        <color theme="1"/>
        <sz val="12.0"/>
      </rPr>
      <t>FIRST(&lt;mult_tail&gt;)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</si>
  <si>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*, /, %, λ, </t>
    </r>
    <r>
      <rPr>
        <rFont val="Calibri"/>
        <b/>
        <color theme="1"/>
        <sz val="12.0"/>
      </rPr>
      <t>FIRST(&lt;mult_tail&gt;)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</si>
  <si>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*, /, %, </t>
    </r>
    <r>
      <rPr>
        <rFont val="Calibri"/>
        <b/>
        <color theme="1"/>
        <sz val="12.0"/>
      </rPr>
      <t>FOLLOW(&lt;mult_expr&gt;)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FIRST(&lt;mult_tail&gt;)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</si>
  <si>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*, /, %, </t>
    </r>
    <r>
      <rPr>
        <rFont val="Calibri"/>
        <b/>
        <color theme="1"/>
        <sz val="12.0"/>
      </rPr>
      <t>FOLLOW(&lt;mult_expr&gt;)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FOLLOW(&lt;mult_tail&gt;)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</si>
  <si>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*, /, %, +, -, &gt;, &lt;, &gt;=, &lt;=, ==, !=, and, or, ,, ), ], ;, :, </t>
    </r>
    <r>
      <rPr>
        <rFont val="Calibri"/>
        <b/>
        <color theme="1"/>
        <sz val="12.0"/>
      </rPr>
      <t>FOLLOW(&lt;mult_tail&gt;)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</si>
  <si>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36: </t>
    </r>
    <r>
      <rPr>
        <rFont val="Calibri"/>
        <b/>
        <color theme="1"/>
        <sz val="12.0"/>
      </rPr>
      <t xml:space="preserve">FOLLOW(&lt;mult_expr&gt;)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</si>
  <si>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41: </t>
    </r>
    <r>
      <rPr>
        <rFont val="Calibri"/>
        <b/>
        <color theme="1"/>
        <sz val="12.0"/>
      </rPr>
      <t>FOLLOW(&lt;unary_expr&gt;)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</si>
  <si>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54: </t>
    </r>
    <r>
      <rPr>
        <rFont val="Calibri"/>
        <b/>
        <color theme="1"/>
        <sz val="12.0"/>
      </rPr>
      <t>FOLLOW(&lt;primary_val&gt;)</t>
    </r>
    <r>
      <rPr>
        <rFont val="Calibri"/>
        <color theme="1"/>
        <sz val="12.0"/>
      </rPr>
      <t xml:space="preserve">, 95: </t>
    </r>
    <r>
      <rPr>
        <rFont val="Calibri"/>
        <b/>
        <color theme="1"/>
        <sz val="12.0"/>
      </rPr>
      <t>FOLLOW(&lt;array_value&gt;)</t>
    </r>
    <r>
      <rPr>
        <rFont val="Calibri"/>
        <color theme="1"/>
        <sz val="12.0"/>
      </rPr>
      <t xml:space="preserve">, 121: </t>
    </r>
    <r>
      <rPr>
        <rFont val="Calibri"/>
        <b/>
        <color theme="1"/>
        <sz val="12.0"/>
      </rPr>
      <t>FOLLOW(&lt;table_value&gt;)</t>
    </r>
    <r>
      <rPr>
        <rFont val="Calibri"/>
        <color theme="1"/>
        <sz val="12.0"/>
      </rPr>
      <t>, 158: ;}</t>
    </r>
  </si>
  <si>
    <r>
      <rPr>
        <rFont val="Calibri"/>
        <color theme="1"/>
        <sz val="12.0"/>
      </rPr>
      <t xml:space="preserve">{ *, /, %, +, -, &gt;, &lt;, &gt;=, &lt;=, ==, !=, and, or, ,, ), ], :, </t>
    </r>
    <r>
      <rPr>
        <rFont val="Calibri"/>
        <b/>
        <color theme="1"/>
        <sz val="12.0"/>
      </rPr>
      <t>FOLLOW(&lt;array_value&gt;)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FOLLOW(&lt;table_value&gt;)</t>
    </r>
    <r>
      <rPr>
        <rFont val="Calibri"/>
        <color theme="1"/>
        <sz val="12.0"/>
      </rPr>
      <t>, ;}</t>
    </r>
  </si>
  <si>
    <r>
      <rPr>
        <rFont val="Calibri"/>
        <color theme="1"/>
        <sz val="12.0"/>
      </rPr>
      <t xml:space="preserve">{ *, /, %, +, -, &gt;, &lt;, &gt;=, &lt;=, ==, !=, and, or, ,, ), ], :, [, </t>
    </r>
    <r>
      <rPr>
        <rFont val="Calibri"/>
        <b/>
        <color theme="1"/>
        <sz val="12.0"/>
      </rPr>
      <t>FOLLOW(&lt;table_value&gt;)</t>
    </r>
    <r>
      <rPr>
        <rFont val="Calibri"/>
        <color theme="1"/>
        <sz val="12.0"/>
      </rPr>
      <t>, ;}</t>
    </r>
  </si>
  <si>
    <r>
      <rPr>
        <rFont val="Calibri"/>
        <color theme="1"/>
        <sz val="12.0"/>
      </rPr>
      <t xml:space="preserve">{ 55: </t>
    </r>
    <r>
      <rPr>
        <rFont val="Calibri"/>
        <b/>
        <color theme="1"/>
        <sz val="12.0"/>
      </rPr>
      <t xml:space="preserve">FIRST(&lt;call_tail&gt;)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</si>
  <si>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55: </t>
    </r>
    <r>
      <rPr>
        <rFont val="Calibri"/>
        <b/>
        <color theme="1"/>
        <sz val="12.0"/>
      </rPr>
      <t>FOLLOW(&lt;recipe_call&gt;)</t>
    </r>
    <r>
      <rPr>
        <rFont val="Calibri"/>
        <color theme="1"/>
        <sz val="12.0"/>
      </rPr>
      <t xml:space="preserve"> }</t>
    </r>
  </si>
  <si>
    <t>{ 75: ) }</t>
  </si>
  <si>
    <r>
      <rPr>
        <rFont val="Calibri"/>
        <color theme="1"/>
        <sz val="12.0"/>
      </rPr>
      <t xml:space="preserve">{ 76: </t>
    </r>
    <r>
      <rPr>
        <rFont val="Calibri"/>
        <b/>
        <color theme="1"/>
        <sz val="12.0"/>
      </rPr>
      <t>FIRST(&lt;flavor_tail&gt;)</t>
    </r>
    <r>
      <rPr>
        <rFont val="Calibri"/>
        <color theme="1"/>
        <sz val="12.0"/>
      </rPr>
      <t xml:space="preserve">, 81: </t>
    </r>
    <r>
      <rPr>
        <rFont val="Calibri"/>
        <b/>
        <color theme="1"/>
        <sz val="12.0"/>
      </rPr>
      <t>FIRST(&lt;flavor_tail&gt;)</t>
    </r>
    <r>
      <rPr>
        <rFont val="Calibri"/>
        <color theme="1"/>
        <sz val="12.0"/>
      </rPr>
      <t xml:space="preserve">, 100: </t>
    </r>
    <r>
      <rPr>
        <rFont val="Calibri"/>
        <b/>
        <color theme="1"/>
        <sz val="12.0"/>
      </rPr>
      <t>FIRST(&lt;element_value_tail&gt;)</t>
    </r>
    <r>
      <rPr>
        <rFont val="Calibri"/>
        <color theme="1"/>
        <sz val="12.0"/>
      </rPr>
      <t xml:space="preserve">, 102: </t>
    </r>
    <r>
      <rPr>
        <rFont val="Calibri"/>
        <b/>
        <color theme="1"/>
        <sz val="12.0"/>
      </rPr>
      <t>FIRST(&lt;element_value_tail&gt;)</t>
    </r>
    <r>
      <rPr>
        <rFont val="Calibri"/>
        <color theme="1"/>
        <sz val="12.0"/>
      </rPr>
      <t>, 126: ;}</t>
    </r>
  </si>
  <si>
    <r>
      <rPr>
        <rFont val="Calibri"/>
        <color theme="1"/>
        <sz val="12.0"/>
      </rPr>
      <t xml:space="preserve">{ ,, λ, </t>
    </r>
    <r>
      <rPr>
        <rFont val="Calibri"/>
        <b/>
        <color theme="1"/>
        <sz val="12.0"/>
      </rPr>
      <t>FIRST(&lt;flavor_tail&gt;)</t>
    </r>
    <r>
      <rPr>
        <rFont val="Calibri"/>
        <color theme="1"/>
        <sz val="12.0"/>
      </rPr>
      <t xml:space="preserve">,  </t>
    </r>
    <r>
      <rPr>
        <rFont val="Calibri"/>
        <b/>
        <color theme="1"/>
        <sz val="12.0"/>
      </rPr>
      <t>FIRST(&lt;element_value_tail&gt;)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FIRST(&lt;element_value_tail&gt;)</t>
    </r>
    <r>
      <rPr>
        <rFont val="Calibri"/>
        <color theme="1"/>
        <sz val="12.0"/>
      </rPr>
      <t>, ;}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</si>
  <si>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FOLLOW(&lt;flavor&gt;)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FIRST(&lt;flavor_tail&gt;)</t>
    </r>
    <r>
      <rPr>
        <rFont val="Calibri"/>
        <color theme="1"/>
        <sz val="12.0"/>
      </rPr>
      <t xml:space="preserve">,  </t>
    </r>
    <r>
      <rPr>
        <rFont val="Calibri"/>
        <b/>
        <color theme="1"/>
        <sz val="12.0"/>
      </rPr>
      <t>FIRST(&lt;element_value_tail&gt;)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FIRST(&lt;element_value_tail&gt;)</t>
    </r>
    <r>
      <rPr>
        <rFont val="Calibri"/>
        <color theme="1"/>
        <sz val="12.0"/>
      </rPr>
      <t>, ;}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</si>
  <si>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FOLLOW(&lt;flavor&gt;)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FOLLOW(&lt;flavor_tail&gt;)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FIRST(&lt;elements_value_tail&gt;)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FIRST(&lt;element_value_tail&gt;)</t>
    </r>
    <r>
      <rPr>
        <rFont val="Calibri"/>
        <color theme="1"/>
        <sz val="12.0"/>
      </rPr>
      <t>, ; 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</si>
  <si>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FOLLOW(&lt;flavor&gt;)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FOLLOW(&lt;flavor_tail&gt;)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FOLLOW(&lt;elements_value&gt;)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FIRST(&lt;element_value_tail&gt;)</t>
    </r>
    <r>
      <rPr>
        <rFont val="Calibri"/>
        <color theme="1"/>
        <sz val="12.0"/>
      </rPr>
      <t>, ; 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</si>
  <si>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FOLLOW(&lt;flavor&gt;)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FOLLOW(&lt;flavor_tail&gt;)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FOLLOW(&lt;elements_value&gt;)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FOLLOW(&lt;element_value_tail&gt;)</t>
    </r>
    <r>
      <rPr>
        <rFont val="Calibri"/>
        <color theme="1"/>
        <sz val="12.0"/>
      </rPr>
      <t>, ; }</t>
    </r>
  </si>
  <si>
    <r>
      <rPr>
        <rFont val="Calibri"/>
        <color theme="1"/>
        <sz val="12.0"/>
      </rPr>
      <t xml:space="preserve">{ ,, ), </t>
    </r>
    <r>
      <rPr>
        <rFont val="Calibri"/>
        <b/>
        <color theme="1"/>
        <sz val="12.0"/>
      </rPr>
      <t>FOLLOW(&lt;flavor_tail&gt;)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FOLLOW(&lt;elements_value&gt;)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FOLLOW(&lt;element_value_tail&gt;)</t>
    </r>
    <r>
      <rPr>
        <rFont val="Calibri"/>
        <color theme="1"/>
        <sz val="12.0"/>
      </rPr>
      <t>, ; }</t>
    </r>
  </si>
  <si>
    <r>
      <rPr>
        <rFont val="Calibri"/>
        <color theme="1"/>
        <sz val="12.0"/>
      </rPr>
      <t xml:space="preserve">{ ,, ), </t>
    </r>
    <r>
      <rPr>
        <rFont val="Calibri"/>
        <b/>
        <color theme="1"/>
        <sz val="12.0"/>
      </rPr>
      <t>FOLLOW(&lt;elements_value&gt;)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FOLLOW(&lt;element_value_tail&gt;)</t>
    </r>
    <r>
      <rPr>
        <rFont val="Calibri"/>
        <color theme="1"/>
        <sz val="12.0"/>
      </rPr>
      <t>, ; }</t>
    </r>
  </si>
  <si>
    <r>
      <rPr>
        <rFont val="Calibri"/>
        <color theme="1"/>
        <sz val="12.0"/>
      </rPr>
      <t xml:space="preserve">{ ,, ), ], </t>
    </r>
    <r>
      <rPr>
        <rFont val="Calibri"/>
        <b/>
        <color theme="1"/>
        <sz val="12.0"/>
      </rPr>
      <t>FOLLOW(&lt;element_value_tail&gt;)</t>
    </r>
    <r>
      <rPr>
        <rFont val="Calibri"/>
        <color theme="1"/>
        <sz val="12.0"/>
      </rPr>
      <t>, ; }</t>
    </r>
  </si>
  <si>
    <t>{ ,, ), ], ; }</t>
  </si>
  <si>
    <r>
      <rPr>
        <rFont val="Calibri"/>
        <color theme="1"/>
        <sz val="12.0"/>
      </rPr>
      <t xml:space="preserve">{ 76: </t>
    </r>
    <r>
      <rPr>
        <rFont val="Calibri"/>
        <b/>
        <color theme="1"/>
        <sz val="12.0"/>
      </rPr>
      <t>FOLLOW(&lt;flavor&gt;)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</si>
  <si>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3: </t>
    </r>
    <r>
      <rPr>
        <rFont val="Calibri"/>
        <b/>
        <color theme="1"/>
        <sz val="12.0"/>
      </rPr>
      <t>FIRST(&lt;global_decl&gt;)</t>
    </r>
    <r>
      <rPr>
        <rFont val="Calibri"/>
        <color theme="1"/>
        <sz val="12.0"/>
      </rPr>
      <t xml:space="preserve">, 142: </t>
    </r>
    <r>
      <rPr>
        <rFont val="Calibri"/>
        <b/>
        <color theme="1"/>
        <sz val="12.0"/>
      </rPr>
      <t xml:space="preserve">FIRST(&lt;local_decl&gt;)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</si>
  <si>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λ, </t>
    </r>
    <r>
      <rPr>
        <rFont val="Calibri"/>
        <b/>
        <color theme="1"/>
        <sz val="12.0"/>
      </rPr>
      <t xml:space="preserve">FIRST(&lt;local_decl&gt;)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</si>
  <si>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FOLLOW(&lt;global_decl&gt;)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FIRST(&lt;local_decl&gt;)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</si>
  <si>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FOLLOW(&lt;global_decl&gt;)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FOLLOW(&lt;local_decl&gt;)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</si>
  <si>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prepare, </t>
    </r>
    <r>
      <rPr>
        <rFont val="Calibri"/>
        <b/>
        <color theme="1"/>
        <sz val="12.0"/>
      </rPr>
      <t xml:space="preserve">FOLLOW(&lt;local_decl&gt;) </t>
    </r>
    <r>
      <rPr>
        <rFont val="Calibri"/>
        <color theme="1"/>
        <sz val="12.0"/>
      </rPr>
      <t>}</t>
    </r>
  </si>
  <si>
    <t>{ piece, sip, flag, chars, id, table, prepare, append, bill, copy, cut, fact, matches, pow, rand, remove, reverse, search, size, sort, sqrt, take, tochars, topiece, tosip, check, menu, pass, repeat, order, next, stop, serve, alt, instead, }, choice, usual }</t>
  </si>
  <si>
    <r>
      <rPr>
        <rFont val="Calibri"/>
        <color theme="1"/>
        <sz val="12.0"/>
      </rPr>
      <t xml:space="preserve">{ 83: of, 91: </t>
    </r>
    <r>
      <rPr>
        <rFont val="Calibri"/>
        <b/>
        <color theme="1"/>
        <sz val="12.0"/>
      </rPr>
      <t xml:space="preserve">FOLLOW(&lt;dimensions_tail&gt;)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</si>
  <si>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83: ;, 89: </t>
    </r>
    <r>
      <rPr>
        <rFont val="Calibri"/>
        <b/>
        <color theme="1"/>
        <sz val="12.0"/>
      </rPr>
      <t xml:space="preserve">FOLLOW(&lt;array_declare_tail&gt;)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</si>
  <si>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86: </t>
    </r>
    <r>
      <rPr>
        <rFont val="Calibri"/>
        <b/>
        <color theme="1"/>
        <sz val="12.0"/>
      </rPr>
      <t xml:space="preserve">FIRST(&lt;array_declare_tail&gt;)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</si>
  <si>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FOLLOW(&lt;array_declare&gt;)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</si>
  <si>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86: </t>
    </r>
    <r>
      <rPr>
        <rFont val="Calibri"/>
        <b/>
        <color theme="1"/>
        <sz val="12.0"/>
      </rPr>
      <t xml:space="preserve">FOLLOW(&lt;array_declare&gt;)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</si>
  <si>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85: </t>
    </r>
    <r>
      <rPr>
        <rFont val="Calibri"/>
        <b/>
        <color theme="1"/>
        <sz val="12.0"/>
      </rPr>
      <t>FOLLOW(&lt;dimensions&gt;)</t>
    </r>
    <r>
      <rPr>
        <rFont val="Calibri"/>
        <color theme="1"/>
        <sz val="12.0"/>
      </rPr>
      <t xml:space="preserve">, 109: of 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</si>
  <si>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87: </t>
    </r>
    <r>
      <rPr>
        <rFont val="Calibri"/>
        <b/>
        <color theme="1"/>
        <sz val="12.0"/>
      </rPr>
      <t>FOLLOW(&lt;array_initialization&gt;)</t>
    </r>
    <r>
      <rPr>
        <rFont val="Calibri"/>
        <color theme="1"/>
        <sz val="12.0"/>
      </rPr>
      <t xml:space="preserve">, 104: </t>
    </r>
    <r>
      <rPr>
        <rFont val="Calibri"/>
        <b/>
        <color theme="1"/>
        <sz val="12.0"/>
      </rPr>
      <t>FIRST(&lt;array_accessor&gt;)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</si>
  <si>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FOLLOW(&lt;array_initialization&gt;)</t>
    </r>
    <r>
      <rPr>
        <rFont val="Calibri"/>
        <color theme="1"/>
        <sz val="12.0"/>
      </rPr>
      <t>, [ }</t>
    </r>
  </si>
  <si>
    <r>
      <rPr>
        <rFont val="Calibri"/>
        <color theme="1"/>
        <sz val="12.0"/>
      </rPr>
      <t xml:space="preserve">{ 79: </t>
    </r>
    <r>
      <rPr>
        <rFont val="Calibri"/>
        <b/>
        <color theme="1"/>
        <sz val="12.0"/>
      </rPr>
      <t>FOLLOW(&lt;value&gt;)</t>
    </r>
    <r>
      <rPr>
        <rFont val="Calibri"/>
        <color theme="1"/>
        <sz val="12.0"/>
      </rPr>
      <t xml:space="preserve">, 93: </t>
    </r>
    <r>
      <rPr>
        <rFont val="Calibri"/>
        <b/>
        <color theme="1"/>
        <sz val="12.0"/>
      </rPr>
      <t xml:space="preserve">FOLLOW(&lt;array_value&gt;)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</si>
  <si>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,, ), ], ;, </t>
    </r>
    <r>
      <rPr>
        <rFont val="Calibri"/>
        <b/>
        <color theme="1"/>
        <sz val="12.0"/>
      </rPr>
      <t xml:space="preserve">FOLLOW(&lt;array_value&gt;)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</si>
  <si>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94: </t>
    </r>
    <r>
      <rPr>
        <rFont val="Calibri"/>
        <b/>
        <color theme="1"/>
        <sz val="12.0"/>
      </rPr>
      <t>FOLLOW(&lt;array_value&gt;)</t>
    </r>
    <r>
      <rPr>
        <rFont val="Calibri"/>
        <color theme="1"/>
        <sz val="12.0"/>
      </rPr>
      <t xml:space="preserve">, 119: </t>
    </r>
    <r>
      <rPr>
        <rFont val="Calibri"/>
        <b/>
        <color theme="1"/>
        <sz val="12.0"/>
      </rPr>
      <t>FOLLOW(&lt;table_value&gt;)</t>
    </r>
    <r>
      <rPr>
        <rFont val="Calibri"/>
        <color theme="1"/>
        <sz val="12.0"/>
      </rPr>
      <t xml:space="preserve">, 151: </t>
    </r>
    <r>
      <rPr>
        <rFont val="Calibri"/>
        <b/>
        <color theme="1"/>
        <sz val="12.0"/>
      </rPr>
      <t xml:space="preserve">FIRST(&lt;assignment_op&gt;)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</si>
  <si>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FOLLOW(&lt;array_value&gt;)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FOLLOW(&lt;table_value&gt;)</t>
    </r>
    <r>
      <rPr>
        <rFont val="Calibri"/>
        <color theme="1"/>
        <sz val="12.0"/>
      </rPr>
      <t>,  =, +=, -=, *=, /=, %=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</si>
  <si>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,, ;, [, </t>
    </r>
    <r>
      <rPr>
        <rFont val="Calibri"/>
        <b/>
        <color theme="1"/>
        <sz val="12.0"/>
      </rPr>
      <t>FOLLOW(&lt;table_value&gt;)</t>
    </r>
    <r>
      <rPr>
        <rFont val="Calibri"/>
        <color theme="1"/>
        <sz val="12.0"/>
      </rPr>
      <t>,  =, +=, -=, *=, /=, %=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</si>
  <si>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,, ;, [, :,  =, +=, -=, *=, /=, %=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</si>
  <si>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t>{ 96: ] }</t>
  </si>
  <si>
    <r>
      <rPr>
        <rFont val="Calibri"/>
        <color theme="1"/>
        <sz val="12.0"/>
      </rPr>
      <t xml:space="preserve">{ 100: </t>
    </r>
    <r>
      <rPr>
        <rFont val="Calibri"/>
        <b/>
        <color theme="1"/>
        <sz val="12.0"/>
      </rPr>
      <t>FOLLOW(&lt;elements_value&gt;)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</si>
  <si>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53: </t>
    </r>
    <r>
      <rPr>
        <rFont val="Calibri"/>
        <b/>
        <color theme="1"/>
        <sz val="12.0"/>
      </rPr>
      <t xml:space="preserve">FOLLOW(&lt;primary_val&gt;)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</si>
  <si>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97: </t>
    </r>
    <r>
      <rPr>
        <rFont val="Calibri"/>
        <b/>
        <color theme="1"/>
        <sz val="12.0"/>
      </rPr>
      <t>FOLLOW(&lt;accessor_tail&gt;)</t>
    </r>
    <r>
      <rPr>
        <rFont val="Calibri"/>
        <color theme="1"/>
        <sz val="12.0"/>
      </rPr>
      <t xml:space="preserve">, 104: </t>
    </r>
    <r>
      <rPr>
        <rFont val="Calibri"/>
        <b/>
        <color theme="1"/>
        <sz val="12.0"/>
      </rPr>
      <t>FOLLOW(&lt;array_accessing&gt;)</t>
    </r>
    <r>
      <rPr>
        <rFont val="Calibri"/>
        <color theme="1"/>
        <sz val="12.0"/>
      </rPr>
      <t xml:space="preserve">, 106: </t>
    </r>
    <r>
      <rPr>
        <rFont val="Calibri"/>
        <b/>
        <color theme="1"/>
        <sz val="12.0"/>
      </rPr>
      <t>FOLLOW(&lt;array_accessor_tail&gt;)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</si>
  <si>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,, ;, [, :,  =, +=, -=, *=, /=, %= , </t>
    </r>
    <r>
      <rPr>
        <rFont val="Calibri"/>
        <b/>
        <color theme="1"/>
        <sz val="12.0"/>
      </rPr>
      <t>FOLLOW(&lt;array_accessing&gt;)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FOLLOW(&lt;array_accessor_tail&gt;)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</si>
  <si>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,, ;, [, :,  =, +=, -=, *=, /=, %= , *, /, %, +, -, &gt;, &lt;, &gt;=, &lt;=, ==, !=, and, or, ,, ), ],  </t>
    </r>
    <r>
      <rPr>
        <rFont val="Calibri"/>
        <b/>
        <color theme="1"/>
        <sz val="12.0"/>
      </rPr>
      <t>FOLLOW(&lt;array_accessor_tail&gt;)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</si>
  <si>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105: </t>
    </r>
    <r>
      <rPr>
        <rFont val="Calibri"/>
        <b/>
        <color theme="1"/>
        <sz val="12.0"/>
      </rPr>
      <t>FOLLOW(&lt;array_accessor&gt;)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</si>
  <si>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4: </t>
    </r>
    <r>
      <rPr>
        <rFont val="Calibri"/>
        <b/>
        <color theme="1"/>
        <sz val="12.0"/>
      </rPr>
      <t>FIRST(&lt;global_decl&gt;)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</si>
  <si>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FOLLOW(&lt;global_decl&gt;)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</si>
  <si>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108: ], 111: </t>
    </r>
    <r>
      <rPr>
        <rFont val="Calibri"/>
        <b/>
        <color theme="1"/>
        <sz val="12.0"/>
      </rPr>
      <t>FOLLOW(&lt;required_decl_tail&gt;)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</si>
  <si>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109: </t>
    </r>
    <r>
      <rPr>
        <rFont val="Calibri"/>
        <b/>
        <color theme="1"/>
        <sz val="12.0"/>
      </rPr>
      <t>FOLLOW(&lt;required_decl&gt;)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</si>
  <si>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5: </t>
    </r>
    <r>
      <rPr>
        <rFont val="Calibri"/>
        <b/>
        <color theme="1"/>
        <sz val="12.0"/>
      </rPr>
      <t>FIRST(&lt;global_decl&gt;)</t>
    </r>
    <r>
      <rPr>
        <rFont val="Calibri"/>
        <color theme="1"/>
        <sz val="12.0"/>
      </rPr>
      <t xml:space="preserve">, 143: </t>
    </r>
    <r>
      <rPr>
        <rFont val="Calibri"/>
        <b/>
        <color theme="1"/>
        <sz val="12.0"/>
      </rPr>
      <t xml:space="preserve">FIRST(&lt;local_decl&gt;)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</si>
  <si>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λ, </t>
    </r>
    <r>
      <rPr>
        <rFont val="Calibri"/>
        <b/>
        <color theme="1"/>
        <sz val="12.0"/>
      </rPr>
      <t>FIRST(&lt;local_decl&gt;)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</si>
  <si>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FOLLOW(&lt;global_decl&gt;)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FIRST(&lt;local_decl&gt;)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</si>
  <si>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FOLLOW(&lt;global_decl&gt;)</t>
    </r>
    <r>
      <rPr>
        <rFont val="Calibri"/>
        <color theme="1"/>
        <sz val="12.0"/>
      </rPr>
      <t>, λ }</t>
    </r>
  </si>
  <si>
    <r>
      <rPr>
        <rFont val="Calibri"/>
        <color theme="1"/>
        <sz val="12.0"/>
      </rPr>
      <t xml:space="preserve">{ piece, sip, flag, chars, id, table, </t>
    </r>
    <r>
      <rPr>
        <rFont val="Calibri"/>
        <b/>
        <color theme="1"/>
        <sz val="12.0"/>
      </rPr>
      <t>FOLLOW(&lt;global_decl&gt;)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FOLLOW(&lt;local_decl&gt;)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</si>
  <si>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piece, sip, flag, chars, id, table, prepare, </t>
    </r>
    <r>
      <rPr>
        <rFont val="Calibri"/>
        <b/>
        <color theme="1"/>
        <sz val="12.0"/>
      </rPr>
      <t xml:space="preserve">FOLLOW(&lt;local_decl&gt;)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</si>
  <si>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piece, sip, flag, chars, id, table, prepare, append, bill, copy, cut, fact, matches, pow, rand, remove, reverse, search, size, sort, sqrt, take, tochars, topiece, tosip, check, menu, pass, repeat, order, next, stop, serve, alt, instead, }, choice, usual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</si>
  <si>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113: ;, 117: </t>
    </r>
    <r>
      <rPr>
        <rFont val="Calibri"/>
        <b/>
        <color theme="1"/>
        <sz val="12.0"/>
      </rPr>
      <t>FOLLOW(&lt;table_declare_tail&gt;)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</si>
  <si>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114: </t>
    </r>
    <r>
      <rPr>
        <rFont val="Calibri"/>
        <b/>
        <color theme="1"/>
        <sz val="12.0"/>
      </rPr>
      <t xml:space="preserve">FIRST(&lt;table_declare_tail&gt;)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</si>
  <si>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FOLLOW(&lt;table_declare&gt;)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</si>
  <si>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114: </t>
    </r>
    <r>
      <rPr>
        <rFont val="Calibri"/>
        <b/>
        <color theme="1"/>
        <sz val="12.0"/>
      </rPr>
      <t>FOLLOW(&lt;table_declare&gt;)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</si>
  <si>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115: </t>
    </r>
    <r>
      <rPr>
        <rFont val="Calibri"/>
        <b/>
        <color theme="1"/>
        <sz val="12.0"/>
      </rPr>
      <t>FOLLOW(&lt;table_initialization&gt;)</t>
    </r>
    <r>
      <rPr>
        <rFont val="Calibri"/>
        <color theme="1"/>
        <sz val="12.0"/>
      </rPr>
      <t>, 125: : }</t>
    </r>
  </si>
  <si>
    <r>
      <rPr>
        <rFont val="Calibri"/>
        <color theme="1"/>
        <sz val="12.0"/>
      </rPr>
      <t xml:space="preserve">{ 80: </t>
    </r>
    <r>
      <rPr>
        <rFont val="Calibri"/>
        <b/>
        <color theme="1"/>
        <sz val="12.0"/>
      </rPr>
      <t>FOLLOW(&lt;value&gt;)</t>
    </r>
    <r>
      <rPr>
        <rFont val="Calibri"/>
        <color theme="1"/>
        <sz val="12.0"/>
      </rPr>
      <t xml:space="preserve">, 120: </t>
    </r>
    <r>
      <rPr>
        <rFont val="Calibri"/>
        <b/>
        <color theme="1"/>
        <sz val="12.0"/>
      </rPr>
      <t>FOLLOW(&lt;table_value&gt;)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</si>
  <si>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,, ), ], ;, </t>
    </r>
    <r>
      <rPr>
        <rFont val="Calibri"/>
        <b/>
        <color theme="1"/>
        <sz val="12.0"/>
      </rPr>
      <t>FOLLOW(&lt;table_value&gt;)</t>
    </r>
    <r>
      <rPr>
        <rFont val="Calibri"/>
        <color theme="1"/>
        <sz val="12.0"/>
      </rPr>
      <t xml:space="preserve"> }</t>
    </r>
  </si>
  <si>
    <t>{ 122: ] }</t>
  </si>
  <si>
    <r>
      <rPr>
        <rFont val="Calibri"/>
        <color theme="1"/>
        <sz val="12.0"/>
      </rPr>
      <t xml:space="preserve">{ 52: </t>
    </r>
    <r>
      <rPr>
        <rFont val="Calibri"/>
        <b/>
        <color theme="1"/>
        <sz val="12.0"/>
      </rPr>
      <t xml:space="preserve">FOLLOW(&lt;primary_val&gt;)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</si>
  <si>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123: </t>
    </r>
    <r>
      <rPr>
        <rFont val="Calibri"/>
        <b/>
        <color theme="1"/>
        <sz val="12.0"/>
      </rPr>
      <t xml:space="preserve">FIRST(&lt;field_assignments&gt;)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</si>
  <si>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id, </t>
    </r>
    <r>
      <rPr>
        <rFont val="Calibri"/>
        <b/>
        <color theme="1"/>
        <sz val="12.0"/>
      </rPr>
      <t>FOLLOW(&lt;field_assignments&gt;)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</si>
  <si>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1: </t>
    </r>
    <r>
      <rPr>
        <rFont val="Calibri"/>
        <b/>
        <color theme="1"/>
        <sz val="12.0"/>
      </rPr>
      <t>FIRST(&lt;start_recipe&gt;)</t>
    </r>
    <r>
      <rPr>
        <rFont val="Calibri"/>
        <color theme="1"/>
        <sz val="12.0"/>
      </rPr>
      <t xml:space="preserve"> }</t>
    </r>
  </si>
  <si>
    <t>{ 127: ) }</t>
  </si>
  <si>
    <r>
      <rPr>
        <rFont val="Calibri"/>
        <color theme="1"/>
        <sz val="12.0"/>
      </rPr>
      <t xml:space="preserve">{ 127: </t>
    </r>
    <r>
      <rPr>
        <rFont val="Calibri"/>
        <b/>
        <color theme="1"/>
        <sz val="12.0"/>
      </rPr>
      <t>FIRST(&lt;recipe_decl&gt;)</t>
    </r>
    <r>
      <rPr>
        <rFont val="Calibri"/>
        <color theme="1"/>
        <sz val="12.0"/>
      </rPr>
      <t xml:space="preserve">, 185: </t>
    </r>
    <r>
      <rPr>
        <rFont val="Calibri"/>
        <b/>
        <color theme="1"/>
        <sz val="12.0"/>
      </rPr>
      <t>FOLLOW(&lt;start_recipe&gt;)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</si>
  <si>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prepare, λ, </t>
    </r>
    <r>
      <rPr>
        <rFont val="Calibri"/>
        <b/>
        <color theme="1"/>
        <sz val="12.0"/>
      </rPr>
      <t xml:space="preserve">FOLLOW(&lt;start_recipe&gt;)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</si>
  <si>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prepare, </t>
    </r>
    <r>
      <rPr>
        <rFont val="Calibri"/>
        <b/>
        <color theme="1"/>
        <sz val="12.0"/>
      </rPr>
      <t>FOLLOW(&lt;recipe_decl&gt; 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FOLLOW(&lt;start_recipe&gt;)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</si>
  <si>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prepare, piece, </t>
    </r>
    <r>
      <rPr>
        <rFont val="Calibri"/>
        <b/>
        <color theme="1"/>
        <sz val="12.0"/>
      </rPr>
      <t>FOLLOW(&lt;start_recipe&gt;)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</si>
  <si>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129: </t>
    </r>
    <r>
      <rPr>
        <rFont val="Calibri"/>
        <b/>
        <color theme="1"/>
        <sz val="12.0"/>
      </rPr>
      <t>FIRST(&lt;spice_tail&gt;)</t>
    </r>
    <r>
      <rPr>
        <rFont val="Calibri"/>
        <color theme="1"/>
        <sz val="12.0"/>
      </rPr>
      <t xml:space="preserve">, 139: </t>
    </r>
    <r>
      <rPr>
        <rFont val="Calibri"/>
        <b/>
        <color theme="1"/>
        <sz val="12.0"/>
      </rPr>
      <t>FIRST(&lt;spice_tail&gt;)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</si>
  <si>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,, λ, </t>
    </r>
    <r>
      <rPr>
        <rFont val="Calibri"/>
        <b/>
        <color theme="1"/>
        <sz val="12.0"/>
      </rPr>
      <t>FIRST(&lt;spice_tail&gt;)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</si>
  <si>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FOLLOW(&lt;spice_list&gt;)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FIRST(&lt;spice_tail&gt;)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</si>
  <si>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,, </t>
    </r>
    <r>
      <rPr>
        <rFont val="Calibri"/>
        <b/>
        <color theme="1"/>
        <sz val="12.0"/>
      </rPr>
      <t>FOLLOW(&lt;spice_list&gt;)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FOLLOW(&lt;spice_tail&gt;)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</si>
  <si>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,, ), </t>
    </r>
    <r>
      <rPr>
        <rFont val="Calibri"/>
        <b/>
        <color theme="1"/>
        <sz val="12.0"/>
      </rPr>
      <t>FOLLOW(&lt;spice_tail&gt;)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</si>
  <si>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132: </t>
    </r>
    <r>
      <rPr>
        <rFont val="Calibri"/>
        <b/>
        <color theme="1"/>
        <sz val="12.0"/>
      </rPr>
      <t>FOLLOW(&lt;spice&gt;)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</si>
  <si>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133: </t>
    </r>
    <r>
      <rPr>
        <rFont val="Calibri"/>
        <b/>
        <color theme="1"/>
        <sz val="12.0"/>
      </rPr>
      <t>FOLLOW(&lt;spice&gt;)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</si>
  <si>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134: </t>
    </r>
    <r>
      <rPr>
        <rFont val="Calibri"/>
        <b/>
        <color theme="1"/>
        <sz val="12.0"/>
      </rPr>
      <t>FOLLOW(&lt;spice&gt;)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</si>
  <si>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129: </t>
    </r>
    <r>
      <rPr>
        <rFont val="Calibri"/>
        <b/>
        <color theme="1"/>
        <sz val="12.0"/>
      </rPr>
      <t>FOLLOW(&lt;spice_list&gt;)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</si>
  <si>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131: </t>
    </r>
    <r>
      <rPr>
        <rFont val="Calibri"/>
        <b/>
        <color theme="1"/>
        <sz val="12.0"/>
      </rPr>
      <t>FIRST(&lt;statements&gt;)</t>
    </r>
    <r>
      <rPr>
        <rFont val="Calibri"/>
        <color theme="1"/>
        <sz val="12.0"/>
      </rPr>
      <t xml:space="preserve">, 171: </t>
    </r>
    <r>
      <rPr>
        <rFont val="Calibri"/>
        <b/>
        <color theme="1"/>
        <sz val="12.0"/>
      </rPr>
      <t>FIRST(&lt;statements&gt;)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</si>
  <si>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λ, </t>
    </r>
    <r>
      <rPr>
        <rFont val="Calibri"/>
        <b/>
        <color theme="1"/>
        <sz val="12.0"/>
      </rPr>
      <t xml:space="preserve">FIRST(&lt;statements&gt;)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</si>
  <si>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</t>
    </r>
    <r>
      <rPr>
        <rFont val="Calibri"/>
        <b/>
        <color theme="1"/>
        <sz val="12.0"/>
      </rPr>
      <t>FOLLOW(&lt;recipe_platter&gt;)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FIRST(&lt;statements&gt;)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</si>
  <si>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</t>
    </r>
    <r>
      <rPr>
        <rFont val="Calibri"/>
        <b/>
        <color theme="1"/>
        <sz val="12.0"/>
      </rPr>
      <t>FOLLOW(&lt;recipe_platter&gt;)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 xml:space="preserve">FOLLOW(&lt;nonrecipe_platter&gt;)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</si>
  <si>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prepare, piece, </t>
    </r>
    <r>
      <rPr>
        <rFont val="Calibri"/>
        <b/>
        <color theme="1"/>
        <sz val="12.0"/>
      </rPr>
      <t xml:space="preserve">FOLLOW(&lt;nonrecipe_platter&gt;)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</si>
  <si>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>{ 131: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 xml:space="preserve">serve, 171: }, 178: </t>
    </r>
    <r>
      <rPr>
        <rFont val="Calibri"/>
        <b/>
        <color theme="1"/>
        <sz val="12.0"/>
      </rPr>
      <t>FIRST(&lt;choice_clause&gt;)</t>
    </r>
    <r>
      <rPr>
        <rFont val="Calibri"/>
        <color theme="1"/>
        <sz val="12.0"/>
      </rPr>
      <t xml:space="preserve">, 180: </t>
    </r>
    <r>
      <rPr>
        <rFont val="Calibri"/>
        <b/>
        <color theme="1"/>
        <sz val="12.0"/>
      </rPr>
      <t>FOLLOW(&lt;usual_clause&gt;)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</si>
  <si>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serve, }, choice, λ, </t>
    </r>
    <r>
      <rPr>
        <rFont val="Calibri"/>
        <b/>
        <color theme="1"/>
        <sz val="12.0"/>
      </rPr>
      <t>FOLLOW(&lt;usual_clause&gt;)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</si>
  <si>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serve, }, choice, </t>
    </r>
    <r>
      <rPr>
        <rFont val="Calibri"/>
        <b/>
        <color theme="1"/>
        <sz val="12.0"/>
      </rPr>
      <t>FOLLOW(&lt;choice_clause&gt;)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FOLLOW(&lt;usual_clause&gt;)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</si>
  <si>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serve, }, choice, usual, </t>
    </r>
    <r>
      <rPr>
        <rFont val="Calibri"/>
        <b/>
        <color theme="1"/>
        <sz val="12.0"/>
      </rPr>
      <t>FOLLOW(&lt;usual_clause&gt;)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</si>
  <si>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145: </t>
    </r>
    <r>
      <rPr>
        <rFont val="Calibri"/>
        <b/>
        <color theme="1"/>
        <sz val="12.0"/>
      </rPr>
      <t>FIRST(&lt;statements&gt;)</t>
    </r>
    <r>
      <rPr>
        <rFont val="Calibri"/>
        <color theme="1"/>
        <sz val="12.0"/>
      </rPr>
      <t xml:space="preserve">, 182: </t>
    </r>
    <r>
      <rPr>
        <rFont val="Calibri"/>
        <b/>
        <color theme="1"/>
        <sz val="12.0"/>
      </rPr>
      <t xml:space="preserve">FIRST(&lt;expr&gt;)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</si>
  <si>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λ, </t>
    </r>
    <r>
      <rPr>
        <rFont val="Calibri"/>
        <b/>
        <color theme="1"/>
        <sz val="12.0"/>
      </rPr>
      <t>FIRST(&lt;expr&gt;)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</si>
  <si>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</t>
    </r>
    <r>
      <rPr>
        <rFont val="Calibri"/>
        <b/>
        <color theme="1"/>
        <sz val="12.0"/>
      </rPr>
      <t>FOLLOW(&lt;statements&gt;)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FIRST(&lt;expr&gt;)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</si>
  <si>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</t>
    </r>
    <r>
      <rPr>
        <rFont val="Calibri"/>
        <b/>
        <color theme="1"/>
        <sz val="12.0"/>
      </rPr>
      <t>FOLLOW(&lt;statements&gt;)</t>
    </r>
    <r>
      <rPr>
        <rFont val="Calibri"/>
        <color theme="1"/>
        <sz val="12.0"/>
      </rPr>
      <t>, not, (, piece_lit, sip_lit, flag_lit, chars_lit, [ }</t>
    </r>
  </si>
  <si>
    <r>
      <rPr>
        <rFont val="Calibri"/>
        <color theme="1"/>
        <sz val="12.0"/>
      </rPr>
      <t xml:space="preserve">{ 151: </t>
    </r>
    <r>
      <rPr>
        <rFont val="Calibri"/>
        <b/>
        <color theme="1"/>
        <sz val="12.0"/>
      </rPr>
      <t>FIRST(&lt;value&gt;)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</si>
  <si>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146: </t>
    </r>
    <r>
      <rPr>
        <rFont val="Calibri"/>
        <b/>
        <color theme="1"/>
        <sz val="12.0"/>
      </rPr>
      <t>FIRST(&lt;statements&gt;)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</si>
  <si>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</t>
    </r>
    <r>
      <rPr>
        <rFont val="Calibri"/>
        <b/>
        <color theme="1"/>
        <sz val="12.0"/>
      </rPr>
      <t>FOLLOW(&lt;statements&gt;)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</si>
  <si>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147: </t>
    </r>
    <r>
      <rPr>
        <rFont val="Calibri"/>
        <b/>
        <color theme="1"/>
        <sz val="12.0"/>
      </rPr>
      <t>FIRST(&lt;statements&gt;)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</si>
  <si>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</t>
    </r>
    <r>
      <rPr>
        <rFont val="Calibri"/>
        <b/>
        <color theme="1"/>
        <sz val="12.0"/>
      </rPr>
      <t>FOLLOW(&lt;statements&gt;)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</si>
  <si>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148: </t>
    </r>
    <r>
      <rPr>
        <rFont val="Calibri"/>
        <b/>
        <color theme="1"/>
        <sz val="12.0"/>
      </rPr>
      <t>FIRST(&lt;statements&gt;)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</si>
  <si>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</t>
    </r>
    <r>
      <rPr>
        <rFont val="Calibri"/>
        <b/>
        <color theme="1"/>
        <sz val="12.0"/>
      </rPr>
      <t>FOLLOW(&lt;statements&gt;)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</si>
  <si>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149: </t>
    </r>
    <r>
      <rPr>
        <rFont val="Calibri"/>
        <b/>
        <color theme="1"/>
        <sz val="12.0"/>
      </rPr>
      <t>FIRST(&lt;statements&gt;)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</si>
  <si>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id, append, bill, copy, cut, fact, matches, pow, rand, remove, reverse, search, size, sort, sqrt, take, tochars, topiece, tosip, check, menu, pass, repeat, order, next, stop, serve, </t>
    </r>
    <r>
      <rPr>
        <rFont val="Calibri"/>
        <b/>
        <color theme="1"/>
        <sz val="12.0"/>
      </rPr>
      <t>FOLLOW(&lt;statements&gt;)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</si>
  <si>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164: </t>
    </r>
    <r>
      <rPr>
        <rFont val="Calibri"/>
        <b/>
        <color theme="1"/>
        <sz val="12.0"/>
      </rPr>
      <t xml:space="preserve">FOLLOW(&lt;jump_st&gt;)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</si>
  <si>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164: </t>
    </r>
    <r>
      <rPr>
        <rFont val="Calibri"/>
        <b/>
        <color theme="1"/>
        <sz val="12.0"/>
      </rPr>
      <t xml:space="preserve">FOLLOW(&lt;jump_st&gt;)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</si>
  <si>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165: </t>
    </r>
    <r>
      <rPr>
        <rFont val="Calibri"/>
        <b/>
        <color theme="1"/>
        <sz val="12.0"/>
      </rPr>
      <t xml:space="preserve">FOLLOW(&lt;jump_st&gt;)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</si>
  <si>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159: </t>
    </r>
    <r>
      <rPr>
        <rFont val="Calibri"/>
        <b/>
        <color theme="1"/>
        <sz val="12.0"/>
      </rPr>
      <t>FOLLOW(&lt;conditional_st&gt;)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</si>
  <si>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170: </t>
    </r>
    <r>
      <rPr>
        <rFont val="Calibri"/>
        <b/>
        <color theme="1"/>
        <sz val="12.0"/>
      </rPr>
      <t>FIRST(&lt;alt_clause&gt;)</t>
    </r>
    <r>
      <rPr>
        <rFont val="Calibri"/>
        <color theme="1"/>
        <sz val="12.0"/>
      </rPr>
      <t xml:space="preserve">, 172: </t>
    </r>
    <r>
      <rPr>
        <rFont val="Calibri"/>
        <b/>
        <color theme="1"/>
        <sz val="12.0"/>
      </rPr>
      <t>FIRST(&lt;alt_clause&gt;)</t>
    </r>
    <r>
      <rPr>
        <rFont val="Calibri"/>
        <color theme="1"/>
        <sz val="12.0"/>
      </rPr>
      <t xml:space="preserve">, 174: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182: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183: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184: order }</t>
    </r>
  </si>
  <si>
    <r>
      <rPr>
        <rFont val="Calibri"/>
        <color theme="1"/>
        <sz val="12.0"/>
      </rPr>
      <t xml:space="preserve">{ alt, λ, </t>
    </r>
    <r>
      <rPr>
        <rFont val="Calibri"/>
        <b/>
        <color theme="1"/>
        <sz val="12.0"/>
      </rPr>
      <t>FIRST(&lt;alt_clause&gt;)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</si>
  <si>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</t>
    </r>
    <r>
      <rPr>
        <rFont val="Calibri"/>
        <b/>
        <color theme="1"/>
        <sz val="12.0"/>
      </rPr>
      <t>FIRST(&lt;instead_clause&gt;)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FIRST(&lt;alt_clause&gt;)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</si>
  <si>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instead, λ, </t>
    </r>
    <r>
      <rPr>
        <rFont val="Calibri"/>
        <b/>
        <color theme="1"/>
        <sz val="12.0"/>
      </rPr>
      <t>FIRST(&lt;alt_clause&gt;)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</si>
  <si>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instead, </t>
    </r>
    <r>
      <rPr>
        <rFont val="Calibri"/>
        <b/>
        <color theme="1"/>
        <sz val="12.0"/>
      </rPr>
      <t>FOLLOW(&lt;cond_check&gt;)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FIRST(&lt;alt_clause&gt;)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</si>
  <si>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instead, </t>
    </r>
    <r>
      <rPr>
        <rFont val="Calibri"/>
        <b/>
        <color theme="1"/>
        <sz val="12.0"/>
      </rPr>
      <t>FOLLOW(&lt;cond_check&gt;)</t>
    </r>
    <r>
      <rPr>
        <rFont val="Calibri"/>
        <color theme="1"/>
        <sz val="12.0"/>
      </rPr>
      <t xml:space="preserve">, λ,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</si>
  <si>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instead, </t>
    </r>
    <r>
      <rPr>
        <rFont val="Calibri"/>
        <b/>
        <color theme="1"/>
        <sz val="12.0"/>
      </rPr>
      <t>FOLLOW(&lt;cond_check&gt;)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FOLLOW(&lt;alt_clause&gt;)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</si>
  <si>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instead, id, append, bill, copy, cut, fact, matches, pow, rand, remove, reverse, search, size, sort, sqrt, take, tochars, topiece, tosip, check, menu, pass, repeat, next, stop, serve, }, choice, usual, </t>
    </r>
    <r>
      <rPr>
        <rFont val="Calibri"/>
        <b/>
        <color theme="1"/>
        <sz val="12.0"/>
      </rPr>
      <t>FOLLOW(&lt;alt_clause&gt;)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</si>
  <si>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instead, id, append, bill, copy, cut, fact, matches, pow, rand, remove, reverse, search, size, sort, sqrt, take, tochars, topiece, tosip, check, menu, pass, repeat, next, stop, serve, }, choice, usual,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</si>
  <si>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instead, id, append, bill, copy, cut, fact, matches, pow, rand, remove, reverse, search, size, sort, sqrt, take, tochars, topiece, tosip, check, menu, pass, repeat, next, stop, serve, }, choice, usual, </t>
    </r>
    <r>
      <rPr>
        <rFont val="Calibri"/>
        <b/>
        <color theme="1"/>
        <sz val="12.0"/>
      </rPr>
      <t>FOLLOW(&lt;instead_clause&gt;)</t>
    </r>
    <r>
      <rPr>
        <rFont val="Calibri"/>
        <color theme="1"/>
        <sz val="12.0"/>
      </rPr>
      <t xml:space="preserve">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</si>
  <si>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alt, instead, id, append, bill, copy, cut, fact, matches, pow, rand, remove, reverse, search, size, sort, sqrt, take, tochars, topiece, tosip, check, menu, pass, repeat, next, stop, serve, }, choice, usual, </t>
    </r>
    <r>
      <rPr>
        <rFont val="Calibri"/>
        <b/>
        <color theme="1"/>
        <sz val="12.0"/>
      </rPr>
      <t>FOLLOW(&lt;loop_repeat&gt;)</t>
    </r>
    <r>
      <rPr>
        <rFont val="Calibri"/>
        <color theme="1"/>
        <sz val="12.0"/>
      </rPr>
      <t>, order }</t>
    </r>
  </si>
  <si>
    <r>
      <rPr>
        <rFont val="Calibri"/>
        <color theme="1"/>
        <sz val="12.0"/>
      </rPr>
      <t xml:space="preserve">{ 170: </t>
    </r>
    <r>
      <rPr>
        <rFont val="Calibri"/>
        <b/>
        <color theme="1"/>
        <sz val="12.0"/>
      </rPr>
      <t>FIRST(&lt;instead_clause&gt;)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</si>
  <si>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instead, </t>
    </r>
    <r>
      <rPr>
        <rFont val="Calibri"/>
        <b/>
        <color theme="1"/>
        <sz val="12.0"/>
      </rPr>
      <t>FOLLOW(&lt;cond_check&gt;)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</si>
  <si>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170: </t>
    </r>
    <r>
      <rPr>
        <rFont val="Calibri"/>
        <b/>
        <color theme="1"/>
        <sz val="12.0"/>
      </rPr>
      <t>FOLLOW(&lt;cond_check&gt;)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</si>
  <si>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160: </t>
    </r>
    <r>
      <rPr>
        <rFont val="Calibri"/>
        <b/>
        <color theme="1"/>
        <sz val="12.0"/>
      </rPr>
      <t>FOLLOW(&lt;conditional_st&gt;)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</si>
  <si>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176: </t>
    </r>
    <r>
      <rPr>
        <rFont val="Calibri"/>
        <b/>
        <color theme="1"/>
        <sz val="12.0"/>
      </rPr>
      <t>FOLLOW(&lt;cond_menu&gt;)</t>
    </r>
    <r>
      <rPr>
        <rFont val="Calibri"/>
        <color theme="1"/>
        <sz val="12.0"/>
      </rPr>
      <t xml:space="preserve"> }</t>
    </r>
  </si>
  <si>
    <r>
      <rPr>
        <rFont val="Calibri"/>
        <color theme="1"/>
        <sz val="12.0"/>
      </rPr>
      <t xml:space="preserve">{ 177: </t>
    </r>
    <r>
      <rPr>
        <rFont val="Calibri"/>
        <b/>
        <color theme="1"/>
        <sz val="12.0"/>
      </rPr>
      <t>FIRST(&lt;usual_clause&gt;)</t>
    </r>
    <r>
      <rPr>
        <rFont val="Calibri"/>
        <color theme="1"/>
        <sz val="12.0"/>
      </rPr>
      <t xml:space="preserve"> }</t>
    </r>
  </si>
  <si>
    <t>{ 177: } }</t>
  </si>
  <si>
    <r>
      <rPr>
        <rFont val="Calibri"/>
        <color theme="1"/>
        <sz val="12.0"/>
      </rPr>
      <t xml:space="preserve">{ 161: </t>
    </r>
    <r>
      <rPr>
        <rFont val="Calibri"/>
        <b/>
        <color theme="1"/>
        <sz val="12.0"/>
      </rPr>
      <t xml:space="preserve">FOLLOW(&lt;looping_st&gt;)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</si>
  <si>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162: </t>
    </r>
    <r>
      <rPr>
        <rFont val="Calibri"/>
        <b/>
        <color theme="1"/>
        <sz val="12.0"/>
      </rPr>
      <t xml:space="preserve">FOLLOW(&lt;looping_st&gt;)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</si>
  <si>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163: </t>
    </r>
    <r>
      <rPr>
        <rFont val="Calibri"/>
        <b/>
        <color theme="1"/>
        <sz val="12.0"/>
      </rPr>
      <t xml:space="preserve">FOLLOW(&lt;looping_st&gt;) </t>
    </r>
    <r>
      <rPr>
        <rFont val="Calibri"/>
        <color theme="1"/>
        <sz val="12.0"/>
      </rPr>
      <t>}</t>
    </r>
  </si>
  <si>
    <r>
      <rPr>
        <rFont val="Calibri"/>
        <color theme="1"/>
        <sz val="12.0"/>
      </rPr>
      <t xml:space="preserve">{ </t>
    </r>
    <r>
      <rPr>
        <rFont val="Calibri"/>
        <b/>
        <color theme="1"/>
        <sz val="12.0"/>
      </rPr>
      <t>FOLLOW(&lt;program&gt;)</t>
    </r>
    <r>
      <rPr>
        <rFont val="Calibri"/>
        <color theme="1"/>
        <sz val="12.0"/>
      </rPr>
      <t xml:space="preserve"> }</t>
    </r>
  </si>
  <si>
    <t>dlm</t>
  </si>
  <si>
    <t>s</t>
  </si>
  <si>
    <t>RE</t>
  </si>
  <si>
    <t>self delim</t>
  </si>
  <si>
    <t>whitespace</t>
  </si>
  <si>
    <t>alpnum</t>
  </si>
  <si>
    <t>=</t>
  </si>
  <si>
    <t>_</t>
  </si>
  <si>
    <t>"</t>
  </si>
  <si>
    <t>notes</t>
  </si>
  <si>
    <t>none</t>
  </si>
  <si>
    <t>-symbol</t>
  </si>
  <si>
    <t>\n</t>
  </si>
  <si>
    <t>\t</t>
  </si>
  <si>
    <t>˽</t>
  </si>
  <si>
    <t>op1_dlm</t>
  </si>
  <si>
    <t>equal_dlm</t>
  </si>
  <si>
    <t>-symbol2</t>
  </si>
  <si>
    <t>op2_dlm</t>
  </si>
  <si>
    <t>paren_dlm</t>
  </si>
  <si>
    <t>dtype_dlm</t>
  </si>
  <si>
    <t>data type</t>
  </si>
  <si>
    <t>method</t>
  </si>
  <si>
    <t>platter</t>
  </si>
  <si>
    <t>-comment</t>
  </si>
  <si>
    <t>special - comment</t>
  </si>
  <si>
    <t>id_dlm</t>
  </si>
  <si>
    <t>-id</t>
  </si>
  <si>
    <t>special - identifier</t>
  </si>
  <si>
    <t>num_dlm</t>
  </si>
  <si>
    <t>-num</t>
  </si>
  <si>
    <t>special - number</t>
  </si>
  <si>
    <t>-text</t>
  </si>
  <si>
    <t>special - string</t>
  </si>
  <si>
    <t>colon_dlm</t>
  </si>
  <si>
    <t>stmt - default</t>
  </si>
  <si>
    <t>curly_dlm</t>
  </si>
  <si>
    <t>stmt - do</t>
  </si>
  <si>
    <t xml:space="preserve">stmt - else </t>
  </si>
  <si>
    <t>stmt - elseif</t>
  </si>
  <si>
    <t>stmt - for</t>
  </si>
  <si>
    <t>stmt - if</t>
  </si>
  <si>
    <t>stmt - switch</t>
  </si>
  <si>
    <t>stmt - while</t>
  </si>
  <si>
    <t>term_dlm</t>
  </si>
  <si>
    <t>word - break</t>
  </si>
  <si>
    <t>word - case</t>
  </si>
  <si>
    <t>word - continue</t>
  </si>
  <si>
    <t>flag_dlm</t>
  </si>
  <si>
    <t>down</t>
  </si>
  <si>
    <t>word - false</t>
  </si>
  <si>
    <t>word - return</t>
  </si>
  <si>
    <t>up</t>
  </si>
  <si>
    <t>word - true</t>
  </si>
  <si>
    <t>&lt;flag_expr&gt;</t>
  </si>
  <si>
    <t>&lt;flag_or&gt;</t>
  </si>
  <si>
    <t>&lt;flag_and&gt;</t>
  </si>
  <si>
    <t>&lt;flag_or_tail&gt;</t>
  </si>
  <si>
    <t>&lt;flag_not&gt;</t>
  </si>
  <si>
    <t>&lt;flag_and_tail&gt;</t>
  </si>
  <si>
    <t>&lt;flag_operand&gt;</t>
  </si>
  <si>
    <t xml:space="preserve">( </t>
  </si>
  <si>
    <t xml:space="preserve"> )</t>
  </si>
  <si>
    <t>&lt;flag_eq_expr&gt;</t>
  </si>
  <si>
    <t>id + 3</t>
  </si>
  <si>
    <t>&lt;flag_operand_id&gt;</t>
  </si>
  <si>
    <t>&lt;piece_rel_expr&gt;</t>
  </si>
  <si>
    <t>&lt;sip_rel_expr&gt;</t>
  </si>
  <si>
    <t>&lt;chars_rel_expr&gt;</t>
  </si>
  <si>
    <t>&lt;flag_primary&gt;</t>
  </si>
  <si>
    <t>&lt;flag_eq_tail&gt;</t>
  </si>
  <si>
    <t>&lt;eq_op&gt;</t>
  </si>
  <si>
    <t>&lt;piece_operand&gt;</t>
  </si>
  <si>
    <t>&lt;add_op&gt;</t>
  </si>
  <si>
    <t>&lt;piece_primary&gt;</t>
  </si>
  <si>
    <t xml:space="preserve">&lt;piece_expr&gt; </t>
  </si>
  <si>
    <t>&lt;mult_op&gt;</t>
  </si>
  <si>
    <t>&lt;div_op&gt;</t>
  </si>
  <si>
    <t>&lt;sip_operand&gt;</t>
  </si>
  <si>
    <t>&lt;sip_primary&gt;</t>
  </si>
  <si>
    <t>sip lit</t>
  </si>
  <si>
    <t>&lt;chars_operand&gt;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</si>
</sst>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Calibri"/>
    </font>
    <font>
      <b/>
      <sz val="12.0"/>
      <color theme="1"/>
      <name val="Calibri"/>
    </font>
    <font>
      <color rgb="FF000000"/>
      <name val="Arial"/>
      <scheme val="minor"/>
    </font>
    <font>
      <i/>
      <sz val="12.0"/>
      <color theme="1"/>
      <name val="Calibri"/>
    </font>
    <font>
      <b/>
      <sz val="12.0"/>
      <color rgb="FFFF0000"/>
      <name val="Calibri"/>
    </font>
    <font>
      <strike/>
      <sz val="12.0"/>
      <color theme="1"/>
      <name val="Calibri"/>
    </font>
    <font>
      <sz val="1.0"/>
      <color theme="1"/>
      <name val="Arial"/>
    </font>
    <font>
      <b/>
      <color theme="1"/>
      <name val="Arial"/>
    </font>
  </fonts>
  <fills count="38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ADAAE"/>
        <bgColor rgb="FFBADAAE"/>
      </patternFill>
    </fill>
    <fill>
      <patternFill patternType="solid">
        <fgColor rgb="FFEDA0B9"/>
        <bgColor rgb="FFEDA0B9"/>
      </patternFill>
    </fill>
    <fill>
      <patternFill patternType="solid">
        <fgColor rgb="FFD4C4EA"/>
        <bgColor rgb="FFD4C4EA"/>
      </patternFill>
    </fill>
    <fill>
      <patternFill patternType="solid">
        <fgColor rgb="FF97CA82"/>
        <bgColor rgb="FF97CA82"/>
      </patternFill>
    </fill>
    <fill>
      <patternFill patternType="solid">
        <fgColor rgb="FFB1E6AC"/>
        <bgColor rgb="FFB1E6AC"/>
      </patternFill>
    </fill>
    <fill>
      <patternFill patternType="solid">
        <fgColor rgb="FFF8E0F8"/>
        <bgColor rgb="FFF8E0F8"/>
      </patternFill>
    </fill>
    <fill>
      <patternFill patternType="solid">
        <fgColor rgb="FFA1B7FB"/>
        <bgColor rgb="FFA1B7FB"/>
      </patternFill>
    </fill>
    <fill>
      <patternFill patternType="solid">
        <fgColor rgb="FFE9CE91"/>
        <bgColor rgb="FFE9CE91"/>
      </patternFill>
    </fill>
    <fill>
      <patternFill patternType="solid">
        <fgColor rgb="FFCDEC9A"/>
        <bgColor rgb="FFCDEC9A"/>
      </patternFill>
    </fill>
    <fill>
      <patternFill patternType="solid">
        <fgColor rgb="FF82E5D6"/>
        <bgColor rgb="FF82E5D6"/>
      </patternFill>
    </fill>
    <fill>
      <patternFill patternType="solid">
        <fgColor rgb="FFE49683"/>
        <bgColor rgb="FFE49683"/>
      </patternFill>
    </fill>
    <fill>
      <patternFill patternType="solid">
        <fgColor rgb="FFA0DFA2"/>
        <bgColor rgb="FFA0DFA2"/>
      </patternFill>
    </fill>
    <fill>
      <patternFill patternType="solid">
        <fgColor rgb="FF94BFED"/>
        <bgColor rgb="FF94BFED"/>
      </patternFill>
    </fill>
    <fill>
      <patternFill patternType="solid">
        <fgColor rgb="FFFE8F86"/>
        <bgColor rgb="FFFE8F86"/>
      </patternFill>
    </fill>
    <fill>
      <patternFill patternType="solid">
        <fgColor rgb="FFD0F2F3"/>
        <bgColor rgb="FFD0F2F3"/>
      </patternFill>
    </fill>
    <fill>
      <patternFill patternType="solid">
        <fgColor rgb="FFC3FEFE"/>
        <bgColor rgb="FFC3FEFE"/>
      </patternFill>
    </fill>
    <fill>
      <patternFill patternType="solid">
        <fgColor rgb="FFBBD7A8"/>
        <bgColor rgb="FFBBD7A8"/>
      </patternFill>
    </fill>
    <fill>
      <patternFill patternType="solid">
        <fgColor rgb="FF8CA1A8"/>
        <bgColor rgb="FF8CA1A8"/>
      </patternFill>
    </fill>
    <fill>
      <patternFill patternType="solid">
        <fgColor rgb="FFE188B2"/>
        <bgColor rgb="FFE188B2"/>
      </patternFill>
    </fill>
    <fill>
      <patternFill patternType="solid">
        <fgColor rgb="FFC4B896"/>
        <bgColor rgb="FFC4B896"/>
      </patternFill>
    </fill>
    <fill>
      <patternFill patternType="solid">
        <fgColor rgb="FFAEA0C8"/>
        <bgColor rgb="FFAEA0C8"/>
      </patternFill>
    </fill>
    <fill>
      <patternFill patternType="solid">
        <fgColor rgb="FFED82B8"/>
        <bgColor rgb="FFED82B8"/>
      </patternFill>
    </fill>
    <fill>
      <patternFill patternType="solid">
        <fgColor rgb="FFBFF689"/>
        <bgColor rgb="FFBFF689"/>
      </patternFill>
    </fill>
    <fill>
      <patternFill patternType="solid">
        <fgColor rgb="FFB3C2C0"/>
        <bgColor rgb="FFB3C2C0"/>
      </patternFill>
    </fill>
    <fill>
      <patternFill patternType="solid">
        <fgColor rgb="FFF0C086"/>
        <bgColor rgb="FFF0C086"/>
      </patternFill>
    </fill>
    <fill>
      <patternFill patternType="solid">
        <fgColor rgb="FFF6E1D1"/>
        <bgColor rgb="FFF6E1D1"/>
      </patternFill>
    </fill>
    <fill>
      <patternFill patternType="solid">
        <fgColor rgb="FFADBD97"/>
        <bgColor rgb="FFADBD97"/>
      </patternFill>
    </fill>
    <fill>
      <patternFill patternType="solid">
        <fgColor rgb="FF80F9CA"/>
        <bgColor rgb="FF80F9CA"/>
      </patternFill>
    </fill>
    <fill>
      <patternFill patternType="solid">
        <fgColor rgb="FFB4C3A6"/>
        <bgColor rgb="FFB4C3A6"/>
      </patternFill>
    </fill>
    <fill>
      <patternFill patternType="solid">
        <fgColor rgb="FFCAF1AB"/>
        <bgColor rgb="FFCAF1AB"/>
      </patternFill>
    </fill>
    <fill>
      <patternFill patternType="solid">
        <fgColor rgb="FFF1E0EB"/>
        <bgColor rgb="FFF1E0EB"/>
      </patternFill>
    </fill>
    <fill>
      <patternFill patternType="solid">
        <fgColor rgb="FF8F8287"/>
        <bgColor rgb="FF8F8287"/>
      </patternFill>
    </fill>
    <fill>
      <patternFill patternType="solid">
        <fgColor rgb="FFEEC2F9"/>
        <bgColor rgb="FFEEC2F9"/>
      </patternFill>
    </fill>
    <fill>
      <patternFill patternType="solid">
        <fgColor rgb="FF9194AD"/>
        <bgColor rgb="FF9194AD"/>
      </patternFill>
    </fill>
    <fill>
      <patternFill patternType="solid">
        <fgColor rgb="FFB49CC8"/>
        <bgColor rgb="FFB49CC8"/>
      </patternFill>
    </fill>
    <fill>
      <patternFill patternType="solid">
        <fgColor rgb="FFD7EFF0"/>
        <bgColor rgb="FFD7EFF0"/>
      </patternFill>
    </fill>
    <fill>
      <patternFill patternType="solid">
        <fgColor rgb="FFC6EDCF"/>
        <bgColor rgb="FFC6EDCF"/>
      </patternFill>
    </fill>
    <fill>
      <patternFill patternType="solid">
        <fgColor rgb="FFF8BA88"/>
        <bgColor rgb="FFF8BA88"/>
      </patternFill>
    </fill>
    <fill>
      <patternFill patternType="solid">
        <fgColor rgb="FFCDE9BF"/>
        <bgColor rgb="FFCDE9BF"/>
      </patternFill>
    </fill>
    <fill>
      <patternFill patternType="solid">
        <fgColor rgb="FFE8FB99"/>
        <bgColor rgb="FFE8FB99"/>
      </patternFill>
    </fill>
    <fill>
      <patternFill patternType="solid">
        <fgColor rgb="FFCD88EB"/>
        <bgColor rgb="FFCD88EB"/>
      </patternFill>
    </fill>
    <fill>
      <patternFill patternType="solid">
        <fgColor rgb="FF7F9A81"/>
        <bgColor rgb="FF7F9A81"/>
      </patternFill>
    </fill>
    <fill>
      <patternFill patternType="solid">
        <fgColor rgb="FFDEBFD8"/>
        <bgColor rgb="FFDEBFD8"/>
      </patternFill>
    </fill>
    <fill>
      <patternFill patternType="solid">
        <fgColor rgb="FFD3ABC9"/>
        <bgColor rgb="FFD3ABC9"/>
      </patternFill>
    </fill>
    <fill>
      <patternFill patternType="solid">
        <fgColor rgb="FFF0A8FA"/>
        <bgColor rgb="FFF0A8FA"/>
      </patternFill>
    </fill>
    <fill>
      <patternFill patternType="solid">
        <fgColor rgb="FFE9EF9B"/>
        <bgColor rgb="FFE9EF9B"/>
      </patternFill>
    </fill>
    <fill>
      <patternFill patternType="solid">
        <fgColor rgb="FF9F9FA0"/>
        <bgColor rgb="FF9F9FA0"/>
      </patternFill>
    </fill>
    <fill>
      <patternFill patternType="solid">
        <fgColor rgb="FF8AC2AE"/>
        <bgColor rgb="FF8AC2AE"/>
      </patternFill>
    </fill>
    <fill>
      <patternFill patternType="solid">
        <fgColor rgb="FFF5F4E3"/>
        <bgColor rgb="FFF5F4E3"/>
      </patternFill>
    </fill>
    <fill>
      <patternFill patternType="solid">
        <fgColor rgb="FFF4C08C"/>
        <bgColor rgb="FFF4C08C"/>
      </patternFill>
    </fill>
    <fill>
      <patternFill patternType="solid">
        <fgColor rgb="FF8182E2"/>
        <bgColor rgb="FF8182E2"/>
      </patternFill>
    </fill>
    <fill>
      <patternFill patternType="solid">
        <fgColor rgb="FFB8A183"/>
        <bgColor rgb="FFB8A183"/>
      </patternFill>
    </fill>
    <fill>
      <patternFill patternType="solid">
        <fgColor rgb="FFEA9F9D"/>
        <bgColor rgb="FFEA9F9D"/>
      </patternFill>
    </fill>
    <fill>
      <patternFill patternType="solid">
        <fgColor rgb="FF908FAC"/>
        <bgColor rgb="FF908FAC"/>
      </patternFill>
    </fill>
    <fill>
      <patternFill patternType="solid">
        <fgColor rgb="FF8EEFBE"/>
        <bgColor rgb="FF8EEFBE"/>
      </patternFill>
    </fill>
    <fill>
      <patternFill patternType="solid">
        <fgColor rgb="FFCDCBB5"/>
        <bgColor rgb="FFCDCBB5"/>
      </patternFill>
    </fill>
    <fill>
      <patternFill patternType="solid">
        <fgColor rgb="FF8C87D7"/>
        <bgColor rgb="FF8C87D7"/>
      </patternFill>
    </fill>
    <fill>
      <patternFill patternType="solid">
        <fgColor rgb="FFF1A8BD"/>
        <bgColor rgb="FFF1A8BD"/>
      </patternFill>
    </fill>
    <fill>
      <patternFill patternType="solid">
        <fgColor rgb="FF9EB6E7"/>
        <bgColor rgb="FF9EB6E7"/>
      </patternFill>
    </fill>
    <fill>
      <patternFill patternType="solid">
        <fgColor rgb="FFD3A285"/>
        <bgColor rgb="FFD3A285"/>
      </patternFill>
    </fill>
    <fill>
      <patternFill patternType="solid">
        <fgColor rgb="FFBBEC9C"/>
        <bgColor rgb="FFBBEC9C"/>
      </patternFill>
    </fill>
    <fill>
      <patternFill patternType="solid">
        <fgColor rgb="FFAAABD6"/>
        <bgColor rgb="FFAAABD6"/>
      </patternFill>
    </fill>
    <fill>
      <patternFill patternType="solid">
        <fgColor rgb="FFEFCE81"/>
        <bgColor rgb="FFEFCE81"/>
      </patternFill>
    </fill>
    <fill>
      <patternFill patternType="solid">
        <fgColor rgb="FFAAACE7"/>
        <bgColor rgb="FFAAACE7"/>
      </patternFill>
    </fill>
    <fill>
      <patternFill patternType="solid">
        <fgColor rgb="FFEEAC8E"/>
        <bgColor rgb="FFEEAC8E"/>
      </patternFill>
    </fill>
    <fill>
      <patternFill patternType="solid">
        <fgColor rgb="FFC6F7A5"/>
        <bgColor rgb="FFC6F7A5"/>
      </patternFill>
    </fill>
    <fill>
      <patternFill patternType="solid">
        <fgColor rgb="FF83C6C5"/>
        <bgColor rgb="FF83C6C5"/>
      </patternFill>
    </fill>
    <fill>
      <patternFill patternType="solid">
        <fgColor rgb="FFFCD9C1"/>
        <bgColor rgb="FFFCD9C1"/>
      </patternFill>
    </fill>
    <fill>
      <patternFill patternType="solid">
        <fgColor rgb="FF8D92E2"/>
        <bgColor rgb="FF8D92E2"/>
      </patternFill>
    </fill>
    <fill>
      <patternFill patternType="solid">
        <fgColor rgb="FFCA86FA"/>
        <bgColor rgb="FFCA86FA"/>
      </patternFill>
    </fill>
    <fill>
      <patternFill patternType="solid">
        <fgColor rgb="FFA2ECE5"/>
        <bgColor rgb="FFA2ECE5"/>
      </patternFill>
    </fill>
    <fill>
      <patternFill patternType="solid">
        <fgColor rgb="FFDBDAB6"/>
        <bgColor rgb="FFDBDAB6"/>
      </patternFill>
    </fill>
    <fill>
      <patternFill patternType="solid">
        <fgColor rgb="FFD1FED0"/>
        <bgColor rgb="FFD1FED0"/>
      </patternFill>
    </fill>
    <fill>
      <patternFill patternType="solid">
        <fgColor rgb="FFA88AF7"/>
        <bgColor rgb="FFA88AF7"/>
      </patternFill>
    </fill>
    <fill>
      <patternFill patternType="solid">
        <fgColor rgb="FFAAFBB6"/>
        <bgColor rgb="FFAAFBB6"/>
      </patternFill>
    </fill>
    <fill>
      <patternFill patternType="solid">
        <fgColor rgb="FF8DFC9A"/>
        <bgColor rgb="FF8DFC9A"/>
      </patternFill>
    </fill>
    <fill>
      <patternFill patternType="solid">
        <fgColor rgb="FFFBE487"/>
        <bgColor rgb="FFFBE487"/>
      </patternFill>
    </fill>
    <fill>
      <patternFill patternType="solid">
        <fgColor rgb="FFEAF8EA"/>
        <bgColor rgb="FFEAF8EA"/>
      </patternFill>
    </fill>
    <fill>
      <patternFill patternType="solid">
        <fgColor rgb="FF94FA85"/>
        <bgColor rgb="FF94FA85"/>
      </patternFill>
    </fill>
    <fill>
      <patternFill patternType="solid">
        <fgColor rgb="FF82F7E8"/>
        <bgColor rgb="FF82F7E8"/>
      </patternFill>
    </fill>
    <fill>
      <patternFill patternType="solid">
        <fgColor rgb="FFF9B6AE"/>
        <bgColor rgb="FFF9B6AE"/>
      </patternFill>
    </fill>
    <fill>
      <patternFill patternType="solid">
        <fgColor rgb="FFFBF1D7"/>
        <bgColor rgb="FFFBF1D7"/>
      </patternFill>
    </fill>
    <fill>
      <patternFill patternType="solid">
        <fgColor rgb="FF9B8AA0"/>
        <bgColor rgb="FF9B8AA0"/>
      </patternFill>
    </fill>
    <fill>
      <patternFill patternType="solid">
        <fgColor rgb="FF99D699"/>
        <bgColor rgb="FF99D699"/>
      </patternFill>
    </fill>
    <fill>
      <patternFill patternType="solid">
        <fgColor rgb="FF8FDB9B"/>
        <bgColor rgb="FF8FDB9B"/>
      </patternFill>
    </fill>
    <fill>
      <patternFill patternType="solid">
        <fgColor rgb="FFE0BAB7"/>
        <bgColor rgb="FFE0BAB7"/>
      </patternFill>
    </fill>
    <fill>
      <patternFill patternType="solid">
        <fgColor rgb="FFABBAA2"/>
        <bgColor rgb="FFABBAA2"/>
      </patternFill>
    </fill>
    <fill>
      <patternFill patternType="solid">
        <fgColor rgb="FF87ADE3"/>
        <bgColor rgb="FF87ADE3"/>
      </patternFill>
    </fill>
    <fill>
      <patternFill patternType="solid">
        <fgColor rgb="FFF3AC9B"/>
        <bgColor rgb="FFF3AC9B"/>
      </patternFill>
    </fill>
    <fill>
      <patternFill patternType="solid">
        <fgColor rgb="FFDF8D8E"/>
        <bgColor rgb="FFDF8D8E"/>
      </patternFill>
    </fill>
    <fill>
      <patternFill patternType="solid">
        <fgColor rgb="FFA1A48F"/>
        <bgColor rgb="FFA1A48F"/>
      </patternFill>
    </fill>
    <fill>
      <patternFill patternType="solid">
        <fgColor rgb="FFD0F4E1"/>
        <bgColor rgb="FFD0F4E1"/>
      </patternFill>
    </fill>
    <fill>
      <patternFill patternType="solid">
        <fgColor rgb="FF99E8C6"/>
        <bgColor rgb="FF99E8C6"/>
      </patternFill>
    </fill>
    <fill>
      <patternFill patternType="solid">
        <fgColor rgb="FFE2F3DB"/>
        <bgColor rgb="FFE2F3DB"/>
      </patternFill>
    </fill>
    <fill>
      <patternFill patternType="solid">
        <fgColor rgb="FFE6C9EF"/>
        <bgColor rgb="FFE6C9EF"/>
      </patternFill>
    </fill>
    <fill>
      <patternFill patternType="solid">
        <fgColor rgb="FFC587C3"/>
        <bgColor rgb="FFC587C3"/>
      </patternFill>
    </fill>
    <fill>
      <patternFill patternType="solid">
        <fgColor rgb="FFE4DBC0"/>
        <bgColor rgb="FFE4DBC0"/>
      </patternFill>
    </fill>
    <fill>
      <patternFill patternType="solid">
        <fgColor rgb="FFECDAF5"/>
        <bgColor rgb="FFECDAF5"/>
      </patternFill>
    </fill>
    <fill>
      <patternFill patternType="solid">
        <fgColor rgb="FFE9E1BA"/>
        <bgColor rgb="FFE9E1BA"/>
      </patternFill>
    </fill>
    <fill>
      <patternFill patternType="solid">
        <fgColor rgb="FFB8A6F2"/>
        <bgColor rgb="FFB8A6F2"/>
      </patternFill>
    </fill>
    <fill>
      <patternFill patternType="solid">
        <fgColor rgb="FFFBA5B6"/>
        <bgColor rgb="FFFBA5B6"/>
      </patternFill>
    </fill>
    <fill>
      <patternFill patternType="solid">
        <fgColor rgb="FFB399A4"/>
        <bgColor rgb="FFB399A4"/>
      </patternFill>
    </fill>
    <fill>
      <patternFill patternType="solid">
        <fgColor rgb="FF959B8A"/>
        <bgColor rgb="FF959B8A"/>
      </patternFill>
    </fill>
    <fill>
      <patternFill patternType="solid">
        <fgColor rgb="FFD5A0C7"/>
        <bgColor rgb="FFD5A0C7"/>
      </patternFill>
    </fill>
    <fill>
      <patternFill patternType="solid">
        <fgColor rgb="FFE68095"/>
        <bgColor rgb="FFE68095"/>
      </patternFill>
    </fill>
    <fill>
      <patternFill patternType="solid">
        <fgColor rgb="FF9DFBB8"/>
        <bgColor rgb="FF9DFBB8"/>
      </patternFill>
    </fill>
    <fill>
      <patternFill patternType="solid">
        <fgColor rgb="FFF1C7C8"/>
        <bgColor rgb="FFF1C7C8"/>
      </patternFill>
    </fill>
    <fill>
      <patternFill patternType="solid">
        <fgColor rgb="FF97AD9B"/>
        <bgColor rgb="FF97AD9B"/>
      </patternFill>
    </fill>
    <fill>
      <patternFill patternType="solid">
        <fgColor rgb="FF97E398"/>
        <bgColor rgb="FF97E398"/>
      </patternFill>
    </fill>
    <fill>
      <patternFill patternType="solid">
        <fgColor rgb="FFA5F389"/>
        <bgColor rgb="FFA5F389"/>
      </patternFill>
    </fill>
    <fill>
      <patternFill patternType="solid">
        <fgColor rgb="FFE1F4A4"/>
        <bgColor rgb="FFE1F4A4"/>
      </patternFill>
    </fill>
    <fill>
      <patternFill patternType="solid">
        <fgColor rgb="FF95FCA9"/>
        <bgColor rgb="FF95FCA9"/>
      </patternFill>
    </fill>
    <fill>
      <patternFill patternType="solid">
        <fgColor rgb="FFFEC7BC"/>
        <bgColor rgb="FFFEC7BC"/>
      </patternFill>
    </fill>
    <fill>
      <patternFill patternType="solid">
        <fgColor rgb="FFEBDDED"/>
        <bgColor rgb="FFEBDDED"/>
      </patternFill>
    </fill>
    <fill>
      <patternFill patternType="solid">
        <fgColor rgb="FFECB1E6"/>
        <bgColor rgb="FFECB1E6"/>
      </patternFill>
    </fill>
    <fill>
      <patternFill patternType="solid">
        <fgColor rgb="FFA1B7FD"/>
        <bgColor rgb="FFA1B7FD"/>
      </patternFill>
    </fill>
    <fill>
      <patternFill patternType="solid">
        <fgColor rgb="FF88ACE5"/>
        <bgColor rgb="FF88ACE5"/>
      </patternFill>
    </fill>
    <fill>
      <patternFill patternType="solid">
        <fgColor rgb="FFB9FFF9"/>
        <bgColor rgb="FFB9FFF9"/>
      </patternFill>
    </fill>
    <fill>
      <patternFill patternType="solid">
        <fgColor rgb="FF8FFAD4"/>
        <bgColor rgb="FF8FFAD4"/>
      </patternFill>
    </fill>
    <fill>
      <patternFill patternType="solid">
        <fgColor rgb="FF93D1E6"/>
        <bgColor rgb="FF93D1E6"/>
      </patternFill>
    </fill>
    <fill>
      <patternFill patternType="solid">
        <fgColor rgb="FFC3EEC2"/>
        <bgColor rgb="FFC3EEC2"/>
      </patternFill>
    </fill>
    <fill>
      <patternFill patternType="solid">
        <fgColor rgb="FF9ABDAB"/>
        <bgColor rgb="FF9ABDAB"/>
      </patternFill>
    </fill>
    <fill>
      <patternFill patternType="solid">
        <fgColor rgb="FFB9D7EA"/>
        <bgColor rgb="FFB9D7EA"/>
      </patternFill>
    </fill>
    <fill>
      <patternFill patternType="solid">
        <fgColor rgb="FFBECFBD"/>
        <bgColor rgb="FFBECFBD"/>
      </patternFill>
    </fill>
    <fill>
      <patternFill patternType="solid">
        <fgColor rgb="FFD4E9E1"/>
        <bgColor rgb="FFD4E9E1"/>
      </patternFill>
    </fill>
    <fill>
      <patternFill patternType="solid">
        <fgColor rgb="FFB3B3F5"/>
        <bgColor rgb="FFB3B3F5"/>
      </patternFill>
    </fill>
    <fill>
      <patternFill patternType="solid">
        <fgColor rgb="FFFAD581"/>
        <bgColor rgb="FFFAD581"/>
      </patternFill>
    </fill>
    <fill>
      <patternFill patternType="solid">
        <fgColor rgb="FFD5FA9A"/>
        <bgColor rgb="FFD5FA9A"/>
      </patternFill>
    </fill>
    <fill>
      <patternFill patternType="solid">
        <fgColor rgb="FFD6F6CC"/>
        <bgColor rgb="FFD6F6CC"/>
      </patternFill>
    </fill>
    <fill>
      <patternFill patternType="solid">
        <fgColor rgb="FF9B9F87"/>
        <bgColor rgb="FF9B9F87"/>
      </patternFill>
    </fill>
    <fill>
      <patternFill patternType="solid">
        <fgColor rgb="FF8EE4B6"/>
        <bgColor rgb="FF8EE4B6"/>
      </patternFill>
    </fill>
    <fill>
      <patternFill patternType="solid">
        <fgColor rgb="FFC3C69C"/>
        <bgColor rgb="FFC3C69C"/>
      </patternFill>
    </fill>
    <fill>
      <patternFill patternType="solid">
        <fgColor rgb="FFC2CAE7"/>
        <bgColor rgb="FFC2CAE7"/>
      </patternFill>
    </fill>
    <fill>
      <patternFill patternType="solid">
        <fgColor rgb="FFE19DE8"/>
        <bgColor rgb="FFE19DE8"/>
      </patternFill>
    </fill>
    <fill>
      <patternFill patternType="solid">
        <fgColor rgb="FF84BD9E"/>
        <bgColor rgb="FF84BD9E"/>
      </patternFill>
    </fill>
    <fill>
      <patternFill patternType="solid">
        <fgColor rgb="FFD49AED"/>
        <bgColor rgb="FFD49AED"/>
      </patternFill>
    </fill>
    <fill>
      <patternFill patternType="solid">
        <fgColor rgb="FFE3ED8D"/>
        <bgColor rgb="FFE3ED8D"/>
      </patternFill>
    </fill>
    <fill>
      <patternFill patternType="solid">
        <fgColor rgb="FF8CE1CD"/>
        <bgColor rgb="FF8CE1CD"/>
      </patternFill>
    </fill>
    <fill>
      <patternFill patternType="solid">
        <fgColor rgb="FFA499A8"/>
        <bgColor rgb="FFA499A8"/>
      </patternFill>
    </fill>
    <fill>
      <patternFill patternType="solid">
        <fgColor rgb="FFA5DBA4"/>
        <bgColor rgb="FFA5DBA4"/>
      </patternFill>
    </fill>
    <fill>
      <patternFill patternType="solid">
        <fgColor rgb="FF81D4C2"/>
        <bgColor rgb="FF81D4C2"/>
      </patternFill>
    </fill>
    <fill>
      <patternFill patternType="solid">
        <fgColor rgb="FFEF82B6"/>
        <bgColor rgb="FFEF82B6"/>
      </patternFill>
    </fill>
    <fill>
      <patternFill patternType="solid">
        <fgColor rgb="FFDE8FC3"/>
        <bgColor rgb="FFDE8FC3"/>
      </patternFill>
    </fill>
    <fill>
      <patternFill patternType="solid">
        <fgColor rgb="FFEF9CF6"/>
        <bgColor rgb="FFEF9CF6"/>
      </patternFill>
    </fill>
    <fill>
      <patternFill patternType="solid">
        <fgColor rgb="FFF7D1C0"/>
        <bgColor rgb="FFF7D1C0"/>
      </patternFill>
    </fill>
    <fill>
      <patternFill patternType="solid">
        <fgColor rgb="FFE580B4"/>
        <bgColor rgb="FFE580B4"/>
      </patternFill>
    </fill>
    <fill>
      <patternFill patternType="solid">
        <fgColor rgb="FFCDC2CE"/>
        <bgColor rgb="FFCDC2CE"/>
      </patternFill>
    </fill>
    <fill>
      <patternFill patternType="solid">
        <fgColor rgb="FF98EBB0"/>
        <bgColor rgb="FF98EBB0"/>
      </patternFill>
    </fill>
    <fill>
      <patternFill patternType="solid">
        <fgColor rgb="FF8799A4"/>
        <bgColor rgb="FF8799A4"/>
      </patternFill>
    </fill>
    <fill>
      <patternFill patternType="solid">
        <fgColor rgb="FFBBE7E2"/>
        <bgColor rgb="FFBBE7E2"/>
      </patternFill>
    </fill>
    <fill>
      <patternFill patternType="solid">
        <fgColor rgb="FFDAE68C"/>
        <bgColor rgb="FFDAE68C"/>
      </patternFill>
    </fill>
    <fill>
      <patternFill patternType="solid">
        <fgColor rgb="FFDDE8E5"/>
        <bgColor rgb="FFDDE8E5"/>
      </patternFill>
    </fill>
    <fill>
      <patternFill patternType="solid">
        <fgColor rgb="FFC9BF8E"/>
        <bgColor rgb="FFC9BF8E"/>
      </patternFill>
    </fill>
    <fill>
      <patternFill patternType="solid">
        <fgColor rgb="FFB7EE82"/>
        <bgColor rgb="FFB7EE82"/>
      </patternFill>
    </fill>
    <fill>
      <patternFill patternType="solid">
        <fgColor rgb="FFA98CAD"/>
        <bgColor rgb="FFA98CAD"/>
      </patternFill>
    </fill>
    <fill>
      <patternFill patternType="solid">
        <fgColor rgb="FF879CA9"/>
        <bgColor rgb="FF879CA9"/>
      </patternFill>
    </fill>
    <fill>
      <patternFill patternType="solid">
        <fgColor rgb="FFE0EAA2"/>
        <bgColor rgb="FFE0EAA2"/>
      </patternFill>
    </fill>
    <fill>
      <patternFill patternType="solid">
        <fgColor rgb="FFA690B1"/>
        <bgColor rgb="FFA690B1"/>
      </patternFill>
    </fill>
    <fill>
      <patternFill patternType="solid">
        <fgColor rgb="FF82A480"/>
        <bgColor rgb="FF82A480"/>
      </patternFill>
    </fill>
    <fill>
      <patternFill patternType="solid">
        <fgColor rgb="FFF4CCCC"/>
        <bgColor rgb="FFF4CCCC"/>
      </patternFill>
    </fill>
    <fill>
      <patternFill patternType="solid">
        <fgColor rgb="FFCF9DE3"/>
        <bgColor rgb="FFCF9DE3"/>
      </patternFill>
    </fill>
    <fill>
      <patternFill patternType="solid">
        <fgColor rgb="FFDAAF83"/>
        <bgColor rgb="FFDAAF83"/>
      </patternFill>
    </fill>
    <fill>
      <patternFill patternType="solid">
        <fgColor rgb="FF9FBAB4"/>
        <bgColor rgb="FF9FBAB4"/>
      </patternFill>
    </fill>
    <fill>
      <patternFill patternType="solid">
        <fgColor rgb="FF98C4CF"/>
        <bgColor rgb="FF98C4CF"/>
      </patternFill>
    </fill>
    <fill>
      <patternFill patternType="solid">
        <fgColor rgb="FFD1DEAD"/>
        <bgColor rgb="FFD1DEAD"/>
      </patternFill>
    </fill>
    <fill>
      <patternFill patternType="solid">
        <fgColor rgb="FFA4B596"/>
        <bgColor rgb="FFA4B596"/>
      </patternFill>
    </fill>
    <fill>
      <patternFill patternType="solid">
        <fgColor rgb="FFCEF58D"/>
        <bgColor rgb="FFCEF58D"/>
      </patternFill>
    </fill>
    <fill>
      <patternFill patternType="solid">
        <fgColor rgb="FFF1B995"/>
        <bgColor rgb="FFF1B995"/>
      </patternFill>
    </fill>
    <fill>
      <patternFill patternType="solid">
        <fgColor rgb="FF91FD96"/>
        <bgColor rgb="FF91FD96"/>
      </patternFill>
    </fill>
    <fill>
      <patternFill patternType="solid">
        <fgColor rgb="FFF4B4F8"/>
        <bgColor rgb="FFF4B4F8"/>
      </patternFill>
    </fill>
    <fill>
      <patternFill patternType="solid">
        <fgColor rgb="FF90E9C1"/>
        <bgColor rgb="FF90E9C1"/>
      </patternFill>
    </fill>
    <fill>
      <patternFill patternType="solid">
        <fgColor rgb="FF8E8CA5"/>
        <bgColor rgb="FF8E8CA5"/>
      </patternFill>
    </fill>
    <fill>
      <patternFill patternType="solid">
        <fgColor rgb="FFFCA1A0"/>
        <bgColor rgb="FFFCA1A0"/>
      </patternFill>
    </fill>
    <fill>
      <patternFill patternType="solid">
        <fgColor rgb="FFE6B29F"/>
        <bgColor rgb="FFE6B29F"/>
      </patternFill>
    </fill>
    <fill>
      <patternFill patternType="solid">
        <fgColor rgb="FFC4A9C7"/>
        <bgColor rgb="FFC4A9C7"/>
      </patternFill>
    </fill>
    <fill>
      <patternFill patternType="solid">
        <fgColor rgb="FFD994F8"/>
        <bgColor rgb="FFD994F8"/>
      </patternFill>
    </fill>
    <fill>
      <patternFill patternType="solid">
        <fgColor rgb="FFD9E1D5"/>
        <bgColor rgb="FFD9E1D5"/>
      </patternFill>
    </fill>
    <fill>
      <patternFill patternType="solid">
        <fgColor rgb="FFF98BAD"/>
        <bgColor rgb="FFF98BAD"/>
      </patternFill>
    </fill>
    <fill>
      <patternFill patternType="solid">
        <fgColor rgb="FFF88486"/>
        <bgColor rgb="FFF88486"/>
      </patternFill>
    </fill>
    <fill>
      <patternFill patternType="solid">
        <fgColor rgb="FF97EDDC"/>
        <bgColor rgb="FF97EDDC"/>
      </patternFill>
    </fill>
    <fill>
      <patternFill patternType="solid">
        <fgColor rgb="FF8EC9E6"/>
        <bgColor rgb="FF8EC9E6"/>
      </patternFill>
    </fill>
    <fill>
      <patternFill patternType="solid">
        <fgColor rgb="FF8CD6BF"/>
        <bgColor rgb="FF8CD6BF"/>
      </patternFill>
    </fill>
    <fill>
      <patternFill patternType="solid">
        <fgColor rgb="FFF4CD94"/>
        <bgColor rgb="FFF4CD94"/>
      </patternFill>
    </fill>
    <fill>
      <patternFill patternType="solid">
        <fgColor rgb="FFE3F3B2"/>
        <bgColor rgb="FFE3F3B2"/>
      </patternFill>
    </fill>
    <fill>
      <patternFill patternType="solid">
        <fgColor rgb="FFF9B5CF"/>
        <bgColor rgb="FFF9B5CF"/>
      </patternFill>
    </fill>
    <fill>
      <patternFill patternType="solid">
        <fgColor rgb="FF82C7B3"/>
        <bgColor rgb="FF82C7B3"/>
      </patternFill>
    </fill>
    <fill>
      <patternFill patternType="solid">
        <fgColor rgb="FFCDE4CE"/>
        <bgColor rgb="FFCDE4CE"/>
      </patternFill>
    </fill>
    <fill>
      <patternFill patternType="solid">
        <fgColor rgb="FFB6CFC0"/>
        <bgColor rgb="FFB6CFC0"/>
      </patternFill>
    </fill>
    <fill>
      <patternFill patternType="solid">
        <fgColor rgb="FF809092"/>
        <bgColor rgb="FF809092"/>
      </patternFill>
    </fill>
    <fill>
      <patternFill patternType="solid">
        <fgColor rgb="FF8F9B95"/>
        <bgColor rgb="FF8F9B95"/>
      </patternFill>
    </fill>
    <fill>
      <patternFill patternType="solid">
        <fgColor rgb="FFB6E4BE"/>
        <bgColor rgb="FFB6E4BE"/>
      </patternFill>
    </fill>
    <fill>
      <patternFill patternType="solid">
        <fgColor rgb="FFD6EDF4"/>
        <bgColor rgb="FFD6EDF4"/>
      </patternFill>
    </fill>
    <fill>
      <patternFill patternType="solid">
        <fgColor rgb="FF9CBEDA"/>
        <bgColor rgb="FF9CBEDA"/>
      </patternFill>
    </fill>
    <fill>
      <patternFill patternType="solid">
        <fgColor rgb="FFD9A0DC"/>
        <bgColor rgb="FFD9A0DC"/>
      </patternFill>
    </fill>
    <fill>
      <patternFill patternType="solid">
        <fgColor rgb="FFC3819F"/>
        <bgColor rgb="FFC3819F"/>
      </patternFill>
    </fill>
    <fill>
      <patternFill patternType="solid">
        <fgColor rgb="FFF8AFDB"/>
        <bgColor rgb="FFF8AFDB"/>
      </patternFill>
    </fill>
    <fill>
      <patternFill patternType="solid">
        <fgColor rgb="FFC3CDF6"/>
        <bgColor rgb="FFC3CDF6"/>
      </patternFill>
    </fill>
    <fill>
      <patternFill patternType="solid">
        <fgColor rgb="FFD8E1B2"/>
        <bgColor rgb="FFD8E1B2"/>
      </patternFill>
    </fill>
    <fill>
      <patternFill patternType="solid">
        <fgColor rgb="FF9ED894"/>
        <bgColor rgb="FF9ED894"/>
      </patternFill>
    </fill>
    <fill>
      <patternFill patternType="solid">
        <fgColor rgb="FFDBBA95"/>
        <bgColor rgb="FFDBBA95"/>
      </patternFill>
    </fill>
    <fill>
      <patternFill patternType="solid">
        <fgColor rgb="FF91E1B1"/>
        <bgColor rgb="FF91E1B1"/>
      </patternFill>
    </fill>
    <fill>
      <patternFill patternType="solid">
        <fgColor rgb="FFA5B3B6"/>
        <bgColor rgb="FFA5B3B6"/>
      </patternFill>
    </fill>
    <fill>
      <patternFill patternType="solid">
        <fgColor rgb="FFA8A8A7"/>
        <bgColor rgb="FFA8A8A7"/>
      </patternFill>
    </fill>
    <fill>
      <patternFill patternType="solid">
        <fgColor rgb="FFCAD6DD"/>
        <bgColor rgb="FFCAD6DD"/>
      </patternFill>
    </fill>
    <fill>
      <patternFill patternType="solid">
        <fgColor rgb="FF95F4F7"/>
        <bgColor rgb="FF95F4F7"/>
      </patternFill>
    </fill>
    <fill>
      <patternFill patternType="solid">
        <fgColor rgb="FFE3B8FE"/>
        <bgColor rgb="FFE3B8FE"/>
      </patternFill>
    </fill>
    <fill>
      <patternFill patternType="solid">
        <fgColor rgb="FFD9BCCF"/>
        <bgColor rgb="FFD9BCCF"/>
      </patternFill>
    </fill>
    <fill>
      <patternFill patternType="solid">
        <fgColor rgb="FFDBAF8E"/>
        <bgColor rgb="FFDBAF8E"/>
      </patternFill>
    </fill>
    <fill>
      <patternFill patternType="solid">
        <fgColor rgb="FF8CE4F2"/>
        <bgColor rgb="FF8CE4F2"/>
      </patternFill>
    </fill>
    <fill>
      <patternFill patternType="solid">
        <fgColor rgb="FFABF682"/>
        <bgColor rgb="FFABF682"/>
      </patternFill>
    </fill>
    <fill>
      <patternFill patternType="solid">
        <fgColor rgb="FF9FD6B4"/>
        <bgColor rgb="FF9FD6B4"/>
      </patternFill>
    </fill>
    <fill>
      <patternFill patternType="solid">
        <fgColor rgb="FFAABD9B"/>
        <bgColor rgb="FFAABD9B"/>
      </patternFill>
    </fill>
    <fill>
      <patternFill patternType="solid">
        <fgColor rgb="FFBAD0C3"/>
        <bgColor rgb="FFBAD0C3"/>
      </patternFill>
    </fill>
    <fill>
      <patternFill patternType="solid">
        <fgColor rgb="FF9B99D0"/>
        <bgColor rgb="FF9B99D0"/>
      </patternFill>
    </fill>
    <fill>
      <patternFill patternType="solid">
        <fgColor rgb="FF85F6D9"/>
        <bgColor rgb="FF85F6D9"/>
      </patternFill>
    </fill>
    <fill>
      <patternFill patternType="solid">
        <fgColor rgb="FFDBDCE3"/>
        <bgColor rgb="FFDBDCE3"/>
      </patternFill>
    </fill>
    <fill>
      <patternFill patternType="solid">
        <fgColor rgb="FFB2F4B6"/>
        <bgColor rgb="FFB2F4B6"/>
      </patternFill>
    </fill>
    <fill>
      <patternFill patternType="solid">
        <fgColor rgb="FFCE9DD2"/>
        <bgColor rgb="FFCE9DD2"/>
      </patternFill>
    </fill>
    <fill>
      <patternFill patternType="solid">
        <fgColor rgb="FF9387F6"/>
        <bgColor rgb="FF9387F6"/>
      </patternFill>
    </fill>
    <fill>
      <patternFill patternType="solid">
        <fgColor rgb="FFF084DB"/>
        <bgColor rgb="FFF084DB"/>
      </patternFill>
    </fill>
    <fill>
      <patternFill patternType="solid">
        <fgColor rgb="FFA0F7D8"/>
        <bgColor rgb="FFA0F7D8"/>
      </patternFill>
    </fill>
    <fill>
      <patternFill patternType="solid">
        <fgColor rgb="FFE58AE6"/>
        <bgColor rgb="FFE58AE6"/>
      </patternFill>
    </fill>
    <fill>
      <patternFill patternType="solid">
        <fgColor rgb="FFB599A0"/>
        <bgColor rgb="FFB599A0"/>
      </patternFill>
    </fill>
    <fill>
      <patternFill patternType="solid">
        <fgColor rgb="FFFB8AA0"/>
        <bgColor rgb="FFFB8AA0"/>
      </patternFill>
    </fill>
    <fill>
      <patternFill patternType="solid">
        <fgColor rgb="FFC0A8D8"/>
        <bgColor rgb="FFC0A8D8"/>
      </patternFill>
    </fill>
    <fill>
      <patternFill patternType="solid">
        <fgColor rgb="FFE7D9A3"/>
        <bgColor rgb="FFE7D9A3"/>
      </patternFill>
    </fill>
    <fill>
      <patternFill patternType="solid">
        <fgColor rgb="FF9CBC88"/>
        <bgColor rgb="FF9CBC88"/>
      </patternFill>
    </fill>
    <fill>
      <patternFill patternType="solid">
        <fgColor rgb="FFA5818D"/>
        <bgColor rgb="FFA5818D"/>
      </patternFill>
    </fill>
    <fill>
      <patternFill patternType="solid">
        <fgColor rgb="FFF586E7"/>
        <bgColor rgb="FFF586E7"/>
      </patternFill>
    </fill>
    <fill>
      <patternFill patternType="solid">
        <fgColor rgb="FFF68CE9"/>
        <bgColor rgb="FFF68CE9"/>
      </patternFill>
    </fill>
    <fill>
      <patternFill patternType="solid">
        <fgColor rgb="FFFA808F"/>
        <bgColor rgb="FFFA808F"/>
      </patternFill>
    </fill>
    <fill>
      <patternFill patternType="solid">
        <fgColor rgb="FFA983B4"/>
        <bgColor rgb="FFA983B4"/>
      </patternFill>
    </fill>
    <fill>
      <patternFill patternType="solid">
        <fgColor rgb="FF9DDF87"/>
        <bgColor rgb="FF9DDF87"/>
      </patternFill>
    </fill>
    <fill>
      <patternFill patternType="solid">
        <fgColor rgb="FF8CFCE7"/>
        <bgColor rgb="FF8CFCE7"/>
      </patternFill>
    </fill>
    <fill>
      <patternFill patternType="solid">
        <fgColor rgb="FF83C8BF"/>
        <bgColor rgb="FF83C8BF"/>
      </patternFill>
    </fill>
    <fill>
      <patternFill patternType="solid">
        <fgColor rgb="FFB98DD0"/>
        <bgColor rgb="FFB98DD0"/>
      </patternFill>
    </fill>
    <fill>
      <patternFill patternType="solid">
        <fgColor rgb="FFDB96A8"/>
        <bgColor rgb="FFDB96A8"/>
      </patternFill>
    </fill>
    <fill>
      <patternFill patternType="solid">
        <fgColor rgb="FFF3C9ED"/>
        <bgColor rgb="FFF3C9ED"/>
      </patternFill>
    </fill>
    <fill>
      <patternFill patternType="solid">
        <fgColor rgb="FFBFB681"/>
        <bgColor rgb="FFBFB681"/>
      </patternFill>
    </fill>
    <fill>
      <patternFill patternType="solid">
        <fgColor rgb="FFF498E6"/>
        <bgColor rgb="FFF498E6"/>
      </patternFill>
    </fill>
    <fill>
      <patternFill patternType="solid">
        <fgColor rgb="FFF39CEB"/>
        <bgColor rgb="FFF39CEB"/>
      </patternFill>
    </fill>
    <fill>
      <patternFill patternType="solid">
        <fgColor rgb="FFD2A7E7"/>
        <bgColor rgb="FFD2A7E7"/>
      </patternFill>
    </fill>
    <fill>
      <patternFill patternType="solid">
        <fgColor rgb="FFF3A195"/>
        <bgColor rgb="FFF3A195"/>
      </patternFill>
    </fill>
    <fill>
      <patternFill patternType="solid">
        <fgColor rgb="FFEA8E9D"/>
        <bgColor rgb="FFEA8E9D"/>
      </patternFill>
    </fill>
    <fill>
      <patternFill patternType="solid">
        <fgColor rgb="FF80C1DB"/>
        <bgColor rgb="FF80C1DB"/>
      </patternFill>
    </fill>
    <fill>
      <patternFill patternType="solid">
        <fgColor rgb="FFE185AD"/>
        <bgColor rgb="FFE185AD"/>
      </patternFill>
    </fill>
    <fill>
      <patternFill patternType="solid">
        <fgColor rgb="FFC886B7"/>
        <bgColor rgb="FFC886B7"/>
      </patternFill>
    </fill>
    <fill>
      <patternFill patternType="solid">
        <fgColor rgb="FFD596F7"/>
        <bgColor rgb="FFD596F7"/>
      </patternFill>
    </fill>
    <fill>
      <patternFill patternType="solid">
        <fgColor rgb="FFB7CDFE"/>
        <bgColor rgb="FFB7CDFE"/>
      </patternFill>
    </fill>
    <fill>
      <patternFill patternType="solid">
        <fgColor rgb="FFE2C5C1"/>
        <bgColor rgb="FFE2C5C1"/>
      </patternFill>
    </fill>
    <fill>
      <patternFill patternType="solid">
        <fgColor rgb="FFFEA5A4"/>
        <bgColor rgb="FFFEA5A4"/>
      </patternFill>
    </fill>
    <fill>
      <patternFill patternType="solid">
        <fgColor rgb="FFACA9A4"/>
        <bgColor rgb="FFACA9A4"/>
      </patternFill>
    </fill>
    <fill>
      <patternFill patternType="solid">
        <fgColor rgb="FFD0D5A3"/>
        <bgColor rgb="FFD0D5A3"/>
      </patternFill>
    </fill>
    <fill>
      <patternFill patternType="solid">
        <fgColor rgb="FFE0859A"/>
        <bgColor rgb="FFE0859A"/>
      </patternFill>
    </fill>
    <fill>
      <patternFill patternType="solid">
        <fgColor rgb="FFB5A89F"/>
        <bgColor rgb="FFB5A89F"/>
      </patternFill>
    </fill>
    <fill>
      <patternFill patternType="solid">
        <fgColor rgb="FFFEA8E9"/>
        <bgColor rgb="FFFEA8E9"/>
      </patternFill>
    </fill>
    <fill>
      <patternFill patternType="solid">
        <fgColor rgb="FFABF494"/>
        <bgColor rgb="FFABF494"/>
      </patternFill>
    </fill>
    <fill>
      <patternFill patternType="solid">
        <fgColor rgb="FF95DAC6"/>
        <bgColor rgb="FF95DAC6"/>
      </patternFill>
    </fill>
    <fill>
      <patternFill patternType="solid">
        <fgColor rgb="FFE0C393"/>
        <bgColor rgb="FFE0C393"/>
      </patternFill>
    </fill>
    <fill>
      <patternFill patternType="solid">
        <fgColor rgb="FFA190D6"/>
        <bgColor rgb="FFA190D6"/>
      </patternFill>
    </fill>
    <fill>
      <patternFill patternType="solid">
        <fgColor rgb="FF8EAC9A"/>
        <bgColor rgb="FF8EAC9A"/>
      </patternFill>
    </fill>
    <fill>
      <patternFill patternType="solid">
        <fgColor rgb="FFACD3BF"/>
        <bgColor rgb="FFACD3BF"/>
      </patternFill>
    </fill>
    <fill>
      <patternFill patternType="solid">
        <fgColor rgb="FFE7E18A"/>
        <bgColor rgb="FFE7E18A"/>
      </patternFill>
    </fill>
    <fill>
      <patternFill patternType="solid">
        <fgColor rgb="FFA38EED"/>
        <bgColor rgb="FFA38EED"/>
      </patternFill>
    </fill>
    <fill>
      <patternFill patternType="solid">
        <fgColor rgb="FFDCA4B7"/>
        <bgColor rgb="FFDCA4B7"/>
      </patternFill>
    </fill>
    <fill>
      <patternFill patternType="solid">
        <fgColor rgb="FFF88C88"/>
        <bgColor rgb="FFF88C88"/>
      </patternFill>
    </fill>
    <fill>
      <patternFill patternType="solid">
        <fgColor rgb="FFE090E7"/>
        <bgColor rgb="FFE090E7"/>
      </patternFill>
    </fill>
    <fill>
      <patternFill patternType="solid">
        <fgColor rgb="FF83EC9F"/>
        <bgColor rgb="FF83EC9F"/>
      </patternFill>
    </fill>
    <fill>
      <patternFill patternType="solid">
        <fgColor rgb="FF9FDF90"/>
        <bgColor rgb="FF9FDF90"/>
      </patternFill>
    </fill>
    <fill>
      <patternFill patternType="solid">
        <fgColor rgb="FFC1C4FE"/>
        <bgColor rgb="FFC1C4FE"/>
      </patternFill>
    </fill>
    <fill>
      <patternFill patternType="solid">
        <fgColor rgb="FFE7C8D7"/>
        <bgColor rgb="FFE7C8D7"/>
      </patternFill>
    </fill>
    <fill>
      <patternFill patternType="solid">
        <fgColor rgb="FFE395ED"/>
        <bgColor rgb="FFE395ED"/>
      </patternFill>
    </fill>
    <fill>
      <patternFill patternType="solid">
        <fgColor rgb="FF84ACDD"/>
        <bgColor rgb="FF84ACDD"/>
      </patternFill>
    </fill>
    <fill>
      <patternFill patternType="solid">
        <fgColor rgb="FFBE80A3"/>
        <bgColor rgb="FFBE80A3"/>
      </patternFill>
    </fill>
    <fill>
      <patternFill patternType="solid">
        <fgColor rgb="FF9BF0C8"/>
        <bgColor rgb="FF9BF0C8"/>
      </patternFill>
    </fill>
    <fill>
      <patternFill patternType="solid">
        <fgColor rgb="FFCE95D4"/>
        <bgColor rgb="FFCE95D4"/>
      </patternFill>
    </fill>
    <fill>
      <patternFill patternType="solid">
        <fgColor rgb="FFAEA4DC"/>
        <bgColor rgb="FFAEA4DC"/>
      </patternFill>
    </fill>
    <fill>
      <patternFill patternType="solid">
        <fgColor rgb="FFFACB88"/>
        <bgColor rgb="FFFACB88"/>
      </patternFill>
    </fill>
    <fill>
      <patternFill patternType="solid">
        <fgColor rgb="FF87CBEC"/>
        <bgColor rgb="FF87CBEC"/>
      </patternFill>
    </fill>
    <fill>
      <patternFill patternType="solid">
        <fgColor rgb="FFA6ED8B"/>
        <bgColor rgb="FFA6ED8B"/>
      </patternFill>
    </fill>
    <fill>
      <patternFill patternType="solid">
        <fgColor rgb="FFDAD6A9"/>
        <bgColor rgb="FFDAD6A9"/>
      </patternFill>
    </fill>
    <fill>
      <patternFill patternType="solid">
        <fgColor rgb="FFAFCBE2"/>
        <bgColor rgb="FFAFCBE2"/>
      </patternFill>
    </fill>
    <fill>
      <patternFill patternType="solid">
        <fgColor rgb="FFEFE5E1"/>
        <bgColor rgb="FFEFE5E1"/>
      </patternFill>
    </fill>
    <fill>
      <patternFill patternType="solid">
        <fgColor rgb="FFC5E7E4"/>
        <bgColor rgb="FFC5E7E4"/>
      </patternFill>
    </fill>
    <fill>
      <patternFill patternType="solid">
        <fgColor rgb="FF9A87C2"/>
        <bgColor rgb="FF9A87C2"/>
      </patternFill>
    </fill>
    <fill>
      <patternFill patternType="solid">
        <fgColor rgb="FFB3ECC4"/>
        <bgColor rgb="FFB3ECC4"/>
      </patternFill>
    </fill>
    <fill>
      <patternFill patternType="solid">
        <fgColor rgb="FFB3B5D2"/>
        <bgColor rgb="FFB3B5D2"/>
      </patternFill>
    </fill>
    <fill>
      <patternFill patternType="solid">
        <fgColor rgb="FFB3B0BE"/>
        <bgColor rgb="FFB3B0BE"/>
      </patternFill>
    </fill>
    <fill>
      <patternFill patternType="solid">
        <fgColor rgb="FFBCC5F3"/>
        <bgColor rgb="FFBCC5F3"/>
      </patternFill>
    </fill>
    <fill>
      <patternFill patternType="solid">
        <fgColor rgb="FF91B1F1"/>
        <bgColor rgb="FF91B1F1"/>
      </patternFill>
    </fill>
    <fill>
      <patternFill patternType="solid">
        <fgColor rgb="FFB6D08C"/>
        <bgColor rgb="FFB6D08C"/>
      </patternFill>
    </fill>
    <fill>
      <patternFill patternType="solid">
        <fgColor rgb="FF96D088"/>
        <bgColor rgb="FF96D088"/>
      </patternFill>
    </fill>
    <fill>
      <patternFill patternType="solid">
        <fgColor rgb="FFD1CAB0"/>
        <bgColor rgb="FFD1CAB0"/>
      </patternFill>
    </fill>
    <fill>
      <patternFill patternType="solid">
        <fgColor rgb="FFF7ACBA"/>
        <bgColor rgb="FFF7ACBA"/>
      </patternFill>
    </fill>
    <fill>
      <patternFill patternType="solid">
        <fgColor rgb="FFF0CDB2"/>
        <bgColor rgb="FFF0CDB2"/>
      </patternFill>
    </fill>
    <fill>
      <patternFill patternType="solid">
        <fgColor rgb="FFB5C1DD"/>
        <bgColor rgb="FFB5C1DD"/>
      </patternFill>
    </fill>
    <fill>
      <patternFill patternType="solid">
        <fgColor rgb="FF87E0DA"/>
        <bgColor rgb="FF87E0DA"/>
      </patternFill>
    </fill>
    <fill>
      <patternFill patternType="solid">
        <fgColor rgb="FFEA81EF"/>
        <bgColor rgb="FFEA81EF"/>
      </patternFill>
    </fill>
    <fill>
      <patternFill patternType="solid">
        <fgColor rgb="FF9DA1DC"/>
        <bgColor rgb="FF9DA1DC"/>
      </patternFill>
    </fill>
    <fill>
      <patternFill patternType="solid">
        <fgColor rgb="FFBFEDEC"/>
        <bgColor rgb="FFBFEDEC"/>
      </patternFill>
    </fill>
    <fill>
      <patternFill patternType="solid">
        <fgColor rgb="FFE48B88"/>
        <bgColor rgb="FFE48B88"/>
      </patternFill>
    </fill>
    <fill>
      <patternFill patternType="solid">
        <fgColor rgb="FFF3A3DF"/>
        <bgColor rgb="FFF3A3DF"/>
      </patternFill>
    </fill>
    <fill>
      <patternFill patternType="solid">
        <fgColor rgb="FFC8C2BD"/>
        <bgColor rgb="FFC8C2BD"/>
      </patternFill>
    </fill>
    <fill>
      <patternFill patternType="solid">
        <fgColor rgb="FFD38EEB"/>
        <bgColor rgb="FFD38EEB"/>
      </patternFill>
    </fill>
    <fill>
      <patternFill patternType="solid">
        <fgColor rgb="FFE0F0CD"/>
        <bgColor rgb="FFE0F0CD"/>
      </patternFill>
    </fill>
    <fill>
      <patternFill patternType="solid">
        <fgColor rgb="FFDD7FA2"/>
        <bgColor rgb="FFDD7FA2"/>
      </patternFill>
    </fill>
    <fill>
      <patternFill patternType="solid">
        <fgColor rgb="FFADD0A5"/>
        <bgColor rgb="FFADD0A5"/>
      </patternFill>
    </fill>
    <fill>
      <patternFill patternType="solid">
        <fgColor rgb="FFB1C5B5"/>
        <bgColor rgb="FFB1C5B5"/>
      </patternFill>
    </fill>
    <fill>
      <patternFill patternType="solid">
        <fgColor rgb="FFC1E089"/>
        <bgColor rgb="FFC1E089"/>
      </patternFill>
    </fill>
    <fill>
      <patternFill patternType="solid">
        <fgColor rgb="FFB59389"/>
        <bgColor rgb="FFB59389"/>
      </patternFill>
    </fill>
    <fill>
      <patternFill patternType="solid">
        <fgColor rgb="FFD186B7"/>
        <bgColor rgb="FFD186B7"/>
      </patternFill>
    </fill>
    <fill>
      <patternFill patternType="solid">
        <fgColor rgb="FFCADA9E"/>
        <bgColor rgb="FFCADA9E"/>
      </patternFill>
    </fill>
    <fill>
      <patternFill patternType="solid">
        <fgColor rgb="FFEBC2E3"/>
        <bgColor rgb="FFEBC2E3"/>
      </patternFill>
    </fill>
    <fill>
      <patternFill patternType="solid">
        <fgColor rgb="FF908AF6"/>
        <bgColor rgb="FF908AF6"/>
      </patternFill>
    </fill>
    <fill>
      <patternFill patternType="solid">
        <fgColor rgb="FFB2B99E"/>
        <bgColor rgb="FFB2B99E"/>
      </patternFill>
    </fill>
    <fill>
      <patternFill patternType="solid">
        <fgColor rgb="FF88B7E2"/>
        <bgColor rgb="FF88B7E2"/>
      </patternFill>
    </fill>
    <fill>
      <patternFill patternType="solid">
        <fgColor rgb="FFD5D399"/>
        <bgColor rgb="FFD5D399"/>
      </patternFill>
    </fill>
    <fill>
      <patternFill patternType="solid">
        <fgColor rgb="FFA8E695"/>
        <bgColor rgb="FFA8E695"/>
      </patternFill>
    </fill>
    <fill>
      <patternFill patternType="solid">
        <fgColor rgb="FFBDDC9B"/>
        <bgColor rgb="FFBDDC9B"/>
      </patternFill>
    </fill>
    <fill>
      <patternFill patternType="solid">
        <fgColor rgb="FFDDDEDD"/>
        <bgColor rgb="FFDDDEDD"/>
      </patternFill>
    </fill>
    <fill>
      <patternFill patternType="solid">
        <fgColor rgb="FF96A494"/>
        <bgColor rgb="FF96A494"/>
      </patternFill>
    </fill>
    <fill>
      <patternFill patternType="solid">
        <fgColor rgb="FFE4E18A"/>
        <bgColor rgb="FFE4E18A"/>
      </patternFill>
    </fill>
    <fill>
      <patternFill patternType="solid">
        <fgColor rgb="FFE8E3B1"/>
        <bgColor rgb="FFE8E3B1"/>
      </patternFill>
    </fill>
    <fill>
      <patternFill patternType="solid">
        <fgColor rgb="FFEBCB96"/>
        <bgColor rgb="FFEBCB96"/>
      </patternFill>
    </fill>
    <fill>
      <patternFill patternType="solid">
        <fgColor rgb="FF8793F6"/>
        <bgColor rgb="FF8793F6"/>
      </patternFill>
    </fill>
    <fill>
      <patternFill patternType="solid">
        <fgColor rgb="FF85AEA9"/>
        <bgColor rgb="FF85AEA9"/>
      </patternFill>
    </fill>
    <fill>
      <patternFill patternType="solid">
        <fgColor rgb="FFAABCAD"/>
        <bgColor rgb="FFAABCAD"/>
      </patternFill>
    </fill>
    <fill>
      <patternFill patternType="solid">
        <fgColor rgb="FF89FBDA"/>
        <bgColor rgb="FF89FBDA"/>
      </patternFill>
    </fill>
    <fill>
      <patternFill patternType="solid">
        <fgColor rgb="FF9D7F7F"/>
        <bgColor rgb="FF9D7F7F"/>
      </patternFill>
    </fill>
    <fill>
      <patternFill patternType="solid">
        <fgColor rgb="FFC0837F"/>
        <bgColor rgb="FFC0837F"/>
      </patternFill>
    </fill>
    <fill>
      <patternFill patternType="solid">
        <fgColor rgb="FF8E81D0"/>
        <bgColor rgb="FF8E81D0"/>
      </patternFill>
    </fill>
    <fill>
      <patternFill patternType="solid">
        <fgColor rgb="FFADA591"/>
        <bgColor rgb="FFADA591"/>
      </patternFill>
    </fill>
    <fill>
      <patternFill patternType="solid">
        <fgColor rgb="FFCADFA5"/>
        <bgColor rgb="FFCADFA5"/>
      </patternFill>
    </fill>
    <fill>
      <patternFill patternType="solid">
        <fgColor rgb="FFA68E92"/>
        <bgColor rgb="FFA68E92"/>
      </patternFill>
    </fill>
    <fill>
      <patternFill patternType="solid">
        <fgColor rgb="FFF0F87F"/>
        <bgColor rgb="FFF0F87F"/>
      </patternFill>
    </fill>
    <fill>
      <patternFill patternType="solid">
        <fgColor rgb="FFF596CC"/>
        <bgColor rgb="FFF596CC"/>
      </patternFill>
    </fill>
    <fill>
      <patternFill patternType="solid">
        <fgColor rgb="FFAC9AC7"/>
        <bgColor rgb="FFAC9AC7"/>
      </patternFill>
    </fill>
    <fill>
      <patternFill patternType="solid">
        <fgColor rgb="FFC7B8D8"/>
        <bgColor rgb="FFC7B8D8"/>
      </patternFill>
    </fill>
    <fill>
      <patternFill patternType="solid">
        <fgColor rgb="FFFDA692"/>
        <bgColor rgb="FFFDA692"/>
      </patternFill>
    </fill>
    <fill>
      <patternFill patternType="solid">
        <fgColor rgb="FFE783A1"/>
        <bgColor rgb="FFE783A1"/>
      </patternFill>
    </fill>
    <fill>
      <patternFill patternType="solid">
        <fgColor rgb="FFBC92F7"/>
        <bgColor rgb="FFBC92F7"/>
      </patternFill>
    </fill>
    <fill>
      <patternFill patternType="solid">
        <fgColor rgb="FFEB84F8"/>
        <bgColor rgb="FFEB84F8"/>
      </patternFill>
    </fill>
    <fill>
      <patternFill patternType="solid">
        <fgColor rgb="FFB8C68C"/>
        <bgColor rgb="FFB8C68C"/>
      </patternFill>
    </fill>
    <fill>
      <patternFill patternType="solid">
        <fgColor rgb="FFDCCF81"/>
        <bgColor rgb="FFDCCF81"/>
      </patternFill>
    </fill>
    <fill>
      <patternFill patternType="solid">
        <fgColor rgb="FF94A9D7"/>
        <bgColor rgb="FF94A9D7"/>
      </patternFill>
    </fill>
    <fill>
      <patternFill patternType="solid">
        <fgColor rgb="FF99CADD"/>
        <bgColor rgb="FF99CADD"/>
      </patternFill>
    </fill>
    <fill>
      <patternFill patternType="solid">
        <fgColor rgb="FFE0ED8E"/>
        <bgColor rgb="FFE0ED8E"/>
      </patternFill>
    </fill>
    <fill>
      <patternFill patternType="solid">
        <fgColor rgb="FFA0B3C9"/>
        <bgColor rgb="FFA0B3C9"/>
      </patternFill>
    </fill>
    <fill>
      <patternFill patternType="solid">
        <fgColor rgb="FFC8F0B7"/>
        <bgColor rgb="FFC8F0B7"/>
      </patternFill>
    </fill>
    <fill>
      <patternFill patternType="solid">
        <fgColor rgb="FFDEA2F2"/>
        <bgColor rgb="FFDEA2F2"/>
      </patternFill>
    </fill>
    <fill>
      <patternFill patternType="solid">
        <fgColor rgb="FFB8A18A"/>
        <bgColor rgb="FFB8A18A"/>
      </patternFill>
    </fill>
    <fill>
      <patternFill patternType="solid">
        <fgColor rgb="FFA5C2F0"/>
        <bgColor rgb="FFA5C2F0"/>
      </patternFill>
    </fill>
    <fill>
      <patternFill patternType="solid">
        <fgColor rgb="FFB3B6BD"/>
        <bgColor rgb="FFB3B6BD"/>
      </patternFill>
    </fill>
    <fill>
      <patternFill patternType="solid">
        <fgColor rgb="FFEDADD7"/>
        <bgColor rgb="FFEDADD7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8C5C9"/>
        <bgColor rgb="FFC8C5C9"/>
      </patternFill>
    </fill>
    <fill>
      <patternFill patternType="solid">
        <fgColor rgb="FFC7D784"/>
        <bgColor rgb="FFC7D784"/>
      </patternFill>
    </fill>
    <fill>
      <patternFill patternType="solid">
        <fgColor rgb="FFD1A5A0"/>
        <bgColor rgb="FFD1A5A0"/>
      </patternFill>
    </fill>
    <fill>
      <patternFill patternType="solid">
        <fgColor rgb="FFBEE0F0"/>
        <bgColor rgb="FFBEE0F0"/>
      </patternFill>
    </fill>
    <fill>
      <patternFill patternType="solid">
        <fgColor rgb="FFA4CEC7"/>
        <bgColor rgb="FFA4CEC7"/>
      </patternFill>
    </fill>
    <fill>
      <patternFill patternType="solid">
        <fgColor rgb="FF80D7F3"/>
        <bgColor rgb="FF80D7F3"/>
      </patternFill>
    </fill>
    <fill>
      <patternFill patternType="solid">
        <fgColor rgb="FFD7DFF8"/>
        <bgColor rgb="FFD7DFF8"/>
      </patternFill>
    </fill>
    <fill>
      <patternFill patternType="solid">
        <fgColor rgb="FFA58EF2"/>
        <bgColor rgb="FFA58EF2"/>
      </patternFill>
    </fill>
    <fill>
      <patternFill patternType="solid">
        <fgColor rgb="FFA6E78A"/>
        <bgColor rgb="FFA6E78A"/>
      </patternFill>
    </fill>
    <fill>
      <patternFill patternType="solid">
        <fgColor rgb="FFFA9EAD"/>
        <bgColor rgb="FFFA9EAD"/>
      </patternFill>
    </fill>
    <fill>
      <patternFill patternType="solid">
        <fgColor rgb="FFF09CAB"/>
        <bgColor rgb="FFF09CAB"/>
      </patternFill>
    </fill>
    <fill>
      <patternFill patternType="solid">
        <fgColor rgb="FF92B59B"/>
        <bgColor rgb="FF92B59B"/>
      </patternFill>
    </fill>
    <fill>
      <patternFill patternType="solid">
        <fgColor rgb="FF99DF8F"/>
        <bgColor rgb="FF99DF8F"/>
      </patternFill>
    </fill>
    <fill>
      <patternFill patternType="solid">
        <fgColor rgb="FFA8D0EE"/>
        <bgColor rgb="FFA8D0EE"/>
      </patternFill>
    </fill>
    <fill>
      <patternFill patternType="solid">
        <fgColor rgb="FFD2CBD9"/>
        <bgColor rgb="FFD2CBD9"/>
      </patternFill>
    </fill>
    <fill>
      <patternFill patternType="solid">
        <fgColor rgb="FF8084A1"/>
        <bgColor rgb="FF8084A1"/>
      </patternFill>
    </fill>
    <fill>
      <patternFill patternType="solid">
        <fgColor rgb="FF91D0AA"/>
        <bgColor rgb="FF91D0AA"/>
      </patternFill>
    </fill>
    <fill>
      <patternFill patternType="solid">
        <fgColor rgb="FFF4D5BE"/>
        <bgColor rgb="FFF4D5BE"/>
      </patternFill>
    </fill>
    <fill>
      <patternFill patternType="solid">
        <fgColor rgb="FF81C48D"/>
        <bgColor rgb="FF81C48D"/>
      </patternFill>
    </fill>
    <fill>
      <patternFill patternType="solid">
        <fgColor rgb="FF948DFE"/>
        <bgColor rgb="FF948DFE"/>
      </patternFill>
    </fill>
    <fill>
      <patternFill patternType="solid">
        <fgColor rgb="FF899AC6"/>
        <bgColor rgb="FF899AC6"/>
      </patternFill>
    </fill>
    <fill>
      <patternFill patternType="solid">
        <fgColor rgb="FFCAEF7F"/>
        <bgColor rgb="FFCAEF7F"/>
      </patternFill>
    </fill>
    <fill>
      <patternFill patternType="solid">
        <fgColor rgb="FFBEC09D"/>
        <bgColor rgb="FFBEC09D"/>
      </patternFill>
    </fill>
    <fill>
      <patternFill patternType="solid">
        <fgColor rgb="FFF9EC8F"/>
        <bgColor rgb="FFF9EC8F"/>
      </patternFill>
    </fill>
  </fills>
  <borders count="2">
    <border/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</borders>
  <cellStyleXfs count="1">
    <xf borderId="0" fillId="0" fontId="0" numFmtId="0" applyAlignment="1" applyFont="1"/>
  </cellStyleXfs>
  <cellXfs count="10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0" fillId="2" fontId="3" numFmtId="0" xfId="0" applyAlignment="1" applyFont="1">
      <alignment horizontal="center" vertical="top"/>
    </xf>
    <xf borderId="0" fillId="4" fontId="2" numFmtId="0" xfId="0" applyAlignment="1" applyFill="1" applyFont="1">
      <alignment horizontal="center" readingOrder="0" shrinkToFit="0" wrapText="1"/>
    </xf>
    <xf borderId="0" fillId="5" fontId="3" numFmtId="0" xfId="0" applyAlignment="1" applyFill="1" applyFont="1">
      <alignment horizontal="center" readingOrder="0" vertical="top"/>
    </xf>
    <xf borderId="0" fillId="6" fontId="3" numFmtId="0" xfId="0" applyAlignment="1" applyFill="1" applyFont="1">
      <alignment horizontal="center" readingOrder="0" vertical="top"/>
    </xf>
    <xf borderId="0" fillId="2" fontId="3" numFmtId="0" xfId="0" applyAlignment="1" applyFont="1">
      <alignment horizontal="center" readingOrder="0" vertical="top"/>
    </xf>
    <xf borderId="0" fillId="2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2" fontId="2" numFmtId="0" xfId="0" applyAlignment="1" applyFont="1">
      <alignment horizontal="center" readingOrder="0" shrinkToFit="0" wrapText="1"/>
    </xf>
    <xf borderId="0" fillId="7" fontId="3" numFmtId="0" xfId="0" applyAlignment="1" applyFill="1" applyFont="1">
      <alignment horizontal="center" readingOrder="0" vertical="top"/>
    </xf>
    <xf borderId="0" fillId="2" fontId="3" numFmtId="0" xfId="0" applyAlignment="1" applyFont="1">
      <alignment horizontal="center" vertical="top"/>
    </xf>
    <xf borderId="0" fillId="4" fontId="3" numFmtId="0" xfId="0" applyAlignment="1" applyFont="1">
      <alignment horizontal="center" vertical="top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vertical="bottom"/>
    </xf>
    <xf borderId="0" fillId="9" fontId="3" numFmtId="0" xfId="0" applyAlignment="1" applyFill="1" applyFont="1">
      <alignment horizontal="center" readingOrder="0" vertical="top"/>
    </xf>
    <xf borderId="0" fillId="7" fontId="3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vertical="bottom"/>
    </xf>
    <xf borderId="0" fillId="10" fontId="3" numFmtId="0" xfId="0" applyAlignment="1" applyFill="1" applyFont="1">
      <alignment horizontal="center" readingOrder="0" vertical="top"/>
    </xf>
    <xf borderId="0" fillId="11" fontId="2" numFmtId="0" xfId="0" applyAlignment="1" applyFill="1" applyFont="1">
      <alignment horizontal="center" readingOrder="0" shrinkToFit="0" wrapText="1"/>
    </xf>
    <xf borderId="0" fillId="12" fontId="3" numFmtId="0" xfId="0" applyAlignment="1" applyFill="1" applyFont="1">
      <alignment horizontal="center" readingOrder="0" vertical="top"/>
    </xf>
    <xf borderId="0" fillId="13" fontId="3" numFmtId="0" xfId="0" applyAlignment="1" applyFill="1" applyFont="1">
      <alignment horizontal="center" readingOrder="0" vertical="top"/>
    </xf>
    <xf borderId="0" fillId="14" fontId="3" numFmtId="0" xfId="0" applyAlignment="1" applyFill="1" applyFont="1">
      <alignment horizontal="center" readingOrder="0" vertical="top"/>
    </xf>
    <xf borderId="0" fillId="15" fontId="3" numFmtId="0" xfId="0" applyAlignment="1" applyFill="1" applyFont="1">
      <alignment horizontal="center" readingOrder="0" vertical="top"/>
    </xf>
    <xf borderId="0" fillId="16" fontId="2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 vertical="top"/>
    </xf>
    <xf borderId="0" fillId="18" fontId="3" numFmtId="0" xfId="0" applyAlignment="1" applyFill="1" applyFont="1">
      <alignment horizontal="center" readingOrder="0" vertical="top"/>
    </xf>
    <xf borderId="0" fillId="19" fontId="3" numFmtId="0" xfId="0" applyAlignment="1" applyFill="1" applyFont="1">
      <alignment horizontal="center" readingOrder="0" vertical="top"/>
    </xf>
    <xf borderId="0" fillId="20" fontId="2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 vertical="top"/>
    </xf>
    <xf borderId="0" fillId="15" fontId="3" numFmtId="0" xfId="0" applyAlignment="1" applyFont="1">
      <alignment horizontal="center" shrinkToFit="0" vertical="bottom" wrapText="1"/>
    </xf>
    <xf borderId="0" fillId="22" fontId="3" numFmtId="0" xfId="0" applyAlignment="1" applyFill="1" applyFont="1">
      <alignment horizontal="center" readingOrder="0" shrinkToFit="0" vertical="bottom" wrapText="1"/>
    </xf>
    <xf borderId="0" fillId="16" fontId="3" numFmtId="0" xfId="0" applyAlignment="1" applyFont="1">
      <alignment horizontal="center" readingOrder="0" vertical="bottom"/>
    </xf>
    <xf borderId="0" fillId="2" fontId="4" numFmtId="0" xfId="0" applyFont="1"/>
    <xf borderId="0" fillId="17" fontId="5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23" fontId="2" numFmtId="0" xfId="0" applyAlignment="1" applyFill="1" applyFont="1">
      <alignment horizontal="center" readingOrder="0" shrinkToFit="0" wrapText="1"/>
    </xf>
    <xf borderId="0" fillId="24" fontId="3" numFmtId="0" xfId="0" applyAlignment="1" applyFill="1" applyFont="1">
      <alignment horizontal="center" readingOrder="0" vertical="bottom"/>
    </xf>
    <xf borderId="0" fillId="25" fontId="2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 vertical="bottom"/>
    </xf>
    <xf borderId="0" fillId="27" fontId="3" numFmtId="0" xfId="0" applyAlignment="1" applyFill="1" applyFont="1">
      <alignment horizontal="center" readingOrder="0" vertical="bottom"/>
    </xf>
    <xf borderId="0" fillId="28" fontId="2" numFmtId="0" xfId="0" applyAlignment="1" applyFill="1" applyFont="1">
      <alignment horizontal="center" readingOrder="0"/>
    </xf>
    <xf borderId="0" fillId="23" fontId="3" numFmtId="0" xfId="0" applyAlignment="1" applyFont="1">
      <alignment horizontal="center" readingOrder="0" vertical="bottom"/>
    </xf>
    <xf borderId="0" fillId="29" fontId="3" numFmtId="0" xfId="0" applyAlignment="1" applyFill="1" applyFont="1">
      <alignment horizontal="center" readingOrder="0" vertical="bottom"/>
    </xf>
    <xf borderId="0" fillId="30" fontId="2" numFmtId="0" xfId="0" applyAlignment="1" applyFill="1" applyFont="1">
      <alignment horizontal="center" readingOrder="0"/>
    </xf>
    <xf borderId="0" fillId="31" fontId="2" numFmtId="0" xfId="0" applyAlignment="1" applyFill="1" applyFont="1">
      <alignment horizontal="center" readingOrder="0"/>
    </xf>
    <xf borderId="0" fillId="32" fontId="2" numFmtId="0" xfId="0" applyAlignment="1" applyFill="1" applyFont="1">
      <alignment horizontal="center" readingOrder="0"/>
    </xf>
    <xf borderId="0" fillId="33" fontId="3" numFmtId="0" xfId="0" applyAlignment="1" applyFill="1" applyFont="1">
      <alignment horizontal="center" readingOrder="0" vertical="top"/>
    </xf>
    <xf borderId="0" fillId="8" fontId="2" numFmtId="0" xfId="0" applyAlignment="1" applyFont="1">
      <alignment horizontal="center" readingOrder="0" shrinkToFit="0" wrapText="1"/>
    </xf>
    <xf borderId="0" fillId="34" fontId="2" numFmtId="0" xfId="0" applyAlignment="1" applyFill="1" applyFont="1">
      <alignment horizontal="center" readingOrder="0"/>
    </xf>
    <xf borderId="0" fillId="34" fontId="2" numFmtId="0" xfId="0" applyAlignment="1" applyFont="1">
      <alignment horizontal="center" readingOrder="0" shrinkToFit="0" wrapText="1"/>
    </xf>
    <xf borderId="0" fillId="35" fontId="2" numFmtId="0" xfId="0" applyAlignment="1" applyFill="1" applyFont="1">
      <alignment horizontal="center" readingOrder="0" shrinkToFit="0" wrapText="1"/>
    </xf>
    <xf borderId="0" fillId="11" fontId="2" numFmtId="0" xfId="0" applyAlignment="1" applyFont="1">
      <alignment horizontal="center" readingOrder="0"/>
    </xf>
    <xf borderId="0" fillId="5" fontId="3" numFmtId="0" xfId="0" applyAlignment="1" applyFont="1">
      <alignment horizontal="center" readingOrder="0" vertical="bottom"/>
    </xf>
    <xf borderId="0" fillId="36" fontId="3" numFmtId="0" xfId="0" applyAlignment="1" applyFill="1" applyFont="1">
      <alignment horizontal="center" readingOrder="0" vertical="bottom"/>
    </xf>
    <xf borderId="0" fillId="37" fontId="2" numFmtId="0" xfId="0" applyAlignment="1" applyFill="1" applyFont="1">
      <alignment horizontal="center" readingOrder="0"/>
    </xf>
    <xf borderId="0" fillId="37" fontId="3" numFmtId="0" xfId="0" applyAlignment="1" applyFont="1">
      <alignment horizontal="center" readingOrder="0" vertical="bottom"/>
    </xf>
    <xf borderId="0" fillId="38" fontId="3" numFmtId="0" xfId="0" applyAlignment="1" applyFill="1" applyFont="1">
      <alignment horizontal="center" readingOrder="0" vertical="bottom"/>
    </xf>
    <xf borderId="0" fillId="39" fontId="3" numFmtId="0" xfId="0" applyAlignment="1" applyFill="1" applyFont="1">
      <alignment horizontal="center" readingOrder="0" vertical="bottom"/>
    </xf>
    <xf borderId="0" fillId="40" fontId="3" numFmtId="0" xfId="0" applyAlignment="1" applyFill="1" applyFont="1">
      <alignment horizontal="center" vertical="bottom"/>
    </xf>
    <xf borderId="0" fillId="41" fontId="3" numFmtId="0" xfId="0" applyAlignment="1" applyFill="1" applyFont="1">
      <alignment horizontal="center" readingOrder="0" vertical="bottom"/>
    </xf>
    <xf borderId="0" fillId="17" fontId="3" numFmtId="0" xfId="0" applyAlignment="1" applyFont="1">
      <alignment horizontal="center" readingOrder="0" vertical="bottom"/>
    </xf>
    <xf borderId="0" fillId="42" fontId="3" numFmtId="0" xfId="0" applyAlignment="1" applyFill="1" applyFont="1">
      <alignment horizontal="center" readingOrder="0" vertical="bottom"/>
    </xf>
    <xf borderId="0" fillId="39" fontId="2" numFmtId="0" xfId="0" applyAlignment="1" applyFont="1">
      <alignment horizontal="center" readingOrder="0"/>
    </xf>
    <xf borderId="0" fillId="11" fontId="3" numFmtId="0" xfId="0" applyAlignment="1" applyFont="1">
      <alignment horizontal="center" readingOrder="0" vertical="bottom"/>
    </xf>
    <xf borderId="0" fillId="43" fontId="3" numFmtId="0" xfId="0" applyAlignment="1" applyFill="1" applyFont="1">
      <alignment horizontal="center" readingOrder="0" vertical="bottom"/>
    </xf>
    <xf borderId="0" fillId="44" fontId="3" numFmtId="0" xfId="0" applyAlignment="1" applyFill="1" applyFont="1">
      <alignment horizontal="center" readingOrder="0" vertical="bottom"/>
    </xf>
    <xf borderId="0" fillId="45" fontId="3" numFmtId="0" xfId="0" applyAlignment="1" applyFill="1" applyFont="1">
      <alignment horizontal="center" readingOrder="0" vertical="bottom"/>
    </xf>
    <xf borderId="0" fillId="40" fontId="2" numFmtId="0" xfId="0" applyAlignment="1" applyFont="1">
      <alignment horizontal="center" readingOrder="0"/>
    </xf>
    <xf borderId="0" fillId="46" fontId="2" numFmtId="0" xfId="0" applyAlignment="1" applyFill="1" applyFont="1">
      <alignment horizontal="center" readingOrder="0"/>
    </xf>
    <xf borderId="0" fillId="47" fontId="2" numFmtId="0" xfId="0" applyAlignment="1" applyFill="1" applyFont="1">
      <alignment horizontal="center" readingOrder="0"/>
    </xf>
    <xf borderId="0" fillId="48" fontId="2" numFmtId="0" xfId="0" applyAlignment="1" applyFill="1" applyFont="1">
      <alignment horizontal="center" readingOrder="0"/>
    </xf>
    <xf borderId="0" fillId="49" fontId="2" numFmtId="0" xfId="0" applyAlignment="1" applyFill="1" applyFont="1">
      <alignment horizontal="center" readingOrder="0"/>
    </xf>
    <xf borderId="0" fillId="50" fontId="3" numFmtId="0" xfId="0" applyAlignment="1" applyFill="1" applyFont="1">
      <alignment horizontal="center" readingOrder="0" vertical="bottom"/>
    </xf>
    <xf borderId="0" fillId="7" fontId="2" numFmtId="0" xfId="0" applyAlignment="1" applyFont="1">
      <alignment horizontal="center" readingOrder="0"/>
    </xf>
    <xf borderId="0" fillId="47" fontId="3" numFmtId="0" xfId="0" applyAlignment="1" applyFont="1">
      <alignment horizontal="center" readingOrder="0" vertical="bottom"/>
    </xf>
    <xf borderId="0" fillId="48" fontId="2" numFmtId="0" xfId="0" applyAlignment="1" applyFont="1">
      <alignment horizontal="center" readingOrder="0" shrinkToFit="0" wrapText="1"/>
    </xf>
    <xf borderId="0" fillId="51" fontId="2" numFmtId="0" xfId="0" applyAlignment="1" applyFill="1" applyFont="1">
      <alignment horizontal="center" readingOrder="0"/>
    </xf>
    <xf borderId="0" fillId="51" fontId="2" numFmtId="0" xfId="0" applyAlignment="1" applyFont="1">
      <alignment horizontal="center" readingOrder="0" shrinkToFit="0" wrapText="1"/>
    </xf>
    <xf borderId="0" fillId="52" fontId="2" numFmtId="0" xfId="0" applyAlignment="1" applyFill="1" applyFont="1">
      <alignment horizontal="center" readingOrder="0"/>
    </xf>
    <xf borderId="0" fillId="53" fontId="2" numFmtId="0" xfId="0" applyAlignment="1" applyFill="1" applyFont="1">
      <alignment horizontal="center" readingOrder="0"/>
    </xf>
    <xf borderId="0" fillId="54" fontId="2" numFmtId="0" xfId="0" applyAlignment="1" applyFill="1" applyFont="1">
      <alignment horizontal="center" readingOrder="0"/>
    </xf>
    <xf borderId="0" fillId="52" fontId="2" numFmtId="0" xfId="0" applyAlignment="1" applyFont="1">
      <alignment horizontal="center" readingOrder="0" shrinkToFit="0" wrapText="1"/>
    </xf>
    <xf borderId="0" fillId="55" fontId="2" numFmtId="0" xfId="0" applyAlignment="1" applyFill="1" applyFont="1">
      <alignment horizontal="center" readingOrder="0"/>
    </xf>
    <xf borderId="0" fillId="56" fontId="3" numFmtId="0" xfId="0" applyAlignment="1" applyFill="1" applyFont="1">
      <alignment horizontal="center" vertical="bottom"/>
    </xf>
    <xf borderId="0" fillId="55" fontId="3" numFmtId="0" xfId="0" applyAlignment="1" applyFont="1">
      <alignment horizontal="center" readingOrder="0" vertical="bottom"/>
    </xf>
    <xf borderId="0" fillId="57" fontId="3" numFmtId="0" xfId="0" applyAlignment="1" applyFill="1" applyFont="1">
      <alignment horizontal="center" readingOrder="0" vertical="bottom"/>
    </xf>
    <xf borderId="0" fillId="58" fontId="3" numFmtId="0" xfId="0" applyAlignment="1" applyFill="1" applyFont="1">
      <alignment horizontal="center" readingOrder="0" vertical="bottom"/>
    </xf>
    <xf borderId="0" fillId="59" fontId="3" numFmtId="0" xfId="0" applyAlignment="1" applyFill="1" applyFont="1">
      <alignment horizontal="center" readingOrder="0" vertical="bottom"/>
    </xf>
    <xf borderId="0" fillId="60" fontId="3" numFmtId="0" xfId="0" applyAlignment="1" applyFill="1" applyFont="1">
      <alignment horizontal="center" readingOrder="0" vertical="bottom"/>
    </xf>
    <xf borderId="0" fillId="61" fontId="3" numFmtId="0" xfId="0" applyAlignment="1" applyFill="1" applyFont="1">
      <alignment horizontal="center" readingOrder="0" vertical="bottom"/>
    </xf>
    <xf borderId="0" fillId="62" fontId="3" numFmtId="0" xfId="0" applyAlignment="1" applyFill="1" applyFont="1">
      <alignment horizontal="center" readingOrder="0"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2" fontId="3" numFmtId="0" xfId="0" applyAlignment="1" applyFont="1">
      <alignment horizontal="center" vertical="bottom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vertical="bottom" wrapText="1"/>
    </xf>
    <xf borderId="0" fillId="63" fontId="2" numFmtId="0" xfId="0" applyAlignment="1" applyFill="1" applyFont="1">
      <alignment horizontal="center" readingOrder="0"/>
    </xf>
    <xf borderId="0" fillId="64" fontId="3" numFmtId="0" xfId="0" applyAlignment="1" applyFill="1" applyFont="1">
      <alignment horizontal="center" readingOrder="0" shrinkToFit="0" vertical="bottom" wrapText="1"/>
    </xf>
    <xf borderId="0" fillId="65" fontId="2" numFmtId="0" xfId="0" applyAlignment="1" applyFill="1" applyFont="1">
      <alignment horizontal="center" readingOrder="0"/>
    </xf>
    <xf borderId="0" fillId="66" fontId="2" numFmtId="0" xfId="0" applyAlignment="1" applyFill="1" applyFont="1">
      <alignment horizontal="center" readingOrder="0"/>
    </xf>
    <xf borderId="0" fillId="67" fontId="2" numFmtId="0" xfId="0" applyAlignment="1" applyFill="1" applyFont="1">
      <alignment horizontal="center" readingOrder="0"/>
    </xf>
    <xf borderId="0" fillId="68" fontId="2" numFmtId="0" xfId="0" applyAlignment="1" applyFill="1" applyFont="1">
      <alignment horizontal="center" readingOrder="0"/>
    </xf>
    <xf borderId="0" fillId="69" fontId="2" numFmtId="0" xfId="0" applyAlignment="1" applyFill="1" applyFont="1">
      <alignment horizontal="center" readingOrder="0" shrinkToFit="0" wrapText="1"/>
    </xf>
    <xf borderId="0" fillId="69" fontId="2" numFmtId="0" xfId="0" applyAlignment="1" applyFont="1">
      <alignment horizontal="center" readingOrder="0"/>
    </xf>
    <xf borderId="0" fillId="70" fontId="2" numFmtId="0" xfId="0" applyAlignment="1" applyFill="1" applyFont="1">
      <alignment horizontal="center" readingOrder="0" shrinkToFit="0" wrapText="1"/>
    </xf>
    <xf borderId="0" fillId="71" fontId="2" numFmtId="0" xfId="0" applyAlignment="1" applyFill="1" applyFont="1">
      <alignment horizontal="center" readingOrder="0"/>
    </xf>
    <xf borderId="0" fillId="72" fontId="2" numFmtId="0" xfId="0" applyAlignment="1" applyFill="1" applyFont="1">
      <alignment horizontal="center" readingOrder="0"/>
    </xf>
    <xf borderId="0" fillId="73" fontId="2" numFmtId="0" xfId="0" applyAlignment="1" applyFill="1" applyFont="1">
      <alignment horizontal="center" readingOrder="0"/>
    </xf>
    <xf borderId="0" fillId="73" fontId="2" numFmtId="0" xfId="0" applyAlignment="1" applyFont="1">
      <alignment horizontal="center" readingOrder="0" shrinkToFit="0" wrapText="1"/>
    </xf>
    <xf borderId="0" fillId="72" fontId="2" numFmtId="0" xfId="0" applyAlignment="1" applyFont="1">
      <alignment horizontal="center" readingOrder="0" shrinkToFit="0" wrapText="1"/>
    </xf>
    <xf borderId="0" fillId="74" fontId="2" numFmtId="0" xfId="0" applyAlignment="1" applyFill="1" applyFont="1">
      <alignment horizontal="center" readingOrder="0"/>
    </xf>
    <xf borderId="0" fillId="75" fontId="2" numFmtId="0" xfId="0" applyAlignment="1" applyFill="1" applyFont="1">
      <alignment horizontal="center" readingOrder="0"/>
    </xf>
    <xf borderId="0" fillId="75" fontId="2" numFmtId="0" xfId="0" applyAlignment="1" applyFont="1">
      <alignment horizontal="center" readingOrder="0" shrinkToFit="0" wrapText="1"/>
    </xf>
    <xf borderId="0" fillId="74" fontId="2" numFmtId="0" xfId="0" applyAlignment="1" applyFont="1">
      <alignment horizontal="center" readingOrder="0" shrinkToFit="0" wrapText="1"/>
    </xf>
    <xf borderId="0" fillId="76" fontId="2" numFmtId="0" xfId="0" applyAlignment="1" applyFill="1" applyFont="1">
      <alignment horizontal="center" readingOrder="0"/>
    </xf>
    <xf borderId="0" fillId="77" fontId="2" numFmtId="0" xfId="0" applyAlignment="1" applyFill="1" applyFont="1">
      <alignment horizontal="center" readingOrder="0" shrinkToFit="0" wrapText="1"/>
    </xf>
    <xf borderId="0" fillId="11" fontId="3" numFmtId="0" xfId="0" applyAlignment="1" applyFont="1">
      <alignment horizontal="center" vertical="bottom"/>
    </xf>
    <xf borderId="0" fillId="74" fontId="3" numFmtId="0" xfId="0" applyAlignment="1" applyFont="1">
      <alignment horizontal="center" vertical="bottom"/>
    </xf>
    <xf borderId="0" fillId="76" fontId="2" numFmtId="0" xfId="0" applyAlignment="1" applyFont="1">
      <alignment horizontal="center" readingOrder="0" shrinkToFit="0" wrapText="1"/>
    </xf>
    <xf borderId="0" fillId="78" fontId="3" numFmtId="0" xfId="0" applyAlignment="1" applyFill="1" applyFont="1">
      <alignment horizontal="center" readingOrder="0" vertical="bottom"/>
    </xf>
    <xf borderId="0" fillId="23" fontId="2" numFmtId="0" xfId="0" applyAlignment="1" applyFont="1">
      <alignment horizontal="center" readingOrder="0"/>
    </xf>
    <xf borderId="0" fillId="56" fontId="3" numFmtId="0" xfId="0" applyAlignment="1" applyFont="1">
      <alignment horizontal="center" readingOrder="0" shrinkToFit="0" vertical="bottom" wrapText="1"/>
    </xf>
    <xf borderId="0" fillId="79" fontId="3" numFmtId="0" xfId="0" applyAlignment="1" applyFill="1" applyFont="1">
      <alignment horizontal="center" readingOrder="0" shrinkToFit="0" vertical="bottom" wrapText="1"/>
    </xf>
    <xf borderId="0" fillId="80" fontId="3" numFmtId="0" xfId="0" applyAlignment="1" applyFill="1" applyFont="1">
      <alignment horizontal="center" readingOrder="0" vertical="bottom"/>
    </xf>
    <xf borderId="0" fillId="80" fontId="2" numFmtId="0" xfId="0" applyAlignment="1" applyFont="1">
      <alignment horizontal="center" readingOrder="0"/>
    </xf>
    <xf borderId="0" fillId="2" fontId="3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readingOrder="0" vertical="bottom"/>
    </xf>
    <xf borderId="0" fillId="81" fontId="3" numFmtId="0" xfId="0" applyAlignment="1" applyFill="1" applyFont="1">
      <alignment horizontal="center" readingOrder="0" vertical="bottom"/>
    </xf>
    <xf borderId="0" fillId="53" fontId="3" numFmtId="0" xfId="0" applyAlignment="1" applyFont="1">
      <alignment horizontal="center" readingOrder="0" vertical="bottom"/>
    </xf>
    <xf borderId="0" fillId="82" fontId="3" numFmtId="0" xfId="0" applyAlignment="1" applyFill="1" applyFont="1">
      <alignment horizontal="center" readingOrder="0" vertical="bottom"/>
    </xf>
    <xf borderId="0" fillId="83" fontId="3" numFmtId="0" xfId="0" applyAlignment="1" applyFill="1" applyFont="1">
      <alignment horizontal="center" readingOrder="0" vertical="bottom"/>
    </xf>
    <xf borderId="0" fillId="84" fontId="3" numFmtId="0" xfId="0" applyAlignment="1" applyFill="1" applyFont="1">
      <alignment horizontal="center" readingOrder="0" vertical="bottom"/>
    </xf>
    <xf borderId="0" fillId="85" fontId="3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center" readingOrder="0"/>
    </xf>
    <xf borderId="0" fillId="2" fontId="7" numFmtId="0" xfId="0" applyFont="1"/>
    <xf borderId="0" fillId="86" fontId="3" numFmtId="0" xfId="0" applyAlignment="1" applyFill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86" fontId="3" numFmtId="0" xfId="0" applyAlignment="1" applyFont="1">
      <alignment horizontal="center" readingOrder="0" vertical="bottom"/>
    </xf>
    <xf borderId="0" fillId="15" fontId="3" numFmtId="0" xfId="0" applyAlignment="1" applyFont="1">
      <alignment horizontal="center" readingOrder="0"/>
    </xf>
    <xf borderId="0" fillId="87" fontId="2" numFmtId="0" xfId="0" applyAlignment="1" applyFill="1" applyFont="1">
      <alignment horizontal="center" readingOrder="0"/>
    </xf>
    <xf borderId="0" fillId="87" fontId="3" numFmtId="0" xfId="0" applyAlignment="1" applyFont="1">
      <alignment horizontal="center" readingOrder="0" vertical="bottom"/>
    </xf>
    <xf borderId="0" fillId="15" fontId="2" numFmtId="0" xfId="0" applyAlignment="1" applyFont="1">
      <alignment horizontal="center" readingOrder="0"/>
    </xf>
    <xf borderId="0" fillId="54" fontId="2" numFmtId="0" xfId="0" applyAlignment="1" applyFont="1">
      <alignment horizontal="center" readingOrder="0" shrinkToFit="0" wrapText="1"/>
    </xf>
    <xf borderId="0" fillId="88" fontId="3" numFmtId="0" xfId="0" applyAlignment="1" applyFill="1" applyFont="1">
      <alignment horizontal="center" readingOrder="0"/>
    </xf>
    <xf borderId="0" fillId="2" fontId="7" numFmtId="0" xfId="0" applyAlignment="1" applyFont="1">
      <alignment readingOrder="0"/>
    </xf>
    <xf borderId="0" fillId="89" fontId="2" numFmtId="0" xfId="0" applyAlignment="1" applyFill="1" applyFont="1">
      <alignment horizontal="center" readingOrder="0"/>
    </xf>
    <xf borderId="0" fillId="88" fontId="2" numFmtId="0" xfId="0" applyAlignment="1" applyFont="1">
      <alignment horizontal="center" readingOrder="0" shrinkToFit="0" wrapText="1"/>
    </xf>
    <xf borderId="0" fillId="90" fontId="2" numFmtId="0" xfId="0" applyAlignment="1" applyFill="1" applyFont="1">
      <alignment horizontal="center" readingOrder="0" shrinkToFit="0" wrapText="1"/>
    </xf>
    <xf borderId="0" fillId="91" fontId="2" numFmtId="0" xfId="0" applyAlignment="1" applyFill="1" applyFont="1">
      <alignment horizontal="center" readingOrder="0" shrinkToFit="0" wrapText="1"/>
    </xf>
    <xf borderId="0" fillId="92" fontId="3" numFmtId="0" xfId="0" applyAlignment="1" applyFill="1" applyFont="1">
      <alignment horizontal="center" readingOrder="0" vertical="bottom"/>
    </xf>
    <xf borderId="0" fillId="93" fontId="2" numFmtId="0" xfId="0" applyAlignment="1" applyFill="1" applyFont="1">
      <alignment horizontal="center" readingOrder="0"/>
    </xf>
    <xf borderId="0" fillId="94" fontId="2" numFmtId="0" xfId="0" applyAlignment="1" applyFill="1" applyFont="1">
      <alignment horizontal="center" readingOrder="0"/>
    </xf>
    <xf borderId="0" fillId="95" fontId="2" numFmtId="0" xfId="0" applyAlignment="1" applyFill="1" applyFont="1">
      <alignment horizontal="center" readingOrder="0"/>
    </xf>
    <xf borderId="0" fillId="92" fontId="2" numFmtId="0" xfId="0" applyAlignment="1" applyFont="1">
      <alignment horizontal="center" readingOrder="0" shrinkToFit="0" wrapText="1"/>
    </xf>
    <xf borderId="0" fillId="96" fontId="2" numFmtId="0" xfId="0" applyAlignment="1" applyFill="1" applyFont="1">
      <alignment horizontal="center" readingOrder="0"/>
    </xf>
    <xf borderId="0" fillId="97" fontId="2" numFmtId="0" xfId="0" applyAlignment="1" applyFill="1" applyFont="1">
      <alignment horizontal="center" readingOrder="0"/>
    </xf>
    <xf borderId="0" fillId="98" fontId="2" numFmtId="0" xfId="0" applyAlignment="1" applyFill="1" applyFont="1">
      <alignment horizontal="center" readingOrder="0" shrinkToFit="0" wrapText="1"/>
    </xf>
    <xf borderId="0" fillId="99" fontId="2" numFmtId="0" xfId="0" applyAlignment="1" applyFill="1" applyFont="1">
      <alignment horizontal="center" readingOrder="0"/>
    </xf>
    <xf borderId="0" fillId="98" fontId="2" numFmtId="0" xfId="0" applyAlignment="1" applyFont="1">
      <alignment horizontal="center" readingOrder="0"/>
    </xf>
    <xf borderId="0" fillId="100" fontId="2" numFmtId="0" xfId="0" applyAlignment="1" applyFill="1" applyFont="1">
      <alignment horizontal="center" readingOrder="0"/>
    </xf>
    <xf borderId="0" fillId="100" fontId="2" numFmtId="0" xfId="0" applyAlignment="1" applyFont="1">
      <alignment horizontal="center" readingOrder="0" shrinkToFit="0" wrapText="1"/>
    </xf>
    <xf borderId="0" fillId="101" fontId="3" numFmtId="0" xfId="0" applyAlignment="1" applyFill="1" applyFont="1">
      <alignment horizontal="center" readingOrder="0" vertical="bottom"/>
    </xf>
    <xf borderId="0" fillId="102" fontId="2" numFmtId="0" xfId="0" applyAlignment="1" applyFill="1" applyFont="1">
      <alignment horizontal="center" readingOrder="0" shrinkToFit="0" wrapText="1"/>
    </xf>
    <xf borderId="0" fillId="71" fontId="3" numFmtId="0" xfId="0" applyAlignment="1" applyFont="1">
      <alignment horizontal="center" readingOrder="0" vertical="bottom"/>
    </xf>
    <xf borderId="0" fillId="70" fontId="3" numFmtId="0" xfId="0" applyAlignment="1" applyFont="1">
      <alignment horizontal="center" readingOrder="0" vertical="bottom"/>
    </xf>
    <xf borderId="0" fillId="56" fontId="2" numFmtId="0" xfId="0" applyAlignment="1" applyFont="1">
      <alignment horizontal="center" readingOrder="0" shrinkToFit="0" wrapText="1"/>
    </xf>
    <xf borderId="0" fillId="71" fontId="2" numFmtId="0" xfId="0" applyAlignment="1" applyFont="1">
      <alignment horizontal="center" readingOrder="0" shrinkToFit="0" wrapText="1"/>
    </xf>
    <xf borderId="0" fillId="74" fontId="3" numFmtId="0" xfId="0" applyAlignment="1" applyFont="1">
      <alignment horizontal="center" readingOrder="0" vertical="bottom"/>
    </xf>
    <xf borderId="0" fillId="93" fontId="2" numFmtId="0" xfId="0" applyAlignment="1" applyFont="1">
      <alignment horizontal="center" readingOrder="0" shrinkToFit="0" wrapText="1"/>
    </xf>
    <xf borderId="0" fillId="103" fontId="2" numFmtId="0" xfId="0" applyAlignment="1" applyFill="1" applyFont="1">
      <alignment horizontal="center" readingOrder="0"/>
    </xf>
    <xf borderId="0" fillId="104" fontId="2" numFmtId="0" xfId="0" applyAlignment="1" applyFill="1" applyFont="1">
      <alignment horizontal="center" readingOrder="0"/>
    </xf>
    <xf borderId="0" fillId="94" fontId="2" numFmtId="0" xfId="0" applyAlignment="1" applyFont="1">
      <alignment horizontal="center" readingOrder="0" shrinkToFit="0" wrapText="1"/>
    </xf>
    <xf borderId="0" fillId="41" fontId="2" numFmtId="0" xfId="0" applyAlignment="1" applyFont="1">
      <alignment horizontal="center" readingOrder="0"/>
    </xf>
    <xf borderId="0" fillId="95" fontId="2" numFmtId="0" xfId="0" applyAlignment="1" applyFont="1">
      <alignment horizontal="center" readingOrder="0" shrinkToFit="0" wrapText="1"/>
    </xf>
    <xf borderId="0" fillId="105" fontId="2" numFmtId="0" xfId="0" applyAlignment="1" applyFill="1" applyFont="1">
      <alignment horizontal="center" readingOrder="0"/>
    </xf>
    <xf borderId="0" fillId="105" fontId="2" numFmtId="0" xfId="0" applyAlignment="1" applyFont="1">
      <alignment horizontal="center" readingOrder="0" shrinkToFit="0" wrapText="1"/>
    </xf>
    <xf borderId="0" fillId="90" fontId="2" numFmtId="0" xfId="0" applyAlignment="1" applyFont="1">
      <alignment horizontal="center" readingOrder="0"/>
    </xf>
    <xf borderId="0" fillId="106" fontId="2" numFmtId="0" xfId="0" applyAlignment="1" applyFill="1" applyFont="1">
      <alignment horizontal="center" readingOrder="0"/>
    </xf>
    <xf borderId="0" fillId="107" fontId="2" numFmtId="0" xfId="0" applyAlignment="1" applyFill="1" applyFont="1">
      <alignment horizontal="center" readingOrder="0"/>
    </xf>
    <xf borderId="0" fillId="108" fontId="2" numFmtId="0" xfId="0" applyAlignment="1" applyFill="1" applyFont="1">
      <alignment horizontal="center" readingOrder="0"/>
    </xf>
    <xf borderId="0" fillId="109" fontId="2" numFmtId="0" xfId="0" applyAlignment="1" applyFill="1" applyFont="1">
      <alignment horizontal="center" readingOrder="0" shrinkToFit="0" wrapText="1"/>
    </xf>
    <xf borderId="0" fillId="107" fontId="3" numFmtId="0" xfId="0" applyAlignment="1" applyFont="1">
      <alignment horizontal="center" readingOrder="0" vertical="bottom"/>
    </xf>
    <xf borderId="0" fillId="106" fontId="2" numFmtId="0" xfId="0" applyAlignment="1" applyFont="1">
      <alignment horizontal="center" readingOrder="0" shrinkToFit="0" wrapText="1"/>
    </xf>
    <xf borderId="0" fillId="63" fontId="2" numFmtId="0" xfId="0" applyAlignment="1" applyFont="1">
      <alignment horizontal="center" readingOrder="0" shrinkToFit="0" wrapText="1"/>
    </xf>
    <xf borderId="0" fillId="110" fontId="3" numFmtId="0" xfId="0" applyAlignment="1" applyFill="1" applyFont="1">
      <alignment horizontal="center" readingOrder="0" vertical="bottom"/>
    </xf>
    <xf borderId="0" fillId="111" fontId="2" numFmtId="0" xfId="0" applyAlignment="1" applyFill="1" applyFont="1">
      <alignment horizontal="center" readingOrder="0" shrinkToFit="0" wrapText="1"/>
    </xf>
    <xf borderId="0" fillId="112" fontId="3" numFmtId="0" xfId="0" applyAlignment="1" applyFill="1" applyFont="1">
      <alignment horizontal="center" readingOrder="0" vertical="bottom"/>
    </xf>
    <xf borderId="0" fillId="108" fontId="2" numFmtId="0" xfId="0" applyAlignment="1" applyFont="1">
      <alignment horizontal="center" readingOrder="0" shrinkToFit="0" wrapText="1"/>
    </xf>
    <xf borderId="0" fillId="94" fontId="3" numFmtId="0" xfId="0" applyAlignment="1" applyFont="1">
      <alignment horizontal="center" readingOrder="0" vertical="bottom"/>
    </xf>
    <xf borderId="0" fillId="89" fontId="2" numFmtId="0" xfId="0" applyAlignment="1" applyFont="1">
      <alignment horizontal="center" readingOrder="0" shrinkToFit="0" wrapText="1"/>
    </xf>
    <xf borderId="0" fillId="113" fontId="2" numFmtId="0" xfId="0" applyAlignment="1" applyFill="1" applyFont="1">
      <alignment horizontal="center" readingOrder="0" shrinkToFit="0" wrapText="1"/>
    </xf>
    <xf borderId="0" fillId="114" fontId="2" numFmtId="0" xfId="0" applyAlignment="1" applyFill="1" applyFont="1">
      <alignment horizontal="center" readingOrder="0" shrinkToFit="0" wrapText="1"/>
    </xf>
    <xf borderId="0" fillId="115" fontId="2" numFmtId="0" xfId="0" applyAlignment="1" applyFill="1" applyFont="1">
      <alignment horizontal="center" readingOrder="0" shrinkToFit="0" wrapText="1"/>
    </xf>
    <xf borderId="0" fillId="116" fontId="2" numFmtId="0" xfId="0" applyAlignment="1" applyFill="1" applyFont="1">
      <alignment horizontal="center" readingOrder="0"/>
    </xf>
    <xf borderId="0" fillId="92" fontId="2" numFmtId="0" xfId="0" applyAlignment="1" applyFont="1">
      <alignment horizontal="center" readingOrder="0"/>
    </xf>
    <xf borderId="0" fillId="117" fontId="2" numFmtId="0" xfId="0" applyAlignment="1" applyFill="1" applyFont="1">
      <alignment horizontal="center" readingOrder="0"/>
    </xf>
    <xf borderId="0" fillId="116" fontId="2" numFmtId="0" xfId="0" applyAlignment="1" applyFont="1">
      <alignment horizontal="center" readingOrder="0" shrinkToFit="0" wrapText="1"/>
    </xf>
    <xf borderId="0" fillId="117" fontId="2" numFmtId="0" xfId="0" applyAlignment="1" applyFont="1">
      <alignment horizontal="center" readingOrder="0" shrinkToFit="0" wrapText="1"/>
    </xf>
    <xf borderId="0" fillId="118" fontId="2" numFmtId="0" xfId="0" applyAlignment="1" applyFill="1" applyFont="1">
      <alignment horizontal="center" readingOrder="0"/>
    </xf>
    <xf borderId="0" fillId="118" fontId="2" numFmtId="0" xfId="0" applyAlignment="1" applyFont="1">
      <alignment horizontal="center" readingOrder="0" shrinkToFit="0" wrapText="1"/>
    </xf>
    <xf borderId="0" fillId="93" fontId="3" numFmtId="0" xfId="0" applyAlignment="1" applyFont="1">
      <alignment horizontal="center" readingOrder="0" vertical="bottom"/>
    </xf>
    <xf borderId="0" fillId="41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readingOrder="0" shrinkToFit="0" wrapText="1"/>
    </xf>
    <xf borderId="0" fillId="119" fontId="2" numFmtId="0" xfId="0" applyAlignment="1" applyFill="1" applyFont="1">
      <alignment horizontal="center" readingOrder="0"/>
    </xf>
    <xf borderId="0" fillId="119" fontId="2" numFmtId="0" xfId="0" applyAlignment="1" applyFont="1">
      <alignment horizontal="center" readingOrder="0" shrinkToFit="0" wrapText="1"/>
    </xf>
    <xf borderId="0" fillId="2" fontId="8" numFmtId="0" xfId="0" applyAlignment="1" applyFont="1">
      <alignment horizontal="center" shrinkToFit="0" vertical="bottom" wrapText="1"/>
    </xf>
    <xf borderId="0" fillId="2" fontId="8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3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0" xfId="0" applyFont="1"/>
    <xf borderId="0" fillId="0" fontId="9" numFmtId="0" xfId="0" applyAlignment="1" applyFont="1">
      <alignment readingOrder="0"/>
    </xf>
    <xf borderId="0" fillId="4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9" fontId="4" numFmtId="0" xfId="0" applyAlignment="1" applyFont="1">
      <alignment readingOrder="0"/>
    </xf>
    <xf borderId="0" fillId="10" fontId="4" numFmtId="0" xfId="0" applyAlignment="1" applyFont="1">
      <alignment readingOrder="0"/>
    </xf>
    <xf borderId="0" fillId="11" fontId="4" numFmtId="0" xfId="0" applyAlignment="1" applyFont="1">
      <alignment readingOrder="0"/>
    </xf>
    <xf borderId="0" fillId="12" fontId="4" numFmtId="0" xfId="0" applyAlignment="1" applyFont="1">
      <alignment readingOrder="0"/>
    </xf>
    <xf borderId="0" fillId="14" fontId="4" numFmtId="0" xfId="0" applyAlignment="1" applyFont="1">
      <alignment readingOrder="0"/>
    </xf>
    <xf borderId="0" fillId="15" fontId="4" numFmtId="0" xfId="0" applyAlignment="1" applyFont="1">
      <alignment readingOrder="0"/>
    </xf>
    <xf borderId="0" fillId="0" fontId="4" numFmtId="0" xfId="0" applyFont="1"/>
    <xf borderId="0" fillId="16" fontId="4" numFmtId="0" xfId="0" applyAlignment="1" applyFont="1">
      <alignment readingOrder="0"/>
    </xf>
    <xf borderId="0" fillId="20" fontId="4" numFmtId="0" xfId="0" applyAlignment="1" applyFont="1">
      <alignment readingOrder="0"/>
    </xf>
    <xf borderId="0" fillId="17" fontId="4" numFmtId="0" xfId="0" applyAlignment="1" applyFont="1">
      <alignment readingOrder="0"/>
    </xf>
    <xf borderId="0" fillId="19" fontId="4" numFmtId="0" xfId="0" applyAlignment="1" applyFont="1">
      <alignment readingOrder="0"/>
    </xf>
    <xf borderId="0" fillId="24" fontId="4" numFmtId="0" xfId="0" applyAlignment="1" applyFont="1">
      <alignment readingOrder="0"/>
    </xf>
    <xf borderId="0" fillId="18" fontId="4" numFmtId="0" xfId="0" applyAlignment="1" applyFont="1">
      <alignment readingOrder="0"/>
    </xf>
    <xf borderId="0" fillId="25" fontId="4" numFmtId="0" xfId="0" applyAlignment="1" applyFont="1">
      <alignment readingOrder="0"/>
    </xf>
    <xf borderId="0" fillId="27" fontId="4" numFmtId="0" xfId="0" applyAlignment="1" applyFont="1">
      <alignment readingOrder="0"/>
    </xf>
    <xf borderId="0" fillId="28" fontId="4" numFmtId="0" xfId="0" applyAlignment="1" applyFont="1">
      <alignment readingOrder="0"/>
    </xf>
    <xf borderId="0" fillId="26" fontId="4" numFmtId="0" xfId="0" applyAlignment="1" applyFont="1">
      <alignment readingOrder="0"/>
    </xf>
    <xf borderId="0" fillId="29" fontId="4" numFmtId="0" xfId="0" applyAlignment="1" applyFont="1">
      <alignment readingOrder="0"/>
    </xf>
    <xf borderId="0" fillId="30" fontId="4" numFmtId="0" xfId="0" applyAlignment="1" applyFont="1">
      <alignment readingOrder="0"/>
    </xf>
    <xf borderId="0" fillId="31" fontId="4" numFmtId="0" xfId="0" applyAlignment="1" applyFont="1">
      <alignment readingOrder="0"/>
    </xf>
    <xf borderId="0" fillId="21" fontId="4" numFmtId="0" xfId="0" applyAlignment="1" applyFont="1">
      <alignment readingOrder="0"/>
    </xf>
    <xf borderId="0" fillId="13" fontId="4" numFmtId="0" xfId="0" applyAlignment="1" applyFont="1">
      <alignment readingOrder="0"/>
    </xf>
    <xf borderId="0" fillId="32" fontId="4" numFmtId="0" xfId="0" applyAlignment="1" applyFont="1">
      <alignment readingOrder="0"/>
    </xf>
    <xf borderId="0" fillId="33" fontId="4" numFmtId="0" xfId="0" applyAlignment="1" applyFont="1">
      <alignment readingOrder="0"/>
    </xf>
    <xf borderId="0" fillId="8" fontId="4" numFmtId="0" xfId="0" applyAlignment="1" applyFont="1">
      <alignment readingOrder="0"/>
    </xf>
    <xf borderId="0" fillId="34" fontId="4" numFmtId="0" xfId="0" applyAlignment="1" applyFont="1">
      <alignment readingOrder="0"/>
    </xf>
    <xf borderId="0" fillId="35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36" fontId="4" numFmtId="0" xfId="0" applyAlignment="1" applyFont="1">
      <alignment readingOrder="0"/>
    </xf>
    <xf borderId="0" fillId="37" fontId="4" numFmtId="0" xfId="0" applyAlignment="1" applyFont="1">
      <alignment readingOrder="0"/>
    </xf>
    <xf borderId="0" fillId="38" fontId="4" numFmtId="0" xfId="0" applyAlignment="1" applyFont="1">
      <alignment readingOrder="0"/>
    </xf>
    <xf borderId="0" fillId="42" fontId="4" numFmtId="0" xfId="0" applyAlignment="1" applyFont="1">
      <alignment readingOrder="0"/>
    </xf>
    <xf borderId="0" fillId="39" fontId="4" numFmtId="0" xfId="0" applyAlignment="1" applyFont="1">
      <alignment readingOrder="0"/>
    </xf>
    <xf borderId="0" fillId="44" fontId="4" numFmtId="0" xfId="0" applyAlignment="1" applyFont="1">
      <alignment readingOrder="0"/>
    </xf>
    <xf borderId="0" fillId="43" fontId="4" numFmtId="0" xfId="0" applyAlignment="1" applyFont="1">
      <alignment readingOrder="0"/>
    </xf>
    <xf borderId="0" fillId="45" fontId="4" numFmtId="0" xfId="0" applyAlignment="1" applyFont="1">
      <alignment readingOrder="0"/>
    </xf>
    <xf borderId="0" fillId="40" fontId="4" numFmtId="0" xfId="0" applyAlignment="1" applyFont="1">
      <alignment readingOrder="0"/>
    </xf>
    <xf borderId="0" fillId="46" fontId="4" numFmtId="0" xfId="0" applyAlignment="1" applyFont="1">
      <alignment readingOrder="0"/>
    </xf>
    <xf borderId="0" fillId="49" fontId="4" numFmtId="0" xfId="0" applyAlignment="1" applyFont="1">
      <alignment readingOrder="0"/>
    </xf>
    <xf borderId="0" fillId="50" fontId="4" numFmtId="0" xfId="0" applyAlignment="1" applyFont="1">
      <alignment readingOrder="0"/>
    </xf>
    <xf borderId="0" fillId="47" fontId="4" numFmtId="0" xfId="0" applyAlignment="1" applyFont="1">
      <alignment readingOrder="0"/>
    </xf>
    <xf borderId="0" fillId="48" fontId="4" numFmtId="0" xfId="0" applyAlignment="1" applyFont="1">
      <alignment readingOrder="0"/>
    </xf>
    <xf borderId="0" fillId="51" fontId="4" numFmtId="0" xfId="0" applyAlignment="1" applyFont="1">
      <alignment readingOrder="0"/>
    </xf>
    <xf borderId="0" fillId="52" fontId="4" numFmtId="0" xfId="0" applyAlignment="1" applyFont="1">
      <alignment readingOrder="0"/>
    </xf>
    <xf borderId="0" fillId="55" fontId="4" numFmtId="0" xfId="0" applyAlignment="1" applyFont="1">
      <alignment readingOrder="0"/>
    </xf>
    <xf borderId="0" fillId="57" fontId="4" numFmtId="0" xfId="0" applyAlignment="1" applyFont="1">
      <alignment readingOrder="0"/>
    </xf>
    <xf borderId="0" fillId="58" fontId="4" numFmtId="0" xfId="0" applyAlignment="1" applyFont="1">
      <alignment readingOrder="0"/>
    </xf>
    <xf borderId="0" fillId="62" fontId="4" numFmtId="0" xfId="0" applyAlignment="1" applyFont="1">
      <alignment readingOrder="0"/>
    </xf>
    <xf borderId="0" fillId="59" fontId="4" numFmtId="0" xfId="0" applyAlignment="1" applyFont="1">
      <alignment readingOrder="0"/>
    </xf>
    <xf borderId="0" fillId="61" fontId="4" numFmtId="0" xfId="0" applyAlignment="1" applyFont="1">
      <alignment readingOrder="0"/>
    </xf>
    <xf borderId="0" fillId="22" fontId="4" numFmtId="0" xfId="0" applyAlignment="1" applyFont="1">
      <alignment readingOrder="0"/>
    </xf>
    <xf borderId="0" fillId="64" fontId="4" numFmtId="0" xfId="0" applyAlignment="1" applyFont="1">
      <alignment readingOrder="0"/>
    </xf>
    <xf borderId="0" fillId="63" fontId="4" numFmtId="0" xfId="0" applyAlignment="1" applyFont="1">
      <alignment readingOrder="0"/>
    </xf>
    <xf borderId="0" fillId="66" fontId="4" numFmtId="0" xfId="0" applyAlignment="1" applyFont="1">
      <alignment readingOrder="0"/>
    </xf>
    <xf borderId="0" fillId="65" fontId="4" numFmtId="0" xfId="0" applyAlignment="1" applyFont="1">
      <alignment readingOrder="0"/>
    </xf>
    <xf borderId="0" fillId="68" fontId="4" numFmtId="0" xfId="0" applyAlignment="1" applyFont="1">
      <alignment readingOrder="0"/>
    </xf>
    <xf borderId="0" fillId="67" fontId="4" numFmtId="0" xfId="0" applyAlignment="1" applyFont="1">
      <alignment readingOrder="0"/>
    </xf>
    <xf borderId="0" fillId="69" fontId="4" numFmtId="0" xfId="0" applyAlignment="1" applyFont="1">
      <alignment readingOrder="0"/>
    </xf>
    <xf borderId="0" fillId="70" fontId="4" numFmtId="0" xfId="0" applyAlignment="1" applyFont="1">
      <alignment readingOrder="0"/>
    </xf>
    <xf borderId="0" fillId="73" fontId="4" numFmtId="0" xfId="0" applyAlignment="1" applyFont="1">
      <alignment readingOrder="0"/>
    </xf>
    <xf borderId="0" fillId="72" fontId="4" numFmtId="0" xfId="0" applyAlignment="1" applyFont="1">
      <alignment readingOrder="0"/>
    </xf>
    <xf borderId="0" fillId="75" fontId="4" numFmtId="0" xfId="0" applyAlignment="1" applyFont="1">
      <alignment readingOrder="0"/>
    </xf>
    <xf borderId="0" fillId="74" fontId="4" numFmtId="0" xfId="0" applyAlignment="1" applyFont="1">
      <alignment readingOrder="0"/>
    </xf>
    <xf borderId="0" fillId="77" fontId="4" numFmtId="0" xfId="0" applyAlignment="1" applyFont="1">
      <alignment readingOrder="0"/>
    </xf>
    <xf borderId="0" fillId="76" fontId="4" numFmtId="0" xfId="0" applyAlignment="1" applyFont="1">
      <alignment readingOrder="0"/>
    </xf>
    <xf borderId="0" fillId="78" fontId="4" numFmtId="0" xfId="0" applyAlignment="1" applyFont="1">
      <alignment readingOrder="0"/>
    </xf>
    <xf borderId="0" fillId="79" fontId="4" numFmtId="0" xfId="0" applyAlignment="1" applyFont="1">
      <alignment readingOrder="0"/>
    </xf>
    <xf borderId="0" fillId="80" fontId="4" numFmtId="0" xfId="0" applyAlignment="1" applyFont="1">
      <alignment readingOrder="0"/>
    </xf>
    <xf borderId="0" fillId="23" fontId="4" numFmtId="0" xfId="0" applyAlignment="1" applyFont="1">
      <alignment readingOrder="0"/>
    </xf>
    <xf borderId="0" fillId="56" fontId="4" numFmtId="0" xfId="0" applyAlignment="1" applyFont="1">
      <alignment readingOrder="0"/>
    </xf>
    <xf borderId="0" fillId="60" fontId="4" numFmtId="0" xfId="0" applyAlignment="1" applyFont="1">
      <alignment readingOrder="0"/>
    </xf>
    <xf borderId="0" fillId="81" fontId="4" numFmtId="0" xfId="0" applyAlignment="1" applyFont="1">
      <alignment readingOrder="0"/>
    </xf>
    <xf borderId="0" fillId="53" fontId="4" numFmtId="0" xfId="0" applyAlignment="1" applyFont="1">
      <alignment readingOrder="0"/>
    </xf>
    <xf borderId="0" fillId="82" fontId="4" numFmtId="0" xfId="0" applyAlignment="1" applyFont="1">
      <alignment readingOrder="0"/>
    </xf>
    <xf borderId="0" fillId="84" fontId="4" numFmtId="0" xfId="0" applyAlignment="1" applyFont="1">
      <alignment readingOrder="0"/>
    </xf>
    <xf borderId="0" fillId="85" fontId="4" numFmtId="0" xfId="0" applyAlignment="1" applyFont="1">
      <alignment readingOrder="0"/>
    </xf>
    <xf borderId="0" fillId="83" fontId="4" numFmtId="0" xfId="0" applyAlignment="1" applyFont="1">
      <alignment readingOrder="0"/>
    </xf>
    <xf borderId="0" fillId="86" fontId="4" numFmtId="0" xfId="0" applyAlignment="1" applyFont="1">
      <alignment readingOrder="0"/>
    </xf>
    <xf borderId="0" fillId="87" fontId="4" numFmtId="0" xfId="0" applyAlignment="1" applyFont="1">
      <alignment readingOrder="0"/>
    </xf>
    <xf borderId="0" fillId="54" fontId="4" numFmtId="0" xfId="0" applyAlignment="1" applyFont="1">
      <alignment readingOrder="0"/>
    </xf>
    <xf borderId="0" fillId="88" fontId="4" numFmtId="0" xfId="0" applyAlignment="1" applyFont="1">
      <alignment readingOrder="0"/>
    </xf>
    <xf borderId="0" fillId="90" fontId="4" numFmtId="0" xfId="0" applyAlignment="1" applyFont="1">
      <alignment readingOrder="0"/>
    </xf>
    <xf borderId="0" fillId="92" fontId="4" numFmtId="0" xfId="0" applyAlignment="1" applyFont="1">
      <alignment readingOrder="0"/>
    </xf>
    <xf borderId="0" fillId="97" fontId="4" numFmtId="0" xfId="0" applyAlignment="1" applyFont="1">
      <alignment readingOrder="0"/>
    </xf>
    <xf borderId="0" fillId="96" fontId="4" numFmtId="0" xfId="0" applyAlignment="1" applyFont="1">
      <alignment readingOrder="0"/>
    </xf>
    <xf borderId="0" fillId="99" fontId="4" numFmtId="0" xfId="0" applyAlignment="1" applyFont="1">
      <alignment readingOrder="0"/>
    </xf>
    <xf borderId="0" fillId="98" fontId="4" numFmtId="0" xfId="0" applyAlignment="1" applyFont="1">
      <alignment readingOrder="0"/>
    </xf>
    <xf borderId="0" fillId="100" fontId="4" numFmtId="0" xfId="0" applyAlignment="1" applyFont="1">
      <alignment readingOrder="0"/>
    </xf>
    <xf borderId="0" fillId="101" fontId="4" numFmtId="0" xfId="0" applyAlignment="1" applyFont="1">
      <alignment readingOrder="0"/>
    </xf>
    <xf borderId="0" fillId="102" fontId="4" numFmtId="0" xfId="0" applyAlignment="1" applyFont="1">
      <alignment readingOrder="0"/>
    </xf>
    <xf borderId="0" fillId="71" fontId="4" numFmtId="0" xfId="0" applyAlignment="1" applyFont="1">
      <alignment readingOrder="0"/>
    </xf>
    <xf borderId="0" fillId="93" fontId="4" numFmtId="0" xfId="0" applyAlignment="1" applyFont="1">
      <alignment readingOrder="0"/>
    </xf>
    <xf borderId="0" fillId="103" fontId="4" numFmtId="0" xfId="0" applyAlignment="1" applyFont="1">
      <alignment readingOrder="0"/>
    </xf>
    <xf borderId="0" fillId="104" fontId="4" numFmtId="0" xfId="0" applyAlignment="1" applyFont="1">
      <alignment readingOrder="0"/>
    </xf>
    <xf borderId="0" fillId="94" fontId="4" numFmtId="0" xfId="0" applyAlignment="1" applyFont="1">
      <alignment readingOrder="0"/>
    </xf>
    <xf borderId="0" fillId="95" fontId="4" numFmtId="0" xfId="0" applyAlignment="1" applyFont="1">
      <alignment readingOrder="0"/>
    </xf>
    <xf borderId="0" fillId="105" fontId="4" numFmtId="0" xfId="0" applyAlignment="1" applyFont="1">
      <alignment readingOrder="0"/>
    </xf>
    <xf borderId="0" fillId="91" fontId="4" numFmtId="0" xfId="0" applyAlignment="1" applyFont="1">
      <alignment readingOrder="0"/>
    </xf>
    <xf borderId="0" fillId="107" fontId="4" numFmtId="0" xfId="0" applyAlignment="1" applyFont="1">
      <alignment readingOrder="0"/>
    </xf>
    <xf borderId="0" fillId="106" fontId="4" numFmtId="0" xfId="0" applyAlignment="1" applyFont="1">
      <alignment readingOrder="0"/>
    </xf>
    <xf borderId="0" fillId="109" fontId="4" numFmtId="0" xfId="0" applyAlignment="1" applyFont="1">
      <alignment readingOrder="0"/>
    </xf>
    <xf borderId="0" fillId="110" fontId="4" numFmtId="0" xfId="0" applyAlignment="1" applyFont="1">
      <alignment readingOrder="0"/>
    </xf>
    <xf borderId="0" fillId="111" fontId="4" numFmtId="0" xfId="0" applyAlignment="1" applyFont="1">
      <alignment readingOrder="0"/>
    </xf>
    <xf borderId="0" fillId="112" fontId="4" numFmtId="0" xfId="0" applyAlignment="1" applyFont="1">
      <alignment readingOrder="0"/>
    </xf>
    <xf borderId="0" fillId="108" fontId="4" numFmtId="0" xfId="0" applyAlignment="1" applyFont="1">
      <alignment readingOrder="0"/>
    </xf>
    <xf borderId="0" fillId="89" fontId="4" numFmtId="0" xfId="0" applyAlignment="1" applyFont="1">
      <alignment readingOrder="0"/>
    </xf>
    <xf borderId="0" fillId="113" fontId="4" numFmtId="0" xfId="0" applyAlignment="1" applyFont="1">
      <alignment readingOrder="0"/>
    </xf>
    <xf borderId="0" fillId="116" fontId="4" numFmtId="0" xfId="0" applyAlignment="1" applyFont="1">
      <alignment readingOrder="0"/>
    </xf>
    <xf borderId="0" fillId="117" fontId="4" numFmtId="0" xfId="0" applyAlignment="1" applyFont="1">
      <alignment readingOrder="0"/>
    </xf>
    <xf borderId="0" fillId="118" fontId="4" numFmtId="0" xfId="0" applyAlignment="1" applyFont="1">
      <alignment readingOrder="0"/>
    </xf>
    <xf borderId="0" fillId="114" fontId="4" numFmtId="0" xfId="0" applyAlignment="1" applyFont="1">
      <alignment readingOrder="0"/>
    </xf>
    <xf borderId="0" fillId="115" fontId="4" numFmtId="0" xfId="0" applyAlignment="1" applyFont="1">
      <alignment readingOrder="0"/>
    </xf>
    <xf borderId="0" fillId="41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119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3" numFmtId="0" xfId="0" applyAlignment="1" applyFont="1">
      <alignment horizontal="center" vertical="top"/>
    </xf>
    <xf borderId="0" fillId="120" fontId="3" numFmtId="0" xfId="0" applyAlignment="1" applyFill="1" applyFont="1">
      <alignment horizontal="center" vertical="top"/>
    </xf>
    <xf borderId="0" fillId="121" fontId="3" numFmtId="0" xfId="0" applyAlignment="1" applyFill="1" applyFont="1">
      <alignment horizontal="center" vertical="top"/>
    </xf>
    <xf borderId="0" fillId="122" fontId="3" numFmtId="0" xfId="0" applyAlignment="1" applyFill="1" applyFont="1">
      <alignment horizontal="center" readingOrder="0" vertical="top"/>
    </xf>
    <xf borderId="0" fillId="123" fontId="3" numFmtId="0" xfId="0" applyAlignment="1" applyFill="1" applyFont="1">
      <alignment horizontal="center" readingOrder="0" vertical="top"/>
    </xf>
    <xf borderId="0" fillId="124" fontId="3" numFmtId="0" xfId="0" applyAlignment="1" applyFill="1" applyFont="1">
      <alignment horizontal="center" readingOrder="0" vertical="top"/>
    </xf>
    <xf borderId="0" fillId="125" fontId="3" numFmtId="0" xfId="0" applyAlignment="1" applyFill="1" applyFont="1">
      <alignment horizontal="center" readingOrder="0" vertical="top"/>
    </xf>
    <xf borderId="0" fillId="126" fontId="3" numFmtId="0" xfId="0" applyAlignment="1" applyFill="1" applyFont="1">
      <alignment horizontal="center" readingOrder="0" vertical="top"/>
    </xf>
    <xf borderId="0" fillId="127" fontId="3" numFmtId="0" xfId="0" applyAlignment="1" applyFill="1" applyFont="1">
      <alignment horizontal="center" vertical="top"/>
    </xf>
    <xf borderId="0" fillId="128" fontId="3" numFmtId="0" xfId="0" applyAlignment="1" applyFill="1" applyFont="1">
      <alignment horizontal="center" vertical="top"/>
    </xf>
    <xf borderId="0" fillId="129" fontId="3" numFmtId="0" xfId="0" applyAlignment="1" applyFill="1" applyFont="1">
      <alignment horizontal="center" readingOrder="0" vertical="bottom"/>
    </xf>
    <xf borderId="0" fillId="130" fontId="3" numFmtId="0" xfId="0" applyAlignment="1" applyFill="1" applyFont="1">
      <alignment horizontal="center" vertical="top"/>
    </xf>
    <xf borderId="0" fillId="131" fontId="3" numFmtId="0" xfId="0" applyAlignment="1" applyFill="1" applyFont="1">
      <alignment horizontal="center" readingOrder="0" vertical="bottom"/>
    </xf>
    <xf borderId="0" fillId="132" fontId="3" numFmtId="0" xfId="0" applyAlignment="1" applyFill="1" applyFont="1">
      <alignment horizontal="center" readingOrder="0" vertical="top"/>
    </xf>
    <xf borderId="0" fillId="133" fontId="3" numFmtId="0" xfId="0" applyAlignment="1" applyFill="1" applyFont="1">
      <alignment horizontal="center" readingOrder="0" vertical="top"/>
    </xf>
    <xf borderId="0" fillId="133" fontId="3" numFmtId="0" xfId="0" applyAlignment="1" applyFont="1">
      <alignment horizontal="center" vertical="bottom"/>
    </xf>
    <xf borderId="0" fillId="134" fontId="3" numFmtId="0" xfId="0" applyAlignment="1" applyFill="1" applyFont="1">
      <alignment horizontal="center" vertical="bottom"/>
    </xf>
    <xf borderId="0" fillId="135" fontId="3" numFmtId="0" xfId="0" applyAlignment="1" applyFill="1" applyFont="1">
      <alignment horizontal="center" vertical="bottom"/>
    </xf>
    <xf borderId="0" fillId="136" fontId="3" numFmtId="0" xfId="0" applyAlignment="1" applyFill="1" applyFont="1">
      <alignment horizontal="center" vertical="bottom"/>
    </xf>
    <xf borderId="0" fillId="137" fontId="3" numFmtId="0" xfId="0" applyAlignment="1" applyFill="1" applyFont="1">
      <alignment horizontal="center" vertical="bottom"/>
    </xf>
    <xf borderId="0" fillId="138" fontId="3" numFmtId="0" xfId="0" applyAlignment="1" applyFill="1" applyFont="1">
      <alignment horizontal="center" readingOrder="0" vertical="bottom"/>
    </xf>
    <xf borderId="0" fillId="139" fontId="3" numFmtId="0" xfId="0" applyAlignment="1" applyFill="1" applyFont="1">
      <alignment horizontal="center" readingOrder="0" vertical="bottom"/>
    </xf>
    <xf borderId="0" fillId="138" fontId="3" numFmtId="0" xfId="0" applyAlignment="1" applyFont="1">
      <alignment horizontal="center" vertical="bottom"/>
    </xf>
    <xf borderId="0" fillId="140" fontId="3" numFmtId="0" xfId="0" applyAlignment="1" applyFill="1" applyFont="1">
      <alignment horizontal="center" vertical="bottom"/>
    </xf>
    <xf borderId="0" fillId="141" fontId="3" numFmtId="0" xfId="0" applyAlignment="1" applyFill="1" applyFont="1">
      <alignment horizontal="center" vertical="bottom"/>
    </xf>
    <xf borderId="0" fillId="2" fontId="4" numFmtId="0" xfId="0" applyAlignment="1" applyFont="1">
      <alignment horizontal="center" readingOrder="0"/>
    </xf>
    <xf borderId="0" fillId="15" fontId="3" numFmtId="0" xfId="0" applyAlignment="1" applyFont="1">
      <alignment horizontal="center" vertical="bottom"/>
    </xf>
    <xf borderId="0" fillId="140" fontId="3" numFmtId="0" xfId="0" applyAlignment="1" applyFont="1">
      <alignment horizontal="center" vertical="bottom"/>
    </xf>
    <xf borderId="0" fillId="142" fontId="3" numFmtId="0" xfId="0" applyAlignment="1" applyFill="1" applyFont="1">
      <alignment horizontal="center" vertical="bottom"/>
    </xf>
    <xf borderId="0" fillId="143" fontId="3" numFmtId="0" xfId="0" applyAlignment="1" applyFill="1" applyFont="1">
      <alignment horizontal="center" vertical="bottom"/>
    </xf>
    <xf borderId="0" fillId="144" fontId="3" numFmtId="0" xfId="0" applyAlignment="1" applyFill="1" applyFont="1">
      <alignment horizontal="center" vertical="bottom"/>
    </xf>
    <xf borderId="0" fillId="145" fontId="3" numFmtId="0" xfId="0" applyAlignment="1" applyFill="1" applyFont="1">
      <alignment horizontal="center" readingOrder="0" vertical="bottom"/>
    </xf>
    <xf borderId="0" fillId="146" fontId="3" numFmtId="0" xfId="0" applyAlignment="1" applyFill="1" applyFont="1">
      <alignment horizontal="center" vertical="bottom"/>
    </xf>
    <xf borderId="0" fillId="147" fontId="3" numFmtId="0" xfId="0" applyAlignment="1" applyFill="1" applyFont="1">
      <alignment horizontal="center" vertical="bottom"/>
    </xf>
    <xf borderId="0" fillId="148" fontId="3" numFmtId="0" xfId="0" applyAlignment="1" applyFill="1" applyFont="1">
      <alignment horizontal="center" vertical="bottom"/>
    </xf>
    <xf borderId="0" fillId="149" fontId="3" numFmtId="0" xfId="0" applyAlignment="1" applyFill="1" applyFont="1">
      <alignment horizontal="center" readingOrder="0" vertical="bottom"/>
    </xf>
    <xf borderId="0" fillId="150" fontId="3" numFmtId="0" xfId="0" applyAlignment="1" applyFill="1" applyFont="1">
      <alignment horizontal="center" vertical="bottom"/>
    </xf>
    <xf borderId="0" fillId="151" fontId="3" numFmtId="0" xfId="0" applyAlignment="1" applyFill="1" applyFont="1">
      <alignment horizontal="center" vertical="bottom"/>
    </xf>
    <xf borderId="0" fillId="152" fontId="3" numFmtId="0" xfId="0" applyAlignment="1" applyFill="1" applyFont="1">
      <alignment horizontal="center" readingOrder="0" vertical="bottom"/>
    </xf>
    <xf borderId="0" fillId="153" fontId="3" numFmtId="0" xfId="0" applyAlignment="1" applyFill="1" applyFont="1">
      <alignment horizontal="center" readingOrder="0" vertical="bottom"/>
    </xf>
    <xf borderId="0" fillId="154" fontId="3" numFmtId="0" xfId="0" applyAlignment="1" applyFill="1" applyFont="1">
      <alignment horizontal="center" vertical="bottom"/>
    </xf>
    <xf borderId="0" fillId="155" fontId="3" numFmtId="0" xfId="0" applyAlignment="1" applyFill="1" applyFont="1">
      <alignment horizontal="center" vertical="bottom"/>
    </xf>
    <xf borderId="0" fillId="156" fontId="3" numFmtId="0" xfId="0" applyAlignment="1" applyFill="1" applyFont="1">
      <alignment horizontal="center" vertical="bottom"/>
    </xf>
    <xf borderId="0" fillId="157" fontId="3" numFmtId="0" xfId="0" applyAlignment="1" applyFill="1" applyFont="1">
      <alignment horizontal="center" vertical="bottom"/>
    </xf>
    <xf borderId="0" fillId="158" fontId="3" numFmtId="0" xfId="0" applyAlignment="1" applyFill="1" applyFont="1">
      <alignment horizontal="center" readingOrder="0" vertical="bottom"/>
    </xf>
    <xf borderId="0" fillId="159" fontId="3" numFmtId="0" xfId="0" applyAlignment="1" applyFill="1" applyFont="1">
      <alignment horizontal="center" vertical="bottom"/>
    </xf>
    <xf borderId="0" fillId="160" fontId="3" numFmtId="0" xfId="0" applyAlignment="1" applyFill="1" applyFont="1">
      <alignment horizontal="center" vertical="bottom"/>
    </xf>
    <xf borderId="0" fillId="139" fontId="3" numFmtId="0" xfId="0" applyAlignment="1" applyFont="1">
      <alignment horizontal="center" vertical="bottom"/>
    </xf>
    <xf borderId="0" fillId="161" fontId="3" numFmtId="0" xfId="0" applyAlignment="1" applyFill="1" applyFont="1">
      <alignment horizontal="center" vertical="bottom"/>
    </xf>
    <xf borderId="0" fillId="162" fontId="3" numFmtId="0" xfId="0" applyAlignment="1" applyFill="1" applyFont="1">
      <alignment horizontal="center" vertical="top"/>
    </xf>
    <xf borderId="0" fillId="163" fontId="3" numFmtId="0" xfId="0" applyAlignment="1" applyFill="1" applyFont="1">
      <alignment horizontal="center" readingOrder="0" vertical="bottom"/>
    </xf>
    <xf borderId="0" fillId="164" fontId="3" numFmtId="0" xfId="0" applyAlignment="1" applyFill="1" applyFont="1">
      <alignment horizontal="center" readingOrder="0" vertical="bottom"/>
    </xf>
    <xf borderId="0" fillId="165" fontId="3" numFmtId="0" xfId="0" applyAlignment="1" applyFill="1" applyFont="1">
      <alignment horizontal="center" vertical="bottom"/>
    </xf>
    <xf borderId="0" fillId="166" fontId="3" numFmtId="0" xfId="0" applyAlignment="1" applyFill="1" applyFont="1">
      <alignment horizontal="center" vertical="top"/>
    </xf>
    <xf borderId="0" fillId="167" fontId="3" numFmtId="0" xfId="0" applyAlignment="1" applyFill="1" applyFont="1">
      <alignment horizontal="center" vertical="top"/>
    </xf>
    <xf borderId="0" fillId="15" fontId="3" numFmtId="0" xfId="0" applyAlignment="1" applyFont="1">
      <alignment horizontal="center" vertical="top"/>
    </xf>
    <xf borderId="0" fillId="168" fontId="3" numFmtId="0" xfId="0" applyAlignment="1" applyFill="1" applyFont="1">
      <alignment horizontal="center" vertical="top"/>
    </xf>
    <xf borderId="0" fillId="169" fontId="3" numFmtId="0" xfId="0" applyAlignment="1" applyFill="1" applyFont="1">
      <alignment horizontal="center" vertical="bottom"/>
    </xf>
    <xf borderId="0" fillId="170" fontId="3" numFmtId="0" xfId="0" applyAlignment="1" applyFill="1" applyFont="1">
      <alignment horizontal="center" readingOrder="0" vertical="bottom"/>
    </xf>
    <xf borderId="0" fillId="169" fontId="3" numFmtId="0" xfId="0" applyAlignment="1" applyFont="1">
      <alignment horizontal="center" vertical="top"/>
    </xf>
    <xf borderId="0" fillId="171" fontId="3" numFmtId="0" xfId="0" applyAlignment="1" applyFill="1" applyFont="1">
      <alignment horizontal="center" vertical="top"/>
    </xf>
    <xf borderId="0" fillId="172" fontId="3" numFmtId="0" xfId="0" applyAlignment="1" applyFill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173" fontId="3" numFmtId="0" xfId="0" applyAlignment="1" applyFill="1" applyFont="1">
      <alignment horizontal="center" vertical="top"/>
    </xf>
    <xf borderId="0" fillId="174" fontId="3" numFmtId="0" xfId="0" applyAlignment="1" applyFill="1" applyFont="1">
      <alignment horizontal="center" vertical="top"/>
    </xf>
    <xf borderId="0" fillId="145" fontId="3" numFmtId="0" xfId="0" applyAlignment="1" applyFont="1">
      <alignment horizontal="center" vertical="bottom"/>
    </xf>
    <xf borderId="0" fillId="152" fontId="3" numFmtId="0" xfId="0" applyAlignment="1" applyFont="1">
      <alignment horizontal="center" vertical="bottom"/>
    </xf>
    <xf borderId="0" fillId="175" fontId="3" numFmtId="0" xfId="0" applyAlignment="1" applyFill="1" applyFont="1">
      <alignment horizontal="center" vertical="bottom"/>
    </xf>
    <xf borderId="0" fillId="163" fontId="3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174" fontId="3" numFmtId="0" xfId="0" applyAlignment="1" applyFont="1">
      <alignment horizontal="center" vertical="bottom"/>
    </xf>
    <xf borderId="0" fillId="149" fontId="3" numFmtId="0" xfId="0" applyAlignment="1" applyFont="1">
      <alignment horizontal="center" vertical="bottom"/>
    </xf>
    <xf borderId="0" fillId="176" fontId="3" numFmtId="0" xfId="0" applyAlignment="1" applyFill="1" applyFont="1">
      <alignment horizontal="center" vertical="bottom"/>
    </xf>
    <xf borderId="0" fillId="2" fontId="4" numFmtId="0" xfId="0" applyAlignment="1" applyFont="1">
      <alignment readingOrder="0"/>
    </xf>
    <xf borderId="0" fillId="177" fontId="3" numFmtId="0" xfId="0" applyAlignment="1" applyFill="1" applyFont="1">
      <alignment horizontal="center" vertical="bottom"/>
    </xf>
    <xf borderId="0" fillId="178" fontId="3" numFmtId="0" xfId="0" applyAlignment="1" applyFill="1" applyFont="1">
      <alignment horizontal="center" vertical="bottom"/>
    </xf>
    <xf borderId="0" fillId="179" fontId="3" numFmtId="0" xfId="0" applyAlignment="1" applyFill="1" applyFont="1">
      <alignment horizontal="center" vertical="bottom"/>
    </xf>
    <xf quotePrefix="1" borderId="0" fillId="2" fontId="3" numFmtId="0" xfId="0" applyAlignment="1" applyFont="1">
      <alignment horizontal="center" vertical="bottom"/>
    </xf>
    <xf borderId="0" fillId="180" fontId="3" numFmtId="0" xfId="0" applyAlignment="1" applyFill="1" applyFont="1">
      <alignment horizontal="center" vertical="bottom"/>
    </xf>
    <xf borderId="0" fillId="181" fontId="3" numFmtId="0" xfId="0" applyAlignment="1" applyFill="1" applyFont="1">
      <alignment horizontal="center" vertical="bottom"/>
    </xf>
    <xf borderId="0" fillId="182" fontId="3" numFmtId="0" xfId="0" applyAlignment="1" applyFill="1" applyFont="1">
      <alignment horizontal="center" vertical="bottom"/>
    </xf>
    <xf borderId="0" fillId="183" fontId="3" numFmtId="0" xfId="0" applyAlignment="1" applyFill="1" applyFont="1">
      <alignment horizontal="center" vertical="bottom"/>
    </xf>
    <xf borderId="0" fillId="184" fontId="3" numFmtId="0" xfId="0" applyAlignment="1" applyFill="1" applyFont="1">
      <alignment horizontal="center" vertical="top"/>
    </xf>
    <xf borderId="0" fillId="164" fontId="3" numFmtId="0" xfId="0" applyAlignment="1" applyFont="1">
      <alignment horizontal="center" vertical="top"/>
    </xf>
    <xf borderId="0" fillId="185" fontId="3" numFmtId="0" xfId="0" applyAlignment="1" applyFill="1" applyFont="1">
      <alignment horizontal="center" vertical="top"/>
    </xf>
    <xf borderId="0" fillId="186" fontId="3" numFmtId="0" xfId="0" applyAlignment="1" applyFill="1" applyFont="1">
      <alignment horizontal="center" vertical="bottom"/>
    </xf>
    <xf borderId="0" fillId="187" fontId="3" numFmtId="0" xfId="0" applyAlignment="1" applyFill="1" applyFont="1">
      <alignment horizontal="center" vertical="bottom"/>
    </xf>
    <xf borderId="0" fillId="188" fontId="3" numFmtId="0" xfId="0" applyAlignment="1" applyFill="1" applyFont="1">
      <alignment horizontal="center" vertical="bottom"/>
    </xf>
    <xf borderId="0" fillId="2" fontId="3" numFmtId="49" xfId="0" applyAlignment="1" applyFont="1" applyNumberFormat="1">
      <alignment horizontal="center" vertical="bottom"/>
    </xf>
    <xf borderId="0" fillId="142" fontId="3" numFmtId="49" xfId="0" applyAlignment="1" applyFont="1" applyNumberFormat="1">
      <alignment horizontal="center" vertical="bottom"/>
    </xf>
    <xf borderId="0" fillId="189" fontId="3" numFmtId="49" xfId="0" applyAlignment="1" applyFill="1" applyFont="1" applyNumberFormat="1">
      <alignment horizontal="center" vertical="bottom"/>
    </xf>
    <xf borderId="0" fillId="189" fontId="3" numFmtId="0" xfId="0" applyAlignment="1" applyFont="1">
      <alignment horizontal="center" vertical="bottom"/>
    </xf>
    <xf borderId="0" fillId="143" fontId="3" numFmtId="49" xfId="0" applyAlignment="1" applyFont="1" applyNumberFormat="1">
      <alignment horizontal="center" vertical="bottom"/>
    </xf>
    <xf borderId="0" fillId="190" fontId="3" numFmtId="0" xfId="0" applyAlignment="1" applyFill="1" applyFont="1">
      <alignment horizontal="center" vertical="bottom"/>
    </xf>
    <xf borderId="0" fillId="191" fontId="3" numFmtId="0" xfId="0" applyAlignment="1" applyFill="1" applyFont="1">
      <alignment horizontal="center" vertical="bottom"/>
    </xf>
    <xf borderId="0" fillId="192" fontId="3" numFmtId="0" xfId="0" applyAlignment="1" applyFill="1" applyFont="1">
      <alignment horizontal="center" vertical="bottom"/>
    </xf>
    <xf borderId="0" fillId="193" fontId="3" numFmtId="0" xfId="0" applyAlignment="1" applyFill="1" applyFont="1">
      <alignment horizontal="center" readingOrder="0" vertical="bottom"/>
    </xf>
    <xf borderId="0" fillId="194" fontId="3" numFmtId="49" xfId="0" applyAlignment="1" applyFill="1" applyFont="1" applyNumberFormat="1">
      <alignment horizontal="center" vertical="bottom"/>
    </xf>
    <xf borderId="0" fillId="194" fontId="3" numFmtId="0" xfId="0" applyAlignment="1" applyFont="1">
      <alignment horizontal="center" vertical="bottom"/>
    </xf>
    <xf borderId="0" fillId="195" fontId="3" numFmtId="0" xfId="0" applyAlignment="1" applyFill="1" applyFont="1">
      <alignment horizontal="center" vertical="bottom"/>
    </xf>
    <xf borderId="0" fillId="196" fontId="3" numFmtId="0" xfId="0" applyAlignment="1" applyFill="1" applyFont="1">
      <alignment horizontal="center" vertical="bottom"/>
    </xf>
    <xf borderId="0" fillId="197" fontId="3" numFmtId="0" xfId="0" applyAlignment="1" applyFill="1" applyFont="1">
      <alignment horizontal="center" vertical="bottom"/>
    </xf>
    <xf borderId="0" fillId="198" fontId="3" numFmtId="0" xfId="0" applyAlignment="1" applyFill="1" applyFont="1">
      <alignment horizontal="center" vertical="bottom"/>
    </xf>
    <xf borderId="0" fillId="199" fontId="3" numFmtId="0" xfId="0" applyAlignment="1" applyFill="1" applyFont="1">
      <alignment horizontal="center" vertical="bottom"/>
    </xf>
    <xf borderId="0" fillId="200" fontId="3" numFmtId="0" xfId="0" applyAlignment="1" applyFill="1" applyFont="1">
      <alignment horizontal="center" vertical="bottom"/>
    </xf>
    <xf borderId="0" fillId="201" fontId="3" numFmtId="0" xfId="0" applyAlignment="1" applyFill="1" applyFont="1">
      <alignment horizontal="center" vertical="bottom"/>
    </xf>
    <xf borderId="0" fillId="202" fontId="3" numFmtId="0" xfId="0" applyAlignment="1" applyFill="1" applyFont="1">
      <alignment horizontal="center" vertical="bottom"/>
    </xf>
    <xf borderId="0" fillId="203" fontId="3" numFmtId="0" xfId="0" applyAlignment="1" applyFill="1" applyFont="1">
      <alignment horizontal="center" vertical="bottom"/>
    </xf>
    <xf borderId="0" fillId="204" fontId="3" numFmtId="0" xfId="0" applyAlignment="1" applyFill="1" applyFont="1">
      <alignment horizontal="center" vertical="bottom"/>
    </xf>
    <xf borderId="0" fillId="192" fontId="3" numFmtId="0" xfId="0" applyAlignment="1" applyFont="1">
      <alignment horizontal="center" readingOrder="0" vertical="bottom"/>
    </xf>
    <xf borderId="0" fillId="204" fontId="3" numFmtId="0" xfId="0" applyAlignment="1" applyFont="1">
      <alignment horizontal="center" readingOrder="0" vertical="bottom"/>
    </xf>
    <xf borderId="0" fillId="205" fontId="3" numFmtId="0" xfId="0" applyAlignment="1" applyFill="1" applyFont="1">
      <alignment horizontal="center" vertical="bottom"/>
    </xf>
    <xf borderId="0" fillId="206" fontId="3" numFmtId="0" xfId="0" applyAlignment="1" applyFill="1" applyFont="1">
      <alignment horizontal="center" vertical="bottom"/>
    </xf>
    <xf borderId="0" fillId="207" fontId="3" numFmtId="0" xfId="0" applyAlignment="1" applyFill="1" applyFont="1">
      <alignment horizontal="center" vertical="bottom"/>
    </xf>
    <xf borderId="0" fillId="208" fontId="3" numFmtId="0" xfId="0" applyAlignment="1" applyFill="1" applyFont="1">
      <alignment horizontal="center" vertical="bottom"/>
    </xf>
    <xf borderId="0" fillId="209" fontId="3" numFmtId="0" xfId="0" applyAlignment="1" applyFill="1" applyFont="1">
      <alignment horizontal="center" vertical="bottom"/>
    </xf>
    <xf borderId="0" fillId="210" fontId="3" numFmtId="0" xfId="0" applyAlignment="1" applyFill="1" applyFont="1">
      <alignment horizontal="center" vertical="bottom"/>
    </xf>
    <xf borderId="0" fillId="211" fontId="3" numFmtId="0" xfId="0" applyAlignment="1" applyFill="1" applyFont="1">
      <alignment horizontal="center" readingOrder="0" vertical="bottom"/>
    </xf>
    <xf borderId="0" fillId="212" fontId="3" numFmtId="0" xfId="0" applyAlignment="1" applyFill="1" applyFont="1">
      <alignment horizontal="center" vertical="bottom"/>
    </xf>
    <xf borderId="0" fillId="213" fontId="3" numFmtId="0" xfId="0" applyAlignment="1" applyFill="1" applyFont="1">
      <alignment horizontal="center" vertical="bottom"/>
    </xf>
    <xf borderId="0" fillId="210" fontId="3" numFmtId="0" xfId="0" applyAlignment="1" applyFont="1">
      <alignment horizontal="center" readingOrder="0" vertical="bottom"/>
    </xf>
    <xf borderId="0" fillId="151" fontId="3" numFmtId="0" xfId="0" applyAlignment="1" applyFont="1">
      <alignment horizontal="center" readingOrder="0" vertical="bottom"/>
    </xf>
    <xf borderId="0" fillId="214" fontId="3" numFmtId="0" xfId="0" applyAlignment="1" applyFill="1" applyFont="1">
      <alignment horizontal="center" vertical="top"/>
    </xf>
    <xf borderId="0" fillId="215" fontId="3" numFmtId="0" xfId="0" applyAlignment="1" applyFill="1" applyFont="1">
      <alignment horizontal="center" vertical="top"/>
    </xf>
    <xf borderId="0" fillId="216" fontId="3" numFmtId="0" xfId="0" applyAlignment="1" applyFill="1" applyFont="1">
      <alignment horizontal="center" vertical="top"/>
    </xf>
    <xf borderId="0" fillId="217" fontId="3" numFmtId="0" xfId="0" applyAlignment="1" applyFill="1" applyFont="1">
      <alignment horizontal="center" readingOrder="0" vertical="top"/>
    </xf>
    <xf borderId="0" fillId="218" fontId="3" numFmtId="0" xfId="0" applyAlignment="1" applyFill="1" applyFont="1">
      <alignment horizontal="center" vertical="top"/>
    </xf>
    <xf borderId="0" fillId="141" fontId="3" numFmtId="0" xfId="0" applyAlignment="1" applyFont="1">
      <alignment horizontal="center" readingOrder="0" vertical="top"/>
    </xf>
    <xf borderId="0" fillId="219" fontId="3" numFmtId="0" xfId="0" applyAlignment="1" applyFill="1" applyFont="1">
      <alignment horizontal="center" readingOrder="0" vertical="bottom"/>
    </xf>
    <xf borderId="0" fillId="220" fontId="3" numFmtId="0" xfId="0" applyAlignment="1" applyFill="1" applyFont="1">
      <alignment horizontal="center" readingOrder="0" vertical="bottom"/>
    </xf>
    <xf borderId="0" fillId="221" fontId="3" numFmtId="0" xfId="0" applyAlignment="1" applyFill="1" applyFont="1">
      <alignment horizontal="center" readingOrder="0" vertical="top"/>
    </xf>
    <xf borderId="0" fillId="176" fontId="3" numFmtId="0" xfId="0" applyAlignment="1" applyFont="1">
      <alignment horizontal="center" readingOrder="0" vertical="top"/>
    </xf>
    <xf borderId="0" fillId="222" fontId="3" numFmtId="0" xfId="0" applyAlignment="1" applyFill="1" applyFont="1">
      <alignment horizontal="center" readingOrder="0" vertical="bottom"/>
    </xf>
    <xf borderId="0" fillId="223" fontId="3" numFmtId="0" xfId="0" applyAlignment="1" applyFill="1" applyFont="1">
      <alignment horizontal="center" readingOrder="0" vertical="bottom"/>
    </xf>
    <xf borderId="0" fillId="224" fontId="3" numFmtId="0" xfId="0" applyAlignment="1" applyFill="1" applyFont="1">
      <alignment horizontal="center" readingOrder="0" vertical="top"/>
    </xf>
    <xf borderId="0" fillId="177" fontId="3" numFmtId="0" xfId="0" applyAlignment="1" applyFont="1">
      <alignment horizontal="center" readingOrder="0" vertical="top"/>
    </xf>
    <xf borderId="0" fillId="225" fontId="3" numFmtId="0" xfId="0" applyAlignment="1" applyFill="1" applyFont="1">
      <alignment horizontal="center" readingOrder="0" vertical="bottom"/>
    </xf>
    <xf borderId="0" fillId="226" fontId="3" numFmtId="0" xfId="0" applyAlignment="1" applyFill="1" applyFont="1">
      <alignment horizontal="center" readingOrder="0" vertical="bottom"/>
    </xf>
    <xf borderId="0" fillId="227" fontId="3" numFmtId="0" xfId="0" applyAlignment="1" applyFill="1" applyFont="1">
      <alignment horizontal="center" readingOrder="0" vertical="top"/>
    </xf>
    <xf borderId="0" fillId="228" fontId="3" numFmtId="0" xfId="0" applyAlignment="1" applyFill="1" applyFont="1">
      <alignment horizontal="center" readingOrder="0" vertical="top"/>
    </xf>
    <xf borderId="0" fillId="228" fontId="3" numFmtId="0" xfId="0" applyAlignment="1" applyFont="1">
      <alignment horizontal="center" readingOrder="0" vertical="bottom"/>
    </xf>
    <xf borderId="0" fillId="229" fontId="3" numFmtId="0" xfId="0" applyAlignment="1" applyFill="1" applyFont="1">
      <alignment horizontal="center" readingOrder="0" vertical="bottom"/>
    </xf>
    <xf borderId="0" fillId="230" fontId="3" numFmtId="0" xfId="0" applyAlignment="1" applyFill="1" applyFont="1">
      <alignment horizontal="center" readingOrder="0" vertical="bottom"/>
    </xf>
    <xf borderId="0" fillId="231" fontId="3" numFmtId="0" xfId="0" applyAlignment="1" applyFill="1" applyFont="1">
      <alignment horizontal="center" readingOrder="0" vertical="bottom"/>
    </xf>
    <xf borderId="0" fillId="232" fontId="3" numFmtId="0" xfId="0" applyAlignment="1" applyFill="1" applyFont="1">
      <alignment horizontal="center" readingOrder="0" vertical="bottom"/>
    </xf>
    <xf borderId="0" fillId="233" fontId="3" numFmtId="0" xfId="0" applyAlignment="1" applyFill="1" applyFont="1">
      <alignment horizontal="center" readingOrder="0" vertical="bottom"/>
    </xf>
    <xf borderId="0" fillId="234" fontId="3" numFmtId="0" xfId="0" applyAlignment="1" applyFill="1" applyFont="1">
      <alignment horizontal="center" readingOrder="0" vertical="bottom"/>
    </xf>
    <xf borderId="0" fillId="235" fontId="3" numFmtId="0" xfId="0" applyAlignment="1" applyFill="1" applyFont="1">
      <alignment horizontal="center" vertical="bottom"/>
    </xf>
    <xf borderId="0" fillId="236" fontId="3" numFmtId="0" xfId="0" applyAlignment="1" applyFill="1" applyFont="1">
      <alignment horizontal="center" readingOrder="0" vertical="bottom"/>
    </xf>
    <xf borderId="0" fillId="237" fontId="3" numFmtId="0" xfId="0" applyAlignment="1" applyFill="1" applyFont="1">
      <alignment horizontal="center" vertical="bottom"/>
    </xf>
    <xf borderId="0" fillId="238" fontId="3" numFmtId="0" xfId="0" applyAlignment="1" applyFill="1" applyFont="1">
      <alignment horizontal="center" vertical="bottom"/>
    </xf>
    <xf borderId="0" fillId="239" fontId="3" numFmtId="0" xfId="0" applyAlignment="1" applyFill="1" applyFont="1">
      <alignment horizontal="center" vertical="bottom"/>
    </xf>
    <xf borderId="0" fillId="240" fontId="3" numFmtId="0" xfId="0" applyAlignment="1" applyFill="1" applyFont="1">
      <alignment horizontal="center" vertical="bottom"/>
    </xf>
    <xf borderId="0" fillId="235" fontId="3" numFmtId="0" xfId="0" applyAlignment="1" applyFont="1">
      <alignment horizontal="center" readingOrder="0" vertical="top"/>
    </xf>
    <xf borderId="0" fillId="207" fontId="3" numFmtId="0" xfId="0" applyAlignment="1" applyFont="1">
      <alignment horizontal="center" readingOrder="0" vertical="top"/>
    </xf>
    <xf borderId="0" fillId="241" fontId="3" numFmtId="0" xfId="0" applyAlignment="1" applyFill="1" applyFont="1">
      <alignment horizontal="center" readingOrder="0" vertical="top"/>
    </xf>
    <xf borderId="0" fillId="241" fontId="3" numFmtId="0" xfId="0" applyAlignment="1" applyFont="1">
      <alignment horizontal="center" readingOrder="0" vertical="bottom"/>
    </xf>
    <xf borderId="0" fillId="242" fontId="3" numFmtId="0" xfId="0" applyAlignment="1" applyFill="1" applyFont="1">
      <alignment horizontal="center" readingOrder="0" vertical="bottom"/>
    </xf>
    <xf borderId="0" fillId="243" fontId="3" numFmtId="0" xfId="0" applyAlignment="1" applyFill="1" applyFont="1">
      <alignment horizontal="center" readingOrder="0" vertical="bottom"/>
    </xf>
    <xf borderId="0" fillId="244" fontId="3" numFmtId="0" xfId="0" applyAlignment="1" applyFill="1" applyFont="1">
      <alignment horizontal="center" readingOrder="0" vertical="bottom"/>
    </xf>
    <xf borderId="0" fillId="245" fontId="3" numFmtId="0" xfId="0" applyAlignment="1" applyFill="1" applyFont="1">
      <alignment horizontal="center" readingOrder="0" vertical="bottom"/>
    </xf>
    <xf borderId="0" fillId="140" fontId="3" numFmtId="0" xfId="0" applyAlignment="1" applyFont="1">
      <alignment horizontal="center" readingOrder="0" vertical="bottom"/>
    </xf>
    <xf quotePrefix="1" borderId="0" fillId="2" fontId="3" numFmtId="0" xfId="0" applyAlignment="1" applyFont="1">
      <alignment horizontal="center" readingOrder="0" vertical="bottom"/>
    </xf>
    <xf borderId="0" fillId="246" fontId="3" numFmtId="0" xfId="0" applyAlignment="1" applyFill="1" applyFont="1">
      <alignment horizontal="center" vertical="bottom"/>
    </xf>
    <xf borderId="0" fillId="247" fontId="3" numFmtId="0" xfId="0" applyAlignment="1" applyFill="1" applyFont="1">
      <alignment horizontal="center" vertical="bottom"/>
    </xf>
    <xf borderId="0" fillId="248" fontId="3" numFmtId="0" xfId="0" applyAlignment="1" applyFill="1" applyFont="1">
      <alignment horizontal="center" vertical="bottom"/>
    </xf>
    <xf borderId="0" fillId="249" fontId="3" numFmtId="0" xfId="0" applyAlignment="1" applyFill="1" applyFont="1">
      <alignment horizontal="center" readingOrder="0" vertical="bottom"/>
    </xf>
    <xf borderId="0" fillId="250" fontId="3" numFmtId="0" xfId="0" applyAlignment="1" applyFill="1" applyFont="1">
      <alignment horizontal="center" vertical="bottom"/>
    </xf>
    <xf borderId="0" fillId="239" fontId="3" numFmtId="0" xfId="0" applyAlignment="1" applyFont="1">
      <alignment horizontal="center" readingOrder="0" vertical="bottom"/>
    </xf>
    <xf borderId="0" fillId="251" fontId="3" numFmtId="0" xfId="0" applyAlignment="1" applyFill="1" applyFont="1">
      <alignment horizontal="center" vertical="top"/>
    </xf>
    <xf borderId="0" fillId="252" fontId="3" numFmtId="0" xfId="0" applyAlignment="1" applyFill="1" applyFont="1">
      <alignment horizontal="center" vertical="top"/>
    </xf>
    <xf borderId="0" fillId="253" fontId="3" numFmtId="0" xfId="0" applyAlignment="1" applyFill="1" applyFont="1">
      <alignment horizontal="center" vertical="top"/>
    </xf>
    <xf borderId="0" fillId="254" fontId="3" numFmtId="0" xfId="0" applyAlignment="1" applyFill="1" applyFont="1">
      <alignment horizontal="center" vertical="top"/>
    </xf>
    <xf borderId="0" fillId="255" fontId="3" numFmtId="0" xfId="0" applyAlignment="1" applyFill="1" applyFont="1">
      <alignment horizontal="center" vertical="top"/>
    </xf>
    <xf borderId="0" fillId="2" fontId="4" numFmtId="0" xfId="0" applyAlignment="1" applyFont="1">
      <alignment horizontal="center"/>
    </xf>
    <xf borderId="0" fillId="256" fontId="3" numFmtId="0" xfId="0" applyAlignment="1" applyFill="1" applyFont="1">
      <alignment horizontal="center" readingOrder="0" vertical="top"/>
    </xf>
    <xf borderId="0" fillId="257" fontId="3" numFmtId="0" xfId="0" applyAlignment="1" applyFill="1" applyFont="1">
      <alignment horizontal="center" vertical="top"/>
    </xf>
    <xf borderId="0" fillId="258" fontId="3" numFmtId="0" xfId="0" applyAlignment="1" applyFill="1" applyFont="1">
      <alignment horizontal="center" readingOrder="0" vertical="top"/>
    </xf>
    <xf borderId="0" fillId="258" fontId="3" numFmtId="0" xfId="0" applyAlignment="1" applyFont="1">
      <alignment horizontal="center" readingOrder="0" vertical="bottom"/>
    </xf>
    <xf borderId="0" fillId="184" fontId="3" numFmtId="0" xfId="0" applyAlignment="1" applyFont="1">
      <alignment horizontal="center" readingOrder="0" vertical="bottom"/>
    </xf>
    <xf borderId="0" fillId="259" fontId="3" numFmtId="0" xfId="0" applyAlignment="1" applyFill="1" applyFont="1">
      <alignment horizontal="center" vertical="top"/>
    </xf>
    <xf borderId="0" fillId="260" fontId="3" numFmtId="0" xfId="0" applyAlignment="1" applyFill="1" applyFont="1">
      <alignment horizontal="center" vertical="top"/>
    </xf>
    <xf borderId="0" fillId="261" fontId="3" numFmtId="0" xfId="0" applyAlignment="1" applyFill="1" applyFont="1">
      <alignment horizontal="center" vertical="top"/>
    </xf>
    <xf borderId="0" fillId="262" fontId="3" numFmtId="0" xfId="0" applyAlignment="1" applyFill="1" applyFont="1">
      <alignment horizontal="center" vertical="top"/>
    </xf>
    <xf borderId="0" fillId="263" fontId="3" numFmtId="0" xfId="0" applyAlignment="1" applyFill="1" applyFont="1">
      <alignment horizontal="center" vertical="top"/>
    </xf>
    <xf borderId="0" fillId="123" fontId="3" numFmtId="0" xfId="0" applyAlignment="1" applyFont="1">
      <alignment horizontal="center" vertical="top"/>
    </xf>
    <xf borderId="0" fillId="2" fontId="5" numFmtId="0" xfId="0" applyAlignment="1" applyFont="1">
      <alignment horizontal="center" vertical="top"/>
    </xf>
    <xf borderId="0" fillId="124" fontId="3" numFmtId="0" xfId="0" applyAlignment="1" applyFont="1">
      <alignment horizontal="center" vertical="top"/>
    </xf>
    <xf borderId="0" fillId="125" fontId="3" numFmtId="0" xfId="0" applyAlignment="1" applyFont="1">
      <alignment horizontal="center" vertical="top"/>
    </xf>
    <xf borderId="0" fillId="126" fontId="3" numFmtId="0" xfId="0" applyAlignment="1" applyFont="1">
      <alignment horizontal="center" vertical="top"/>
    </xf>
    <xf borderId="0" fillId="264" fontId="3" numFmtId="0" xfId="0" applyAlignment="1" applyFill="1" applyFont="1">
      <alignment horizontal="center" vertical="top"/>
    </xf>
    <xf borderId="0" fillId="265" fontId="3" numFmtId="0" xfId="0" applyAlignment="1" applyFill="1" applyFont="1">
      <alignment horizontal="center" vertical="top"/>
    </xf>
    <xf borderId="0" fillId="266" fontId="3" numFmtId="0" xfId="0" applyAlignment="1" applyFill="1" applyFont="1">
      <alignment horizontal="center" vertical="bottom"/>
    </xf>
    <xf borderId="0" fillId="267" fontId="3" numFmtId="0" xfId="0" applyAlignment="1" applyFill="1" applyFont="1">
      <alignment horizontal="center" vertical="top"/>
    </xf>
    <xf borderId="0" fillId="215" fontId="3" numFmtId="0" xfId="0" applyAlignment="1" applyFont="1">
      <alignment horizontal="center" readingOrder="0" vertical="top"/>
    </xf>
    <xf borderId="0" fillId="166" fontId="3" numFmtId="0" xfId="0" applyAlignment="1" applyFont="1">
      <alignment horizontal="center" vertical="bottom"/>
    </xf>
    <xf borderId="0" fillId="268" fontId="3" numFmtId="49" xfId="0" applyAlignment="1" applyFill="1" applyFont="1" applyNumberFormat="1">
      <alignment horizontal="center" vertical="top"/>
    </xf>
    <xf borderId="0" fillId="2" fontId="5" numFmtId="0" xfId="0" applyAlignment="1" applyFont="1">
      <alignment vertical="top"/>
    </xf>
    <xf borderId="0" fillId="269" fontId="3" numFmtId="49" xfId="0" applyAlignment="1" applyFill="1" applyFont="1" applyNumberFormat="1">
      <alignment horizontal="center" vertical="bottom"/>
    </xf>
    <xf borderId="0" fillId="270" fontId="3" numFmtId="49" xfId="0" applyAlignment="1" applyFill="1" applyFont="1" applyNumberFormat="1">
      <alignment horizontal="center" vertical="top"/>
    </xf>
    <xf borderId="0" fillId="271" fontId="3" numFmtId="49" xfId="0" applyAlignment="1" applyFill="1" applyFont="1" applyNumberFormat="1">
      <alignment horizontal="center" vertical="top"/>
    </xf>
    <xf borderId="0" fillId="272" fontId="3" numFmtId="49" xfId="0" applyAlignment="1" applyFill="1" applyFont="1" applyNumberFormat="1">
      <alignment horizontal="center" vertical="top"/>
    </xf>
    <xf borderId="0" fillId="2" fontId="3" numFmtId="49" xfId="0" applyAlignment="1" applyFont="1" applyNumberFormat="1">
      <alignment horizontal="center" vertical="top"/>
    </xf>
    <xf borderId="0" fillId="268" fontId="3" numFmtId="0" xfId="0" applyAlignment="1" applyFont="1">
      <alignment horizontal="center" vertical="top"/>
    </xf>
    <xf borderId="0" fillId="273" fontId="3" numFmtId="0" xfId="0" applyAlignment="1" applyFill="1" applyFont="1">
      <alignment horizontal="center" vertical="bottom"/>
    </xf>
    <xf borderId="0" fillId="274" fontId="3" numFmtId="0" xfId="0" applyAlignment="1" applyFill="1" applyFont="1">
      <alignment horizontal="center" vertical="bottom"/>
    </xf>
    <xf borderId="0" fillId="275" fontId="3" numFmtId="0" xfId="0" applyAlignment="1" applyFill="1" applyFont="1">
      <alignment horizontal="center" vertical="top"/>
    </xf>
    <xf borderId="0" fillId="269" fontId="3" numFmtId="0" xfId="0" applyAlignment="1" applyFont="1">
      <alignment horizontal="center" vertical="top"/>
    </xf>
    <xf borderId="0" fillId="276" fontId="3" numFmtId="49" xfId="0" applyAlignment="1" applyFill="1" applyFont="1" applyNumberFormat="1">
      <alignment horizontal="center" vertical="top"/>
    </xf>
    <xf borderId="0" fillId="270" fontId="3" numFmtId="0" xfId="0" applyAlignment="1" applyFont="1">
      <alignment horizontal="center" vertical="top"/>
    </xf>
    <xf borderId="0" fillId="277" fontId="3" numFmtId="0" xfId="0" applyAlignment="1" applyFill="1" applyFont="1">
      <alignment horizontal="center" vertical="top"/>
    </xf>
    <xf borderId="0" fillId="278" fontId="3" numFmtId="0" xfId="0" applyAlignment="1" applyFill="1" applyFont="1">
      <alignment horizontal="center" vertical="top"/>
    </xf>
    <xf borderId="0" fillId="228" fontId="3" numFmtId="0" xfId="0" applyAlignment="1" applyFont="1">
      <alignment horizontal="center" vertical="top"/>
    </xf>
    <xf borderId="0" fillId="279" fontId="3" numFmtId="0" xfId="0" applyAlignment="1" applyFill="1" applyFont="1">
      <alignment horizontal="center" vertical="top"/>
    </xf>
    <xf borderId="0" fillId="280" fontId="3" numFmtId="0" xfId="0" applyAlignment="1" applyFill="1" applyFont="1">
      <alignment horizontal="center" vertical="top"/>
    </xf>
    <xf borderId="0" fillId="281" fontId="3" numFmtId="0" xfId="0" applyAlignment="1" applyFill="1" applyFont="1">
      <alignment horizontal="center" vertical="top"/>
    </xf>
    <xf borderId="0" fillId="282" fontId="3" numFmtId="0" xfId="0" applyAlignment="1" applyFill="1" applyFont="1">
      <alignment horizontal="center" vertical="top"/>
    </xf>
    <xf borderId="0" fillId="283" fontId="3" numFmtId="0" xfId="0" applyAlignment="1" applyFill="1" applyFont="1">
      <alignment horizontal="center" vertical="top"/>
    </xf>
    <xf borderId="0" fillId="284" fontId="3" numFmtId="49" xfId="0" applyAlignment="1" applyFill="1" applyFont="1" applyNumberFormat="1">
      <alignment horizontal="center" vertical="top"/>
    </xf>
    <xf borderId="0" fillId="285" fontId="3" numFmtId="0" xfId="0" applyAlignment="1" applyFill="1" applyFont="1">
      <alignment horizontal="center" vertical="bottom"/>
    </xf>
    <xf borderId="0" fillId="286" fontId="3" numFmtId="0" xfId="0" applyAlignment="1" applyFill="1" applyFont="1">
      <alignment horizontal="center" vertical="bottom"/>
    </xf>
    <xf borderId="0" fillId="287" fontId="3" numFmtId="0" xfId="0" applyAlignment="1" applyFill="1" applyFont="1">
      <alignment horizontal="center" vertical="top"/>
    </xf>
    <xf borderId="0" fillId="288" fontId="3" numFmtId="49" xfId="0" applyAlignment="1" applyFill="1" applyFont="1" applyNumberFormat="1">
      <alignment horizontal="center" vertical="top"/>
    </xf>
    <xf borderId="0" fillId="289" fontId="3" numFmtId="0" xfId="0" applyAlignment="1" applyFill="1" applyFont="1">
      <alignment horizontal="center" vertical="top"/>
    </xf>
    <xf borderId="0" fillId="290" fontId="3" numFmtId="0" xfId="0" applyAlignment="1" applyFill="1" applyFont="1">
      <alignment horizontal="center" readingOrder="0" vertical="top"/>
    </xf>
    <xf borderId="0" fillId="291" fontId="3" numFmtId="0" xfId="0" applyAlignment="1" applyFill="1" applyFont="1">
      <alignment horizontal="center" vertical="top"/>
    </xf>
    <xf borderId="0" fillId="292" fontId="3" numFmtId="0" xfId="0" applyAlignment="1" applyFill="1" applyFont="1">
      <alignment horizontal="center" vertical="bottom"/>
    </xf>
    <xf borderId="0" fillId="293" fontId="3" numFmtId="0" xfId="0" applyAlignment="1" applyFill="1" applyFont="1">
      <alignment horizontal="center" vertical="bottom"/>
    </xf>
    <xf borderId="0" fillId="133" fontId="3" numFmtId="0" xfId="0" applyAlignment="1" applyFont="1">
      <alignment horizontal="center" vertical="top"/>
    </xf>
    <xf borderId="0" fillId="271" fontId="3" numFmtId="0" xfId="0" applyAlignment="1" applyFont="1">
      <alignment horizontal="center" vertical="top"/>
    </xf>
    <xf borderId="0" fillId="294" fontId="3" numFmtId="0" xfId="0" applyAlignment="1" applyFill="1" applyFont="1">
      <alignment horizontal="center" vertical="top"/>
    </xf>
    <xf borderId="0" fillId="295" fontId="3" numFmtId="0" xfId="0" applyAlignment="1" applyFill="1" applyFont="1">
      <alignment horizontal="center" vertical="top"/>
    </xf>
    <xf borderId="0" fillId="296" fontId="3" numFmtId="0" xfId="0" applyAlignment="1" applyFill="1" applyFont="1">
      <alignment horizontal="center" vertical="top"/>
    </xf>
    <xf borderId="0" fillId="297" fontId="3" numFmtId="49" xfId="0" applyAlignment="1" applyFill="1" applyFont="1" applyNumberFormat="1">
      <alignment horizontal="center" vertical="top"/>
    </xf>
    <xf borderId="0" fillId="117" fontId="3" numFmtId="49" xfId="0" applyAlignment="1" applyFont="1" applyNumberFormat="1">
      <alignment horizontal="center" vertical="top"/>
    </xf>
    <xf borderId="0" fillId="298" fontId="3" numFmtId="0" xfId="0" applyAlignment="1" applyFill="1" applyFont="1">
      <alignment horizontal="center" vertical="top"/>
    </xf>
    <xf borderId="0" fillId="299" fontId="3" numFmtId="0" xfId="0" applyAlignment="1" applyFill="1" applyFont="1">
      <alignment horizontal="center" readingOrder="0" vertical="top"/>
    </xf>
    <xf borderId="0" fillId="300" fontId="3" numFmtId="0" xfId="0" applyAlignment="1" applyFill="1" applyFont="1">
      <alignment horizontal="center" vertical="top"/>
    </xf>
    <xf borderId="0" fillId="301" fontId="3" numFmtId="0" xfId="0" applyAlignment="1" applyFill="1" applyFont="1">
      <alignment horizontal="center" vertical="bottom"/>
    </xf>
    <xf borderId="0" fillId="302" fontId="3" numFmtId="0" xfId="0" applyAlignment="1" applyFill="1" applyFont="1">
      <alignment horizontal="center" vertical="bottom"/>
    </xf>
    <xf borderId="0" fillId="303" fontId="3" numFmtId="0" xfId="0" applyAlignment="1" applyFill="1" applyFont="1">
      <alignment horizontal="center" vertical="bottom"/>
    </xf>
    <xf borderId="0" fillId="304" fontId="3" numFmtId="0" xfId="0" applyAlignment="1" applyFill="1" applyFont="1">
      <alignment horizontal="center" vertical="top"/>
    </xf>
    <xf borderId="0" fillId="305" fontId="3" numFmtId="0" xfId="0" applyAlignment="1" applyFill="1" applyFont="1">
      <alignment horizontal="center" vertical="top"/>
    </xf>
    <xf borderId="0" fillId="306" fontId="3" numFmtId="49" xfId="0" applyAlignment="1" applyFill="1" applyFont="1" applyNumberFormat="1">
      <alignment horizontal="center" vertical="top"/>
    </xf>
    <xf borderId="0" fillId="307" fontId="3" numFmtId="0" xfId="0" applyAlignment="1" applyFill="1" applyFont="1">
      <alignment horizontal="center" vertical="top"/>
    </xf>
    <xf borderId="0" fillId="308" fontId="3" numFmtId="0" xfId="0" applyAlignment="1" applyFill="1" applyFont="1">
      <alignment horizontal="center" vertical="top"/>
    </xf>
    <xf borderId="0" fillId="309" fontId="3" numFmtId="0" xfId="0" applyAlignment="1" applyFill="1" applyFont="1">
      <alignment horizontal="center" vertical="top"/>
    </xf>
    <xf borderId="0" fillId="310" fontId="3" numFmtId="0" xfId="0" applyAlignment="1" applyFill="1" applyFont="1">
      <alignment horizontal="center" vertical="top"/>
    </xf>
    <xf borderId="0" fillId="311" fontId="3" numFmtId="0" xfId="0" applyAlignment="1" applyFill="1" applyFont="1">
      <alignment horizontal="center" readingOrder="0" vertical="bottom"/>
    </xf>
    <xf borderId="0" fillId="312" fontId="3" numFmtId="0" xfId="0" applyAlignment="1" applyFill="1" applyFont="1">
      <alignment horizontal="center" vertical="top"/>
    </xf>
    <xf borderId="0" fillId="313" fontId="3" numFmtId="0" xfId="0" applyAlignment="1" applyFill="1" applyFont="1">
      <alignment horizontal="center" vertical="top"/>
    </xf>
    <xf borderId="0" fillId="306" fontId="3" numFmtId="0" xfId="0" applyAlignment="1" applyFont="1">
      <alignment horizontal="center" vertical="top"/>
    </xf>
    <xf borderId="0" fillId="314" fontId="3" numFmtId="0" xfId="0" applyAlignment="1" applyFill="1" applyFont="1">
      <alignment horizontal="center" vertical="top"/>
    </xf>
    <xf borderId="0" fillId="288" fontId="3" numFmtId="0" xfId="0" applyAlignment="1" applyFont="1">
      <alignment horizontal="center" vertical="top"/>
    </xf>
    <xf borderId="0" fillId="272" fontId="3" numFmtId="0" xfId="0" applyAlignment="1" applyFont="1">
      <alignment horizontal="center" vertical="top"/>
    </xf>
    <xf borderId="0" fillId="315" fontId="3" numFmtId="0" xfId="0" applyAlignment="1" applyFill="1" applyFont="1">
      <alignment horizontal="center" vertical="top"/>
    </xf>
    <xf borderId="0" fillId="316" fontId="3" numFmtId="0" xfId="0" applyAlignment="1" applyFill="1" applyFont="1">
      <alignment horizontal="center" vertical="top"/>
    </xf>
    <xf borderId="0" fillId="317" fontId="3" numFmtId="0" xfId="0" applyAlignment="1" applyFill="1" applyFont="1">
      <alignment horizontal="center" vertical="top"/>
    </xf>
    <xf borderId="0" fillId="318" fontId="3" numFmtId="0" xfId="0" applyAlignment="1" applyFill="1" applyFont="1">
      <alignment horizontal="center" vertical="top"/>
    </xf>
    <xf borderId="0" fillId="319" fontId="3" numFmtId="0" xfId="0" applyAlignment="1" applyFill="1" applyFont="1">
      <alignment horizontal="center" vertical="top"/>
    </xf>
    <xf borderId="0" fillId="320" fontId="3" numFmtId="0" xfId="0" applyAlignment="1" applyFill="1" applyFont="1">
      <alignment horizontal="center" vertical="top"/>
    </xf>
    <xf borderId="0" fillId="321" fontId="3" numFmtId="0" xfId="0" applyAlignment="1" applyFill="1" applyFont="1">
      <alignment horizontal="center" vertical="bottom"/>
    </xf>
    <xf borderId="0" fillId="322" fontId="3" numFmtId="0" xfId="0" applyAlignment="1" applyFill="1" applyFont="1">
      <alignment horizontal="center" vertical="top"/>
    </xf>
    <xf borderId="0" fillId="323" fontId="3" numFmtId="0" xfId="0" applyAlignment="1" applyFill="1" applyFont="1">
      <alignment horizontal="center" vertical="top"/>
    </xf>
    <xf borderId="0" fillId="324" fontId="3" numFmtId="0" xfId="0" applyAlignment="1" applyFill="1" applyFont="1">
      <alignment horizontal="center" vertical="top"/>
    </xf>
    <xf borderId="0" fillId="96" fontId="3" numFmtId="0" xfId="0" applyAlignment="1" applyFont="1">
      <alignment horizontal="center" vertical="bottom"/>
    </xf>
    <xf borderId="0" fillId="97" fontId="3" numFmtId="0" xfId="0" applyAlignment="1" applyFont="1">
      <alignment horizontal="center" vertical="bottom"/>
    </xf>
    <xf borderId="0" fillId="96" fontId="3" numFmtId="0" xfId="0" applyAlignment="1" applyFont="1">
      <alignment horizontal="center" vertical="top"/>
    </xf>
    <xf borderId="0" fillId="325" fontId="3" numFmtId="0" xfId="0" applyAlignment="1" applyFill="1" applyFont="1">
      <alignment horizontal="center" vertical="top"/>
    </xf>
    <xf borderId="0" fillId="99" fontId="3" numFmtId="0" xfId="0" applyAlignment="1" applyFont="1">
      <alignment horizontal="center" vertical="top"/>
    </xf>
    <xf borderId="0" fillId="97" fontId="3" numFmtId="0" xfId="0" applyAlignment="1" applyFont="1">
      <alignment horizontal="center" vertical="top"/>
    </xf>
    <xf borderId="0" fillId="69" fontId="3" numFmtId="0" xfId="0" applyAlignment="1" applyFont="1">
      <alignment horizontal="center" vertical="top"/>
    </xf>
    <xf borderId="0" fillId="326" fontId="3" numFmtId="0" xfId="0" applyAlignment="1" applyFill="1" applyFont="1">
      <alignment horizontal="center" vertical="top"/>
    </xf>
    <xf borderId="0" fillId="327" fontId="3" numFmtId="0" xfId="0" applyAlignment="1" applyFill="1" applyFont="1">
      <alignment horizontal="center" vertical="top"/>
    </xf>
    <xf borderId="0" fillId="328" fontId="3" numFmtId="0" xfId="0" applyAlignment="1" applyFill="1" applyFont="1">
      <alignment horizontal="center" vertical="top"/>
    </xf>
    <xf quotePrefix="1" borderId="0" fillId="2" fontId="3" numFmtId="0" xfId="0" applyAlignment="1" applyFont="1">
      <alignment horizontal="center" vertical="top"/>
    </xf>
    <xf borderId="0" fillId="329" fontId="3" numFmtId="0" xfId="0" applyAlignment="1" applyFill="1" applyFont="1">
      <alignment horizontal="center" vertical="top"/>
    </xf>
    <xf borderId="0" fillId="330" fontId="3" numFmtId="0" xfId="0" applyAlignment="1" applyFill="1" applyFont="1">
      <alignment horizontal="center" vertical="top"/>
    </xf>
    <xf borderId="0" fillId="331" fontId="3" numFmtId="0" xfId="0" applyAlignment="1" applyFill="1" applyFont="1">
      <alignment horizontal="center" vertical="top"/>
    </xf>
    <xf borderId="0" fillId="332" fontId="3" numFmtId="0" xfId="0" applyAlignment="1" applyFill="1" applyFont="1">
      <alignment horizontal="center" vertical="top"/>
    </xf>
    <xf borderId="0" fillId="2" fontId="5" numFmtId="0" xfId="0" applyAlignment="1" applyFont="1">
      <alignment readingOrder="0" vertical="top"/>
    </xf>
    <xf borderId="0" fillId="333" fontId="3" numFmtId="0" xfId="0" applyAlignment="1" applyFill="1" applyFont="1">
      <alignment horizontal="center" vertical="top"/>
    </xf>
    <xf borderId="0" fillId="334" fontId="3" numFmtId="0" xfId="0" applyAlignment="1" applyFill="1" applyFont="1">
      <alignment horizontal="center" vertical="top"/>
    </xf>
    <xf quotePrefix="1" borderId="0" fillId="2" fontId="3" numFmtId="0" xfId="0" applyAlignment="1" applyFont="1">
      <alignment horizontal="center" readingOrder="0" vertical="top"/>
    </xf>
    <xf borderId="0" fillId="335" fontId="3" numFmtId="0" xfId="0" applyAlignment="1" applyFill="1" applyFont="1">
      <alignment horizontal="center" vertical="bottom"/>
    </xf>
    <xf borderId="0" fillId="336" fontId="3" numFmtId="0" xfId="0" applyAlignment="1" applyFill="1" applyFont="1">
      <alignment horizontal="center" vertical="top"/>
    </xf>
    <xf borderId="0" fillId="337" fontId="3" numFmtId="0" xfId="0" applyAlignment="1" applyFill="1" applyFont="1">
      <alignment horizontal="center" vertical="top"/>
    </xf>
    <xf borderId="0" fillId="338" fontId="3" numFmtId="0" xfId="0" applyAlignment="1" applyFill="1" applyFont="1">
      <alignment horizontal="center" vertical="top"/>
    </xf>
    <xf borderId="0" fillId="276" fontId="3" numFmtId="0" xfId="0" applyAlignment="1" applyFont="1">
      <alignment horizontal="center" vertical="top"/>
    </xf>
    <xf borderId="0" fillId="339" fontId="3" numFmtId="0" xfId="0" applyAlignment="1" applyFill="1" applyFont="1">
      <alignment horizontal="center" vertical="top"/>
    </xf>
    <xf borderId="0" fillId="340" fontId="3" numFmtId="0" xfId="0" applyAlignment="1" applyFill="1" applyFont="1">
      <alignment horizontal="center" vertical="top"/>
    </xf>
    <xf borderId="0" fillId="341" fontId="3" numFmtId="0" xfId="0" applyAlignment="1" applyFill="1" applyFont="1">
      <alignment horizontal="center" vertical="top"/>
    </xf>
    <xf borderId="0" fillId="342" fontId="3" numFmtId="0" xfId="0" applyAlignment="1" applyFill="1" applyFont="1">
      <alignment horizontal="center" vertical="top"/>
    </xf>
    <xf borderId="0" fillId="343" fontId="3" numFmtId="0" xfId="0" applyAlignment="1" applyFill="1" applyFont="1">
      <alignment horizontal="center" vertical="top"/>
    </xf>
    <xf borderId="0" fillId="344" fontId="3" numFmtId="0" xfId="0" applyAlignment="1" applyFill="1" applyFont="1">
      <alignment horizontal="center" vertical="top"/>
    </xf>
    <xf borderId="0" fillId="345" fontId="3" numFmtId="0" xfId="0" applyAlignment="1" applyFill="1" applyFont="1">
      <alignment horizontal="center" vertical="top"/>
    </xf>
    <xf borderId="0" fillId="346" fontId="3" numFmtId="0" xfId="0" applyAlignment="1" applyFill="1" applyFont="1">
      <alignment horizontal="center" vertical="top"/>
    </xf>
    <xf borderId="0" fillId="347" fontId="3" numFmtId="0" xfId="0" applyAlignment="1" applyFill="1" applyFont="1">
      <alignment horizontal="center" vertical="top"/>
    </xf>
    <xf borderId="0" fillId="348" fontId="3" numFmtId="0" xfId="0" applyAlignment="1" applyFill="1" applyFont="1">
      <alignment horizontal="center" vertical="top"/>
    </xf>
    <xf borderId="0" fillId="349" fontId="3" numFmtId="0" xfId="0" applyAlignment="1" applyFill="1" applyFont="1">
      <alignment horizontal="center" vertical="top"/>
    </xf>
    <xf borderId="0" fillId="350" fontId="3" numFmtId="0" xfId="0" applyAlignment="1" applyFill="1" applyFont="1">
      <alignment horizontal="center" vertical="top"/>
    </xf>
    <xf borderId="0" fillId="351" fontId="3" numFmtId="0" xfId="0" applyAlignment="1" applyFill="1" applyFont="1">
      <alignment horizontal="center" vertical="top"/>
    </xf>
    <xf borderId="0" fillId="352" fontId="3" numFmtId="0" xfId="0" applyAlignment="1" applyFill="1" applyFont="1">
      <alignment horizontal="center" vertical="top"/>
    </xf>
    <xf borderId="0" fillId="353" fontId="3" numFmtId="0" xfId="0" applyAlignment="1" applyFill="1" applyFont="1">
      <alignment horizontal="center" vertical="top"/>
    </xf>
    <xf borderId="0" fillId="266" fontId="10" numFmtId="0" xfId="0" applyAlignment="1" applyFont="1">
      <alignment horizontal="center" vertical="bottom"/>
    </xf>
    <xf borderId="0" fillId="353" fontId="10" numFmtId="0" xfId="0" applyAlignment="1" applyFont="1">
      <alignment horizontal="center" vertical="bottom"/>
    </xf>
    <xf borderId="0" fillId="338" fontId="3" numFmtId="0" xfId="0" applyAlignment="1" applyFont="1">
      <alignment horizontal="center" vertical="bottom"/>
    </xf>
    <xf borderId="0" fillId="354" fontId="3" numFmtId="0" xfId="0" applyAlignment="1" applyFill="1" applyFont="1">
      <alignment horizontal="center" vertical="top"/>
    </xf>
    <xf borderId="0" fillId="315" fontId="3" numFmtId="0" xfId="0" applyAlignment="1" applyFont="1">
      <alignment horizontal="center" readingOrder="0" vertical="top"/>
    </xf>
    <xf borderId="0" fillId="2" fontId="3" numFmtId="49" xfId="0" applyAlignment="1" applyFont="1" applyNumberFormat="1">
      <alignment horizontal="center" readingOrder="0" vertical="top"/>
    </xf>
    <xf quotePrefix="1" borderId="0" fillId="2" fontId="3" numFmtId="49" xfId="0" applyAlignment="1" applyFont="1" applyNumberFormat="1">
      <alignment horizontal="center" readingOrder="0" vertical="top"/>
    </xf>
    <xf borderId="0" fillId="122" fontId="3" numFmtId="0" xfId="0" applyAlignment="1" applyFont="1">
      <alignment horizontal="center" vertical="top"/>
    </xf>
    <xf borderId="0" fillId="355" fontId="3" numFmtId="0" xfId="0" applyAlignment="1" applyFill="1" applyFont="1">
      <alignment horizontal="center" vertical="top"/>
    </xf>
    <xf borderId="0" fillId="356" fontId="3" numFmtId="0" xfId="0" applyAlignment="1" applyFill="1" applyFont="1">
      <alignment horizontal="center" vertical="top"/>
    </xf>
    <xf borderId="0" fillId="269" fontId="3" numFmtId="0" xfId="0" applyAlignment="1" applyFont="1">
      <alignment horizontal="center" vertical="bottom"/>
    </xf>
    <xf borderId="0" fillId="138" fontId="3" numFmtId="0" xfId="0" applyAlignment="1" applyFont="1">
      <alignment horizontal="center" readingOrder="0" vertical="top"/>
    </xf>
    <xf borderId="0" fillId="145" fontId="3" numFmtId="0" xfId="0" applyAlignment="1" applyFont="1">
      <alignment horizontal="center" readingOrder="0" vertical="top"/>
    </xf>
    <xf borderId="0" fillId="152" fontId="3" numFmtId="0" xfId="0" applyAlignment="1" applyFont="1">
      <alignment horizontal="center" readingOrder="0" vertical="top"/>
    </xf>
    <xf borderId="0" fillId="149" fontId="3" numFmtId="0" xfId="0" applyAlignment="1" applyFont="1">
      <alignment horizontal="center" readingOrder="0" vertical="top"/>
    </xf>
    <xf borderId="0" fillId="140" fontId="3" numFmtId="0" xfId="0" applyAlignment="1" applyFont="1">
      <alignment horizontal="center" readingOrder="0" vertical="top"/>
    </xf>
    <xf borderId="0" fillId="274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/>
    </xf>
    <xf borderId="0" fillId="15" fontId="3" numFmtId="0" xfId="0" applyAlignment="1" applyFont="1">
      <alignment horizontal="center" vertical="top"/>
    </xf>
    <xf borderId="0" fillId="277" fontId="3" numFmtId="0" xfId="0" applyAlignment="1" applyFont="1">
      <alignment horizontal="center" vertical="top"/>
    </xf>
    <xf borderId="0" fillId="2" fontId="5" numFmtId="0" xfId="0" applyAlignment="1" applyFont="1">
      <alignment vertical="top"/>
    </xf>
    <xf borderId="0" fillId="278" fontId="3" numFmtId="0" xfId="0" applyAlignment="1" applyFont="1">
      <alignment horizontal="center" vertical="top"/>
    </xf>
    <xf borderId="1" fillId="2" fontId="3" numFmtId="0" xfId="0" applyAlignment="1" applyBorder="1" applyFont="1">
      <alignment horizontal="center" readingOrder="0" vertical="top"/>
    </xf>
    <xf borderId="0" fillId="282" fontId="3" numFmtId="0" xfId="0" applyAlignment="1" applyFont="1">
      <alignment horizontal="center" vertical="top"/>
    </xf>
    <xf borderId="0" fillId="283" fontId="3" numFmtId="0" xfId="0" applyAlignment="1" applyFont="1">
      <alignment horizontal="center" vertical="top"/>
    </xf>
    <xf borderId="0" fillId="357" fontId="4" numFmtId="0" xfId="0" applyAlignment="1" applyFill="1" applyFont="1">
      <alignment horizontal="center" readingOrder="0"/>
    </xf>
    <xf borderId="0" fillId="357" fontId="3" numFmtId="0" xfId="0" applyAlignment="1" applyFont="1">
      <alignment horizontal="center" vertical="top"/>
    </xf>
    <xf borderId="0" fillId="357" fontId="3" numFmtId="0" xfId="0" applyAlignment="1" applyFont="1">
      <alignment horizontal="center" readingOrder="0" vertical="top"/>
    </xf>
    <xf borderId="0" fillId="357" fontId="3" numFmtId="0" xfId="0" applyAlignment="1" applyFont="1">
      <alignment horizontal="center" readingOrder="0"/>
    </xf>
    <xf borderId="0" fillId="357" fontId="5" numFmtId="0" xfId="0" applyAlignment="1" applyFont="1">
      <alignment vertical="top"/>
    </xf>
    <xf borderId="0" fillId="357" fontId="4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vertical="top"/>
    </xf>
    <xf borderId="0" fillId="0" fontId="3" numFmtId="49" xfId="0" applyAlignment="1" applyFont="1" applyNumberFormat="1">
      <alignment horizontal="center" vertical="top"/>
    </xf>
    <xf borderId="0" fillId="0" fontId="5" numFmtId="0" xfId="0" applyAlignment="1" applyFont="1">
      <alignment vertical="top"/>
    </xf>
    <xf borderId="0" fillId="357" fontId="3" numFmtId="0" xfId="0" applyAlignment="1" applyFont="1">
      <alignment horizontal="center" vertical="bottom"/>
    </xf>
    <xf borderId="0" fillId="277" fontId="3" numFmtId="0" xfId="0" applyAlignment="1" applyFont="1">
      <alignment horizontal="center" readingOrder="0" vertical="top"/>
    </xf>
    <xf borderId="0" fillId="133" fontId="3" numFmtId="0" xfId="0" applyAlignment="1" applyFont="1">
      <alignment horizontal="center" vertical="bottom"/>
    </xf>
    <xf borderId="0" fillId="270" fontId="3" numFmtId="0" xfId="0" applyAlignment="1" applyFont="1">
      <alignment horizontal="center" readingOrder="0" vertical="top"/>
    </xf>
    <xf borderId="0" fillId="2" fontId="3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120" fontId="3" numFmtId="0" xfId="0" applyAlignment="1" applyFont="1">
      <alignment horizontal="center" vertical="center"/>
    </xf>
    <xf borderId="0" fillId="316" fontId="3" numFmtId="0" xfId="0" applyAlignment="1" applyFont="1">
      <alignment horizontal="center" vertical="center"/>
    </xf>
    <xf borderId="0" fillId="2" fontId="3" numFmtId="0" xfId="0" applyAlignment="1" applyFont="1">
      <alignment readingOrder="0"/>
    </xf>
    <xf borderId="0" fillId="319" fontId="3" numFmtId="0" xfId="0" applyAlignment="1" applyFont="1">
      <alignment horizontal="center" vertical="center"/>
    </xf>
    <xf borderId="0" fillId="320" fontId="3" numFmtId="0" xfId="0" applyAlignment="1" applyFont="1">
      <alignment horizontal="center" vertical="center"/>
    </xf>
    <xf borderId="0" fillId="321" fontId="3" numFmtId="0" xfId="0" applyAlignment="1" applyFont="1">
      <alignment horizontal="center"/>
    </xf>
    <xf borderId="0" fillId="322" fontId="3" numFmtId="0" xfId="0" applyAlignment="1" applyFont="1">
      <alignment horizontal="center" vertical="center"/>
    </xf>
    <xf borderId="0" fillId="323" fontId="3" numFmtId="0" xfId="0" applyAlignment="1" applyFont="1">
      <alignment horizontal="center" vertical="center"/>
    </xf>
    <xf borderId="0" fillId="324" fontId="3" numFmtId="0" xfId="0" applyAlignment="1" applyFont="1">
      <alignment horizontal="center" vertical="center"/>
    </xf>
    <xf borderId="0" fillId="96" fontId="3" numFmtId="0" xfId="0" applyAlignment="1" applyFont="1">
      <alignment horizontal="center" vertical="center"/>
    </xf>
    <xf borderId="0" fillId="97" fontId="3" numFmtId="0" xfId="0" applyAlignment="1" applyFont="1">
      <alignment horizontal="center" vertical="center"/>
    </xf>
    <xf borderId="0" fillId="325" fontId="3" numFmtId="0" xfId="0" applyAlignment="1" applyFont="1">
      <alignment horizontal="center" vertical="center"/>
    </xf>
    <xf borderId="0" fillId="99" fontId="3" numFmtId="0" xfId="0" applyAlignment="1" applyFont="1">
      <alignment horizontal="center" vertical="center"/>
    </xf>
    <xf borderId="0" fillId="69" fontId="3" numFmtId="0" xfId="0" applyAlignment="1" applyFont="1">
      <alignment horizontal="center" vertical="center"/>
    </xf>
    <xf borderId="0" fillId="326" fontId="3" numFmtId="0" xfId="0" applyAlignment="1" applyFont="1">
      <alignment horizontal="center" vertical="center"/>
    </xf>
    <xf borderId="0" fillId="327" fontId="3" numFmtId="0" xfId="0" applyAlignment="1" applyFont="1">
      <alignment horizontal="center" vertical="center"/>
    </xf>
    <xf borderId="0" fillId="328" fontId="3" numFmtId="0" xfId="0" applyAlignment="1" applyFont="1">
      <alignment horizontal="center" vertical="center"/>
    </xf>
    <xf borderId="0" fillId="329" fontId="3" numFmtId="0" xfId="0" applyAlignment="1" applyFont="1">
      <alignment horizontal="center" vertical="center"/>
    </xf>
    <xf borderId="0" fillId="330" fontId="3" numFmtId="0" xfId="0" applyAlignment="1" applyFont="1">
      <alignment horizontal="center" vertical="center"/>
    </xf>
    <xf borderId="0" fillId="333" fontId="3" numFmtId="0" xfId="0" applyAlignment="1" applyFont="1">
      <alignment horizontal="center" vertical="center"/>
    </xf>
    <xf borderId="0" fillId="334" fontId="3" numFmtId="0" xfId="0" applyAlignment="1" applyFont="1">
      <alignment horizontal="center" vertical="center"/>
    </xf>
    <xf borderId="0" fillId="335" fontId="3" numFmtId="0" xfId="0" applyAlignment="1" applyFont="1">
      <alignment horizontal="center" vertical="center"/>
    </xf>
    <xf borderId="0" fillId="338" fontId="3" numFmtId="0" xfId="0" applyAlignment="1" applyFont="1">
      <alignment horizontal="center" vertical="center"/>
    </xf>
    <xf borderId="0" fillId="276" fontId="3" numFmtId="0" xfId="0" applyAlignment="1" applyFont="1">
      <alignment horizontal="center" vertical="center"/>
    </xf>
    <xf borderId="0" fillId="275" fontId="3" numFmtId="0" xfId="0" applyAlignment="1" applyFont="1">
      <alignment horizontal="center" vertical="center"/>
    </xf>
    <xf borderId="0" fillId="167" fontId="3" numFmtId="0" xfId="0" applyAlignment="1" applyFont="1">
      <alignment horizontal="center" vertical="center"/>
    </xf>
    <xf borderId="0" fillId="15" fontId="3" numFmtId="0" xfId="0" applyAlignment="1" applyFont="1">
      <alignment horizontal="center" vertical="center"/>
    </xf>
    <xf borderId="0" fillId="168" fontId="3" numFmtId="0" xfId="0" applyAlignment="1" applyFont="1">
      <alignment horizontal="center" vertical="center"/>
    </xf>
    <xf borderId="0" fillId="317" fontId="3" numFmtId="0" xfId="0" applyAlignment="1" applyFont="1">
      <alignment horizontal="center" vertical="center"/>
    </xf>
    <xf borderId="0" fillId="214" fontId="3" numFmtId="0" xfId="0" applyAlignment="1" applyFont="1">
      <alignment horizontal="center" vertical="center"/>
    </xf>
    <xf borderId="0" fillId="215" fontId="3" numFmtId="0" xfId="0" applyAlignment="1" applyFont="1">
      <alignment horizontal="center" vertical="center"/>
    </xf>
    <xf borderId="0" fillId="341" fontId="3" numFmtId="0" xfId="0" applyAlignment="1" applyFont="1">
      <alignment horizontal="center" vertical="center"/>
    </xf>
    <xf borderId="0" fillId="218" fontId="3" numFmtId="0" xfId="0" applyAlignment="1" applyFont="1">
      <alignment horizontal="center" vertical="center"/>
    </xf>
    <xf borderId="0" fillId="216" fontId="3" numFmtId="0" xfId="0" applyAlignment="1" applyFont="1">
      <alignment horizontal="center" vertical="center"/>
    </xf>
    <xf borderId="0" fillId="342" fontId="3" numFmtId="0" xfId="0" applyAlignment="1" applyFont="1">
      <alignment horizontal="center" vertical="center"/>
    </xf>
    <xf borderId="0" fillId="339" fontId="3" numFmtId="0" xfId="0" applyAlignment="1" applyFont="1">
      <alignment horizontal="center" vertical="center"/>
    </xf>
    <xf borderId="0" fillId="166" fontId="3" numFmtId="0" xfId="0" applyAlignment="1" applyFont="1">
      <alignment horizontal="center" vertical="center"/>
    </xf>
    <xf borderId="0" fillId="343" fontId="3" numFmtId="0" xfId="0" applyAlignment="1" applyFont="1">
      <alignment horizontal="center" vertical="center"/>
    </xf>
    <xf borderId="0" fillId="173" fontId="3" numFmtId="0" xfId="0" applyAlignment="1" applyFont="1">
      <alignment horizontal="center" vertical="center"/>
    </xf>
    <xf borderId="0" fillId="337" fontId="3" numFmtId="0" xfId="0" applyAlignment="1" applyFont="1">
      <alignment horizontal="center" vertical="center"/>
    </xf>
    <xf borderId="0" fillId="164" fontId="3" numFmtId="0" xfId="0" applyAlignment="1" applyFont="1">
      <alignment horizontal="center" vertical="center"/>
    </xf>
    <xf borderId="0" fillId="344" fontId="3" numFmtId="0" xfId="0" applyAlignment="1" applyFont="1">
      <alignment horizontal="center" vertical="center"/>
    </xf>
    <xf borderId="0" fillId="127" fontId="3" numFmtId="0" xfId="0" applyAlignment="1" applyFont="1">
      <alignment horizontal="center" vertical="center"/>
    </xf>
    <xf borderId="0" fillId="251" fontId="3" numFmtId="0" xfId="0" applyAlignment="1" applyFont="1">
      <alignment horizontal="center" vertical="center"/>
    </xf>
    <xf borderId="0" fillId="253" fontId="3" numFmtId="0" xfId="0" applyAlignment="1" applyFont="1">
      <alignment horizontal="center" vertical="center"/>
    </xf>
    <xf borderId="0" fillId="318" fontId="3" numFmtId="0" xfId="0" applyAlignment="1" applyFont="1">
      <alignment horizontal="center" vertical="center"/>
    </xf>
    <xf borderId="0" fillId="255" fontId="3" numFmtId="0" xfId="0" applyAlignment="1" applyFont="1">
      <alignment horizontal="center" vertical="center"/>
    </xf>
    <xf borderId="0" fillId="345" fontId="3" numFmtId="0" xfId="0" applyAlignment="1" applyFont="1">
      <alignment horizontal="center" vertical="center"/>
    </xf>
    <xf borderId="0" fillId="257" fontId="3" numFmtId="0" xfId="0" applyAlignment="1" applyFont="1">
      <alignment horizontal="center" vertical="center"/>
    </xf>
    <xf borderId="0" fillId="346" fontId="3" numFmtId="0" xfId="0" applyAlignment="1" applyFont="1">
      <alignment horizontal="center" vertical="center"/>
    </xf>
    <xf borderId="0" fillId="340" fontId="3" numFmtId="0" xfId="0" applyAlignment="1" applyFont="1">
      <alignment horizontal="center" vertical="center"/>
    </xf>
    <xf borderId="0" fillId="184" fontId="3" numFmtId="0" xfId="0" applyAlignment="1" applyFont="1">
      <alignment horizontal="center" vertical="center"/>
    </xf>
    <xf borderId="0" fillId="336" fontId="3" numFmtId="0" xfId="0" applyAlignment="1" applyFont="1">
      <alignment horizontal="center" vertical="center"/>
    </xf>
    <xf borderId="0" fillId="347" fontId="3" numFmtId="0" xfId="0" applyAlignment="1" applyFont="1">
      <alignment horizontal="center" vertical="center"/>
    </xf>
    <xf borderId="0" fillId="121" fontId="3" numFmtId="0" xfId="0" applyAlignment="1" applyFont="1">
      <alignment horizontal="center" vertical="center"/>
    </xf>
    <xf borderId="0" fillId="348" fontId="3" numFmtId="0" xfId="0" applyAlignment="1" applyFont="1">
      <alignment horizontal="center" vertical="center"/>
    </xf>
    <xf borderId="0" fillId="349" fontId="3" numFmtId="0" xfId="0" applyAlignment="1" applyFont="1">
      <alignment horizontal="center" vertical="center"/>
    </xf>
    <xf borderId="0" fillId="260" fontId="3" numFmtId="0" xfId="0" applyAlignment="1" applyFont="1">
      <alignment horizontal="center" vertical="center"/>
    </xf>
    <xf borderId="0" fillId="350" fontId="3" numFmtId="0" xfId="0" applyAlignment="1" applyFont="1">
      <alignment horizontal="center" vertical="center"/>
    </xf>
    <xf borderId="0" fillId="351" fontId="3" numFmtId="0" xfId="0" applyAlignment="1" applyFont="1">
      <alignment horizontal="center" vertical="center"/>
    </xf>
    <xf borderId="0" fillId="352" fontId="3" numFmtId="0" xfId="0" applyAlignment="1" applyFont="1">
      <alignment horizontal="center" vertical="center"/>
    </xf>
    <xf borderId="0" fillId="261" fontId="3" numFmtId="0" xfId="0" applyAlignment="1" applyFont="1">
      <alignment horizontal="center" vertical="center"/>
    </xf>
    <xf borderId="0" fillId="262" fontId="3" numFmtId="0" xfId="0" applyAlignment="1" applyFont="1">
      <alignment horizontal="center" vertical="center"/>
    </xf>
    <xf borderId="0" fillId="263" fontId="3" numFmtId="0" xfId="0" applyAlignment="1" applyFont="1">
      <alignment horizontal="center" vertical="center"/>
    </xf>
    <xf borderId="0" fillId="274" fontId="3" numFmtId="0" xfId="0" applyAlignment="1" applyFont="1">
      <alignment horizontal="center" vertical="center"/>
    </xf>
    <xf borderId="0" fillId="266" fontId="10" numFmtId="0" xfId="0" applyAlignment="1" applyFont="1">
      <alignment horizontal="center" vertical="center"/>
    </xf>
    <xf borderId="0" fillId="353" fontId="10" numFmtId="0" xfId="0" applyAlignment="1" applyFont="1">
      <alignment horizontal="center" vertical="center"/>
    </xf>
    <xf borderId="0" fillId="270" fontId="3" numFmtId="0" xfId="0" applyAlignment="1" applyFont="1">
      <alignment horizontal="center" vertical="center"/>
    </xf>
    <xf borderId="0" fillId="271" fontId="3" numFmtId="0" xfId="0" applyAlignment="1" applyFont="1">
      <alignment horizontal="center" vertical="center"/>
    </xf>
    <xf borderId="0" fillId="306" fontId="3" numFmtId="0" xfId="0" applyAlignment="1" applyFont="1">
      <alignment horizontal="center" vertical="center"/>
    </xf>
    <xf borderId="0" fillId="314" fontId="3" numFmtId="0" xfId="0" applyAlignment="1" applyFont="1">
      <alignment horizontal="center" vertical="center"/>
    </xf>
    <xf borderId="0" fillId="288" fontId="3" numFmtId="0" xfId="0" applyAlignment="1" applyFont="1">
      <alignment horizontal="center" vertical="center"/>
    </xf>
    <xf borderId="0" fillId="272" fontId="3" numFmtId="0" xfId="0" applyAlignment="1" applyFont="1">
      <alignment horizontal="center" vertical="center"/>
    </xf>
    <xf borderId="0" fillId="277" fontId="3" numFmtId="0" xfId="0" applyAlignment="1" applyFont="1">
      <alignment horizontal="center" vertical="center"/>
    </xf>
    <xf borderId="0" fillId="354" fontId="3" numFmtId="0" xfId="0" applyAlignment="1" applyFont="1">
      <alignment horizontal="center" vertical="center"/>
    </xf>
    <xf borderId="0" fillId="279" fontId="3" numFmtId="0" xfId="0" applyAlignment="1" applyFont="1">
      <alignment horizontal="center" vertical="center"/>
    </xf>
    <xf borderId="0" fillId="280" fontId="3" numFmtId="0" xfId="0" applyAlignment="1" applyFont="1">
      <alignment horizontal="center" vertical="center"/>
    </xf>
    <xf borderId="0" fillId="278" fontId="3" numFmtId="0" xfId="0" applyAlignment="1" applyFont="1">
      <alignment horizontal="center" vertical="center"/>
    </xf>
    <xf borderId="0" fillId="281" fontId="3" numFmtId="0" xfId="0" applyAlignment="1" applyFont="1">
      <alignment horizontal="center" vertical="center"/>
    </xf>
    <xf borderId="0" fillId="282" fontId="3" numFmtId="0" xfId="0" applyAlignment="1" applyFont="1">
      <alignment horizontal="center" vertical="center"/>
    </xf>
    <xf borderId="0" fillId="283" fontId="3" numFmtId="0" xfId="0" applyAlignment="1" applyFont="1">
      <alignment horizontal="center" vertical="center"/>
    </xf>
    <xf borderId="0" fillId="294" fontId="3" numFmtId="0" xfId="0" applyAlignment="1" applyFont="1">
      <alignment horizontal="center" vertical="center"/>
    </xf>
    <xf borderId="0" fillId="295" fontId="3" numFmtId="0" xfId="0" applyAlignment="1" applyFont="1">
      <alignment horizontal="center" vertical="center"/>
    </xf>
    <xf borderId="0" fillId="296" fontId="3" numFmtId="0" xfId="0" applyAlignment="1" applyFont="1">
      <alignment horizontal="center" vertical="center"/>
    </xf>
    <xf borderId="0" fillId="315" fontId="3" numFmtId="0" xfId="0" applyAlignment="1" applyFont="1">
      <alignment horizontal="center" vertical="center"/>
    </xf>
    <xf borderId="0" fillId="2" fontId="3" numFmtId="0" xfId="0" applyFont="1"/>
    <xf borderId="0" fillId="2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/>
    </xf>
    <xf borderId="0" fillId="2" fontId="8" numFmtId="0" xfId="0" applyFont="1"/>
    <xf borderId="0" fillId="2" fontId="8" numFmtId="0" xfId="0" applyAlignment="1" applyFont="1">
      <alignment readingOrder="0"/>
    </xf>
    <xf borderId="0" fillId="3" fontId="11" numFmtId="0" xfId="0" applyAlignment="1" applyFont="1">
      <alignment horizontal="center" readingOrder="0"/>
    </xf>
    <xf borderId="0" fillId="120" fontId="3" numFmtId="0" xfId="0" applyAlignment="1" applyFont="1">
      <alignment horizontal="center"/>
    </xf>
    <xf borderId="0" fillId="120" fontId="11" numFmtId="0" xfId="0" applyAlignment="1" applyFont="1">
      <alignment horizontal="center" readingOrder="0"/>
    </xf>
    <xf borderId="0" fillId="316" fontId="3" numFmtId="0" xfId="0" applyAlignment="1" applyFont="1">
      <alignment horizontal="center"/>
    </xf>
    <xf borderId="0" fillId="323" fontId="3" numFmtId="0" xfId="0" applyAlignment="1" applyFont="1">
      <alignment horizontal="center"/>
    </xf>
    <xf borderId="0" fillId="324" fontId="3" numFmtId="0" xfId="0" applyAlignment="1" applyFont="1">
      <alignment horizontal="center"/>
    </xf>
    <xf borderId="0" fillId="96" fontId="3" numFmtId="0" xfId="0" applyAlignment="1" applyFont="1">
      <alignment horizontal="center"/>
    </xf>
    <xf borderId="0" fillId="325" fontId="3" numFmtId="0" xfId="0" applyAlignment="1" applyFont="1">
      <alignment horizontal="center"/>
    </xf>
    <xf borderId="0" fillId="69" fontId="3" numFmtId="0" xfId="0" applyAlignment="1" applyFont="1">
      <alignment horizontal="center"/>
    </xf>
    <xf borderId="0" fillId="327" fontId="3" numFmtId="0" xfId="0" applyAlignment="1" applyFont="1">
      <alignment horizontal="center"/>
    </xf>
    <xf borderId="0" fillId="329" fontId="3" numFmtId="0" xfId="0" applyAlignment="1" applyFont="1">
      <alignment horizontal="center"/>
    </xf>
    <xf borderId="0" fillId="333" fontId="3" numFmtId="0" xfId="0" applyAlignment="1" applyFont="1">
      <alignment horizontal="center"/>
    </xf>
    <xf borderId="0" fillId="335" fontId="3" numFmtId="0" xfId="0" applyAlignment="1" applyFont="1">
      <alignment horizontal="center"/>
    </xf>
    <xf borderId="0" fillId="335" fontId="3" numFmtId="0" xfId="0" applyAlignment="1" applyFont="1">
      <alignment horizontal="center" readingOrder="0"/>
    </xf>
    <xf borderId="0" fillId="167" fontId="3" numFmtId="0" xfId="0" applyAlignment="1" applyFont="1">
      <alignment horizontal="center"/>
    </xf>
    <xf borderId="0" fillId="15" fontId="3" numFmtId="0" xfId="0" applyAlignment="1" applyFont="1">
      <alignment horizontal="center"/>
    </xf>
    <xf borderId="0" fillId="317" fontId="3" numFmtId="0" xfId="0" applyAlignment="1" applyFont="1">
      <alignment horizontal="center"/>
    </xf>
    <xf borderId="0" fillId="216" fontId="3" numFmtId="0" xfId="0" applyAlignment="1" applyFont="1">
      <alignment horizontal="center"/>
    </xf>
    <xf borderId="0" fillId="342" fontId="3" numFmtId="0" xfId="0" applyAlignment="1" applyFont="1">
      <alignment horizontal="center"/>
    </xf>
    <xf borderId="0" fillId="342" fontId="8" numFmtId="0" xfId="0" applyAlignment="1" applyFont="1">
      <alignment horizontal="center" readingOrder="0"/>
    </xf>
    <xf borderId="0" fillId="166" fontId="3" numFmtId="0" xfId="0" applyAlignment="1" applyFont="1">
      <alignment horizontal="center"/>
    </xf>
    <xf borderId="0" fillId="343" fontId="3" numFmtId="0" xfId="0" applyAlignment="1" applyFont="1">
      <alignment horizontal="center"/>
    </xf>
    <xf borderId="0" fillId="337" fontId="3" numFmtId="0" xfId="0" applyAlignment="1" applyFont="1">
      <alignment horizontal="center"/>
    </xf>
    <xf borderId="0" fillId="344" fontId="3" numFmtId="0" xfId="0" applyAlignment="1" applyFont="1">
      <alignment horizontal="center"/>
    </xf>
    <xf borderId="0" fillId="251" fontId="3" numFmtId="0" xfId="0" applyAlignment="1" applyFont="1">
      <alignment horizontal="center"/>
    </xf>
    <xf borderId="0" fillId="253" fontId="3" numFmtId="0" xfId="0" applyAlignment="1" applyFont="1">
      <alignment horizontal="center"/>
    </xf>
    <xf borderId="0" fillId="346" fontId="3" numFmtId="0" xfId="0" applyAlignment="1" applyFont="1">
      <alignment horizontal="center"/>
    </xf>
    <xf borderId="0" fillId="346" fontId="3" numFmtId="0" xfId="0" applyAlignment="1" applyFont="1">
      <alignment horizontal="center" readingOrder="0"/>
    </xf>
    <xf borderId="0" fillId="184" fontId="3" numFmtId="0" xfId="0" applyAlignment="1" applyFont="1">
      <alignment horizontal="center"/>
    </xf>
    <xf borderId="0" fillId="336" fontId="3" numFmtId="0" xfId="0" applyAlignment="1" applyFont="1">
      <alignment horizontal="center"/>
    </xf>
    <xf borderId="0" fillId="348" fontId="3" numFmtId="0" xfId="0" applyAlignment="1" applyFont="1">
      <alignment horizontal="center"/>
    </xf>
    <xf borderId="0" fillId="260" fontId="3" numFmtId="0" xfId="0" applyAlignment="1" applyFont="1">
      <alignment horizontal="center"/>
    </xf>
    <xf borderId="0" fillId="260" fontId="3" numFmtId="0" xfId="0" applyAlignment="1" applyFont="1">
      <alignment horizontal="center" readingOrder="0"/>
    </xf>
    <xf borderId="0" fillId="350" fontId="3" numFmtId="0" xfId="0" applyAlignment="1" applyFont="1">
      <alignment horizontal="center"/>
    </xf>
    <xf borderId="0" fillId="351" fontId="3" numFmtId="0" xfId="0" applyAlignment="1" applyFont="1">
      <alignment horizontal="center"/>
    </xf>
    <xf borderId="0" fillId="262" fontId="3" numFmtId="0" xfId="0" applyAlignment="1" applyFont="1">
      <alignment horizontal="center"/>
    </xf>
    <xf borderId="0" fillId="262" fontId="3" numFmtId="0" xfId="0" applyAlignment="1" applyFont="1">
      <alignment horizontal="center" readingOrder="0"/>
    </xf>
    <xf borderId="0" fillId="263" fontId="3" numFmtId="0" xfId="0" applyAlignment="1" applyFont="1">
      <alignment horizontal="center" readingOrder="0" vertical="center"/>
    </xf>
    <xf borderId="0" fillId="338" fontId="3" numFmtId="0" xfId="0" applyAlignment="1" applyFont="1">
      <alignment horizontal="center"/>
    </xf>
    <xf borderId="0" fillId="2" fontId="3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120" fontId="3" numFmtId="0" xfId="0" applyAlignment="1" applyFont="1">
      <alignment horizontal="center" shrinkToFit="0" vertical="center" wrapText="0"/>
    </xf>
    <xf borderId="0" fillId="316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readingOrder="0" vertical="bottom"/>
    </xf>
    <xf borderId="0" fillId="319" fontId="3" numFmtId="0" xfId="0" applyAlignment="1" applyFont="1">
      <alignment horizontal="center" shrinkToFit="0" vertical="center" wrapText="0"/>
    </xf>
    <xf borderId="0" fillId="320" fontId="3" numFmtId="0" xfId="0" applyAlignment="1" applyFont="1">
      <alignment horizontal="center" shrinkToFit="0" vertical="center" wrapText="0"/>
    </xf>
    <xf borderId="0" fillId="321" fontId="3" numFmtId="0" xfId="0" applyAlignment="1" applyFont="1">
      <alignment horizontal="center" shrinkToFit="0" vertical="center" wrapText="0"/>
    </xf>
    <xf borderId="0" fillId="322" fontId="3" numFmtId="0" xfId="0" applyAlignment="1" applyFont="1">
      <alignment horizontal="center" shrinkToFit="0" vertical="center" wrapText="0"/>
    </xf>
    <xf borderId="0" fillId="323" fontId="3" numFmtId="0" xfId="0" applyAlignment="1" applyFont="1">
      <alignment horizontal="center" shrinkToFit="0" vertical="center" wrapText="0"/>
    </xf>
    <xf borderId="0" fillId="324" fontId="3" numFmtId="0" xfId="0" applyAlignment="1" applyFont="1">
      <alignment horizontal="center" shrinkToFit="0" vertical="center" wrapText="0"/>
    </xf>
    <xf borderId="0" fillId="96" fontId="3" numFmtId="0" xfId="0" applyAlignment="1" applyFont="1">
      <alignment horizontal="center" shrinkToFit="0" vertical="center" wrapText="0"/>
    </xf>
    <xf borderId="0" fillId="97" fontId="3" numFmtId="0" xfId="0" applyAlignment="1" applyFont="1">
      <alignment horizontal="center" shrinkToFit="0" vertical="center" wrapText="0"/>
    </xf>
    <xf borderId="0" fillId="325" fontId="3" numFmtId="0" xfId="0" applyAlignment="1" applyFont="1">
      <alignment horizontal="center" shrinkToFit="0" vertical="center" wrapText="0"/>
    </xf>
    <xf borderId="0" fillId="99" fontId="3" numFmtId="0" xfId="0" applyAlignment="1" applyFont="1">
      <alignment horizontal="center" shrinkToFit="0" vertical="center" wrapText="0"/>
    </xf>
    <xf borderId="0" fillId="69" fontId="3" numFmtId="0" xfId="0" applyAlignment="1" applyFont="1">
      <alignment horizontal="center" shrinkToFit="0" vertical="center" wrapText="0"/>
    </xf>
    <xf borderId="0" fillId="326" fontId="3" numFmtId="0" xfId="0" applyAlignment="1" applyFont="1">
      <alignment horizontal="center" shrinkToFit="0" vertical="center" wrapText="0"/>
    </xf>
    <xf borderId="0" fillId="327" fontId="3" numFmtId="0" xfId="0" applyAlignment="1" applyFont="1">
      <alignment horizontal="center" shrinkToFit="0" vertical="center" wrapText="0"/>
    </xf>
    <xf borderId="0" fillId="328" fontId="3" numFmtId="0" xfId="0" applyAlignment="1" applyFont="1">
      <alignment horizontal="center" shrinkToFit="0" vertical="center" wrapText="0"/>
    </xf>
    <xf borderId="0" fillId="329" fontId="3" numFmtId="0" xfId="0" applyAlignment="1" applyFont="1">
      <alignment horizontal="center" shrinkToFit="0" vertical="center" wrapText="0"/>
    </xf>
    <xf borderId="0" fillId="330" fontId="3" numFmtId="0" xfId="0" applyAlignment="1" applyFont="1">
      <alignment horizontal="center" shrinkToFit="0" vertical="center" wrapText="0"/>
    </xf>
    <xf borderId="0" fillId="333" fontId="3" numFmtId="0" xfId="0" applyAlignment="1" applyFont="1">
      <alignment horizontal="center" shrinkToFit="0" vertical="center" wrapText="0"/>
    </xf>
    <xf borderId="0" fillId="334" fontId="3" numFmtId="0" xfId="0" applyAlignment="1" applyFont="1">
      <alignment horizontal="center" shrinkToFit="0" vertical="center" wrapText="0"/>
    </xf>
    <xf borderId="0" fillId="335" fontId="3" numFmtId="0" xfId="0" applyAlignment="1" applyFont="1">
      <alignment horizontal="center" shrinkToFit="0" vertical="center" wrapText="0"/>
    </xf>
    <xf borderId="0" fillId="338" fontId="3" numFmtId="0" xfId="0" applyAlignment="1" applyFont="1">
      <alignment horizontal="center" shrinkToFit="0" vertical="center" wrapText="0"/>
    </xf>
    <xf borderId="0" fillId="276" fontId="3" numFmtId="0" xfId="0" applyAlignment="1" applyFont="1">
      <alignment horizontal="center" shrinkToFit="0" vertical="center" wrapText="0"/>
    </xf>
    <xf borderId="0" fillId="275" fontId="3" numFmtId="0" xfId="0" applyAlignment="1" applyFont="1">
      <alignment horizontal="center" shrinkToFit="0" vertical="center" wrapText="0"/>
    </xf>
    <xf borderId="0" fillId="167" fontId="3" numFmtId="0" xfId="0" applyAlignment="1" applyFont="1">
      <alignment horizontal="center" shrinkToFit="0" vertical="center" wrapText="0"/>
    </xf>
    <xf borderId="0" fillId="15" fontId="3" numFmtId="0" xfId="0" applyAlignment="1" applyFont="1">
      <alignment horizontal="center" shrinkToFit="0" vertical="center" wrapText="0"/>
    </xf>
    <xf borderId="0" fillId="168" fontId="3" numFmtId="0" xfId="0" applyAlignment="1" applyFont="1">
      <alignment horizontal="center" shrinkToFit="0" vertical="center" wrapText="0"/>
    </xf>
    <xf borderId="0" fillId="317" fontId="3" numFmtId="0" xfId="0" applyAlignment="1" applyFont="1">
      <alignment horizontal="center" shrinkToFit="0" vertical="center" wrapText="0"/>
    </xf>
    <xf borderId="0" fillId="214" fontId="3" numFmtId="0" xfId="0" applyAlignment="1" applyFont="1">
      <alignment horizontal="center" shrinkToFit="0" vertical="center" wrapText="0"/>
    </xf>
    <xf borderId="0" fillId="215" fontId="3" numFmtId="0" xfId="0" applyAlignment="1" applyFont="1">
      <alignment horizontal="center" shrinkToFit="0" vertical="center" wrapText="0"/>
    </xf>
    <xf borderId="0" fillId="341" fontId="3" numFmtId="0" xfId="0" applyAlignment="1" applyFont="1">
      <alignment horizontal="center" shrinkToFit="0" vertical="center" wrapText="0"/>
    </xf>
    <xf borderId="0" fillId="218" fontId="3" numFmtId="0" xfId="0" applyAlignment="1" applyFont="1">
      <alignment horizontal="center" shrinkToFit="0" vertical="center" wrapText="0"/>
    </xf>
    <xf borderId="0" fillId="216" fontId="3" numFmtId="0" xfId="0" applyAlignment="1" applyFont="1">
      <alignment horizontal="center" shrinkToFit="0" vertical="center" wrapText="0"/>
    </xf>
    <xf borderId="0" fillId="342" fontId="3" numFmtId="0" xfId="0" applyAlignment="1" applyFont="1">
      <alignment horizontal="center" shrinkToFit="0" vertical="center" wrapText="0"/>
    </xf>
    <xf borderId="0" fillId="339" fontId="3" numFmtId="0" xfId="0" applyAlignment="1" applyFont="1">
      <alignment horizontal="center" shrinkToFit="0" vertical="center" wrapText="0"/>
    </xf>
    <xf borderId="0" fillId="166" fontId="3" numFmtId="0" xfId="0" applyAlignment="1" applyFont="1">
      <alignment horizontal="center" shrinkToFit="0" vertical="center" wrapText="0"/>
    </xf>
    <xf borderId="0" fillId="343" fontId="3" numFmtId="0" xfId="0" applyAlignment="1" applyFont="1">
      <alignment horizontal="center" shrinkToFit="0" vertical="center" wrapText="0"/>
    </xf>
    <xf borderId="0" fillId="173" fontId="3" numFmtId="0" xfId="0" applyAlignment="1" applyFont="1">
      <alignment horizontal="center" shrinkToFit="0" vertical="center" wrapText="0"/>
    </xf>
    <xf borderId="0" fillId="337" fontId="3" numFmtId="0" xfId="0" applyAlignment="1" applyFont="1">
      <alignment horizontal="center" shrinkToFit="0" vertical="center" wrapText="0"/>
    </xf>
    <xf borderId="0" fillId="164" fontId="3" numFmtId="0" xfId="0" applyAlignment="1" applyFont="1">
      <alignment horizontal="center" shrinkToFit="0" vertical="center" wrapText="0"/>
    </xf>
    <xf borderId="0" fillId="344" fontId="3" numFmtId="0" xfId="0" applyAlignment="1" applyFont="1">
      <alignment horizontal="center" shrinkToFit="0" vertical="center" wrapText="0"/>
    </xf>
    <xf borderId="0" fillId="127" fontId="3" numFmtId="0" xfId="0" applyAlignment="1" applyFont="1">
      <alignment horizontal="center" shrinkToFit="0" vertical="center" wrapText="0"/>
    </xf>
    <xf borderId="0" fillId="251" fontId="3" numFmtId="0" xfId="0" applyAlignment="1" applyFont="1">
      <alignment horizontal="center" shrinkToFit="0" vertical="center" wrapText="0"/>
    </xf>
    <xf borderId="0" fillId="253" fontId="3" numFmtId="0" xfId="0" applyAlignment="1" applyFont="1">
      <alignment horizontal="center" shrinkToFit="0" vertical="center" wrapText="0"/>
    </xf>
    <xf borderId="0" fillId="318" fontId="3" numFmtId="0" xfId="0" applyAlignment="1" applyFont="1">
      <alignment horizontal="center" shrinkToFit="0" vertical="center" wrapText="0"/>
    </xf>
    <xf borderId="0" fillId="255" fontId="3" numFmtId="0" xfId="0" applyAlignment="1" applyFont="1">
      <alignment horizontal="center" shrinkToFit="0" vertical="center" wrapText="0"/>
    </xf>
    <xf borderId="0" fillId="345" fontId="3" numFmtId="0" xfId="0" applyAlignment="1" applyFont="1">
      <alignment horizontal="center" shrinkToFit="0" vertical="center" wrapText="0"/>
    </xf>
    <xf borderId="0" fillId="257" fontId="3" numFmtId="0" xfId="0" applyAlignment="1" applyFont="1">
      <alignment horizontal="center" shrinkToFit="0" vertical="center" wrapText="0"/>
    </xf>
    <xf borderId="0" fillId="346" fontId="3" numFmtId="0" xfId="0" applyAlignment="1" applyFont="1">
      <alignment horizontal="center" shrinkToFit="0" vertical="center" wrapText="0"/>
    </xf>
    <xf borderId="0" fillId="340" fontId="3" numFmtId="0" xfId="0" applyAlignment="1" applyFont="1">
      <alignment horizontal="center" shrinkToFit="0" vertical="center" wrapText="0"/>
    </xf>
    <xf borderId="0" fillId="184" fontId="3" numFmtId="0" xfId="0" applyAlignment="1" applyFont="1">
      <alignment horizontal="center" shrinkToFit="0" vertical="center" wrapText="0"/>
    </xf>
    <xf borderId="0" fillId="336" fontId="3" numFmtId="0" xfId="0" applyAlignment="1" applyFont="1">
      <alignment horizontal="center" shrinkToFit="0" vertical="center" wrapText="0"/>
    </xf>
    <xf borderId="0" fillId="347" fontId="3" numFmtId="0" xfId="0" applyAlignment="1" applyFont="1">
      <alignment horizontal="center" shrinkToFit="0" vertical="center" wrapText="0"/>
    </xf>
    <xf borderId="0" fillId="121" fontId="3" numFmtId="0" xfId="0" applyAlignment="1" applyFont="1">
      <alignment horizontal="center" shrinkToFit="0" vertical="center" wrapText="0"/>
    </xf>
    <xf borderId="0" fillId="348" fontId="3" numFmtId="0" xfId="0" applyAlignment="1" applyFont="1">
      <alignment horizontal="center" shrinkToFit="0" vertical="center" wrapText="0"/>
    </xf>
    <xf borderId="0" fillId="349" fontId="3" numFmtId="0" xfId="0" applyAlignment="1" applyFont="1">
      <alignment horizontal="center" shrinkToFit="0" vertical="center" wrapText="0"/>
    </xf>
    <xf borderId="0" fillId="260" fontId="3" numFmtId="0" xfId="0" applyAlignment="1" applyFont="1">
      <alignment horizontal="center" shrinkToFit="0" vertical="center" wrapText="0"/>
    </xf>
    <xf borderId="0" fillId="350" fontId="3" numFmtId="0" xfId="0" applyAlignment="1" applyFont="1">
      <alignment horizontal="center" shrinkToFit="0" vertical="center" wrapText="0"/>
    </xf>
    <xf borderId="0" fillId="351" fontId="3" numFmtId="0" xfId="0" applyAlignment="1" applyFont="1">
      <alignment horizontal="center" shrinkToFit="0" vertical="center" wrapText="0"/>
    </xf>
    <xf borderId="0" fillId="352" fontId="3" numFmtId="0" xfId="0" applyAlignment="1" applyFont="1">
      <alignment horizontal="center" shrinkToFit="0" vertical="center" wrapText="0"/>
    </xf>
    <xf borderId="0" fillId="261" fontId="3" numFmtId="0" xfId="0" applyAlignment="1" applyFont="1">
      <alignment horizontal="center" shrinkToFit="0" vertical="center" wrapText="0"/>
    </xf>
    <xf borderId="0" fillId="262" fontId="3" numFmtId="0" xfId="0" applyAlignment="1" applyFont="1">
      <alignment horizontal="center" shrinkToFit="0" vertical="center" wrapText="0"/>
    </xf>
    <xf borderId="0" fillId="263" fontId="3" numFmtId="0" xfId="0" applyAlignment="1" applyFont="1">
      <alignment horizontal="center" shrinkToFit="0" vertical="center" wrapText="0"/>
    </xf>
    <xf borderId="0" fillId="274" fontId="3" numFmtId="0" xfId="0" applyAlignment="1" applyFont="1">
      <alignment horizontal="center" shrinkToFit="0" vertical="center" wrapText="0"/>
    </xf>
    <xf borderId="0" fillId="266" fontId="3" numFmtId="0" xfId="0" applyAlignment="1" applyFont="1">
      <alignment horizontal="center" shrinkToFit="0" vertical="center" wrapText="0"/>
    </xf>
    <xf borderId="0" fillId="353" fontId="3" numFmtId="0" xfId="0" applyAlignment="1" applyFont="1">
      <alignment horizontal="center" shrinkToFit="0" vertical="center" wrapText="0"/>
    </xf>
    <xf borderId="0" fillId="270" fontId="3" numFmtId="0" xfId="0" applyAlignment="1" applyFont="1">
      <alignment horizontal="center" shrinkToFit="0" vertical="center" wrapText="0"/>
    </xf>
    <xf borderId="0" fillId="271" fontId="3" numFmtId="0" xfId="0" applyAlignment="1" applyFont="1">
      <alignment horizontal="center" shrinkToFit="0" vertical="center" wrapText="0"/>
    </xf>
    <xf borderId="0" fillId="306" fontId="3" numFmtId="0" xfId="0" applyAlignment="1" applyFont="1">
      <alignment horizontal="center" shrinkToFit="0" vertical="center" wrapText="0"/>
    </xf>
    <xf borderId="0" fillId="314" fontId="3" numFmtId="0" xfId="0" applyAlignment="1" applyFont="1">
      <alignment horizontal="center" shrinkToFit="0" vertical="center" wrapText="0"/>
    </xf>
    <xf borderId="0" fillId="288" fontId="3" numFmtId="0" xfId="0" applyAlignment="1" applyFont="1">
      <alignment horizontal="center" shrinkToFit="0" vertical="center" wrapText="0"/>
    </xf>
    <xf borderId="0" fillId="272" fontId="3" numFmtId="0" xfId="0" applyAlignment="1" applyFont="1">
      <alignment horizontal="center" shrinkToFit="0" vertical="center" wrapText="0"/>
    </xf>
    <xf borderId="0" fillId="277" fontId="3" numFmtId="0" xfId="0" applyAlignment="1" applyFont="1">
      <alignment horizontal="center" shrinkToFit="0" vertical="center" wrapText="0"/>
    </xf>
    <xf borderId="0" fillId="354" fontId="3" numFmtId="0" xfId="0" applyAlignment="1" applyFont="1">
      <alignment horizontal="center" shrinkToFit="0" vertical="center" wrapText="0"/>
    </xf>
    <xf borderId="0" fillId="279" fontId="3" numFmtId="0" xfId="0" applyAlignment="1" applyFont="1">
      <alignment horizontal="center" shrinkToFit="0" vertical="center" wrapText="0"/>
    </xf>
    <xf borderId="0" fillId="280" fontId="3" numFmtId="0" xfId="0" applyAlignment="1" applyFont="1">
      <alignment horizontal="center" shrinkToFit="0" vertical="center" wrapText="0"/>
    </xf>
    <xf borderId="0" fillId="278" fontId="3" numFmtId="0" xfId="0" applyAlignment="1" applyFont="1">
      <alignment horizontal="center" shrinkToFit="0" vertical="center" wrapText="0"/>
    </xf>
    <xf borderId="0" fillId="281" fontId="3" numFmtId="0" xfId="0" applyAlignment="1" applyFont="1">
      <alignment horizontal="center" shrinkToFit="0" vertical="center" wrapText="0"/>
    </xf>
    <xf borderId="0" fillId="282" fontId="3" numFmtId="0" xfId="0" applyAlignment="1" applyFont="1">
      <alignment horizontal="center" shrinkToFit="0" vertical="center" wrapText="0"/>
    </xf>
    <xf borderId="0" fillId="283" fontId="3" numFmtId="0" xfId="0" applyAlignment="1" applyFont="1">
      <alignment horizontal="center" shrinkToFit="0" vertical="center" wrapText="0"/>
    </xf>
    <xf borderId="0" fillId="294" fontId="3" numFmtId="0" xfId="0" applyAlignment="1" applyFont="1">
      <alignment horizontal="center" shrinkToFit="0" vertical="center" wrapText="0"/>
    </xf>
    <xf borderId="0" fillId="295" fontId="3" numFmtId="0" xfId="0" applyAlignment="1" applyFont="1">
      <alignment horizontal="center" shrinkToFit="0" vertical="center" wrapText="0"/>
    </xf>
    <xf borderId="0" fillId="296" fontId="3" numFmtId="0" xfId="0" applyAlignment="1" applyFont="1">
      <alignment horizontal="center" shrinkToFit="0" vertical="center" wrapText="0"/>
    </xf>
    <xf borderId="0" fillId="315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12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316" fontId="3" numFmtId="0" xfId="0" applyAlignment="1" applyFont="1">
      <alignment horizontal="center"/>
    </xf>
    <xf borderId="0" fillId="319" fontId="3" numFmtId="0" xfId="0" applyAlignment="1" applyFont="1">
      <alignment horizontal="center"/>
    </xf>
    <xf borderId="0" fillId="320" fontId="3" numFmtId="0" xfId="0" applyAlignment="1" applyFont="1">
      <alignment horizontal="center"/>
    </xf>
    <xf borderId="0" fillId="0" fontId="12" numFmtId="0" xfId="0" applyAlignment="1" applyFont="1">
      <alignment horizontal="left" readingOrder="0" shrinkToFit="0" vertical="center" wrapText="0"/>
    </xf>
    <xf borderId="0" fillId="323" fontId="3" numFmtId="0" xfId="0" applyAlignment="1" applyFont="1">
      <alignment horizontal="center"/>
    </xf>
    <xf borderId="0" fillId="324" fontId="3" numFmtId="0" xfId="0" applyAlignment="1" applyFont="1">
      <alignment horizontal="center"/>
    </xf>
    <xf borderId="0" fillId="325" fontId="3" numFmtId="0" xfId="0" applyAlignment="1" applyFont="1">
      <alignment horizontal="center"/>
    </xf>
    <xf borderId="0" fillId="99" fontId="3" numFmtId="0" xfId="0" applyAlignment="1" applyFont="1">
      <alignment horizontal="center"/>
    </xf>
    <xf borderId="0" fillId="69" fontId="3" numFmtId="0" xfId="0" applyAlignment="1" applyFont="1">
      <alignment horizontal="center"/>
    </xf>
    <xf borderId="0" fillId="328" fontId="3" numFmtId="0" xfId="0" applyAlignment="1" applyFont="1">
      <alignment horizontal="center"/>
    </xf>
    <xf borderId="0" fillId="329" fontId="3" numFmtId="0" xfId="0" applyAlignment="1" applyFont="1">
      <alignment horizontal="center"/>
    </xf>
    <xf borderId="0" fillId="333" fontId="3" numFmtId="0" xfId="0" applyAlignment="1" applyFont="1">
      <alignment horizontal="center"/>
    </xf>
    <xf borderId="0" fillId="334" fontId="3" numFmtId="0" xfId="0" applyAlignment="1" applyFont="1">
      <alignment horizontal="center"/>
    </xf>
    <xf borderId="0" fillId="317" fontId="3" numFmtId="0" xfId="0" applyAlignment="1" applyFont="1">
      <alignment horizontal="center" vertical="center"/>
    </xf>
    <xf borderId="0" fillId="214" fontId="3" numFmtId="0" xfId="0" applyAlignment="1" applyFont="1">
      <alignment horizontal="center"/>
    </xf>
    <xf borderId="0" fillId="215" fontId="3" numFmtId="0" xfId="0" applyAlignment="1" applyFont="1">
      <alignment horizontal="center"/>
    </xf>
    <xf borderId="0" fillId="341" fontId="3" numFmtId="0" xfId="0" applyAlignment="1" applyFont="1">
      <alignment horizontal="center"/>
    </xf>
    <xf borderId="0" fillId="218" fontId="3" numFmtId="0" xfId="0" applyAlignment="1" applyFont="1">
      <alignment horizontal="center"/>
    </xf>
    <xf borderId="0" fillId="216" fontId="3" numFmtId="0" xfId="0" applyAlignment="1" applyFont="1">
      <alignment horizontal="center"/>
    </xf>
    <xf borderId="0" fillId="342" fontId="3" numFmtId="0" xfId="0" applyAlignment="1" applyFont="1">
      <alignment horizontal="center"/>
    </xf>
    <xf borderId="0" fillId="339" fontId="3" numFmtId="0" xfId="0" applyAlignment="1" applyFont="1">
      <alignment horizontal="center"/>
    </xf>
    <xf borderId="0" fillId="166" fontId="3" numFmtId="0" xfId="0" applyAlignment="1" applyFont="1">
      <alignment horizontal="center"/>
    </xf>
    <xf borderId="0" fillId="173" fontId="3" numFmtId="0" xfId="0" applyAlignment="1" applyFont="1">
      <alignment horizontal="center"/>
    </xf>
    <xf borderId="0" fillId="337" fontId="3" numFmtId="0" xfId="0" applyAlignment="1" applyFont="1">
      <alignment horizontal="center"/>
    </xf>
    <xf borderId="0" fillId="164" fontId="3" numFmtId="0" xfId="0" applyAlignment="1" applyFont="1">
      <alignment horizontal="center"/>
    </xf>
    <xf borderId="0" fillId="344" fontId="3" numFmtId="0" xfId="0" applyAlignment="1" applyFont="1">
      <alignment horizontal="center"/>
    </xf>
    <xf borderId="0" fillId="127" fontId="3" numFmtId="0" xfId="0" applyAlignment="1" applyFont="1">
      <alignment horizontal="center"/>
    </xf>
    <xf borderId="0" fillId="251" fontId="3" numFmtId="0" xfId="0" applyAlignment="1" applyFont="1">
      <alignment horizontal="center"/>
    </xf>
    <xf borderId="0" fillId="253" fontId="3" numFmtId="0" xfId="0" applyAlignment="1" applyFont="1">
      <alignment horizontal="center"/>
    </xf>
    <xf borderId="0" fillId="318" fontId="3" numFmtId="0" xfId="0" applyAlignment="1" applyFont="1">
      <alignment horizontal="center"/>
    </xf>
    <xf borderId="0" fillId="255" fontId="3" numFmtId="0" xfId="0" applyAlignment="1" applyFont="1">
      <alignment horizontal="center"/>
    </xf>
    <xf borderId="0" fillId="345" fontId="3" numFmtId="0" xfId="0" applyAlignment="1" applyFont="1">
      <alignment horizontal="center"/>
    </xf>
    <xf borderId="0" fillId="257" fontId="3" numFmtId="0" xfId="0" applyAlignment="1" applyFont="1">
      <alignment horizontal="center"/>
    </xf>
    <xf borderId="0" fillId="346" fontId="3" numFmtId="0" xfId="0" applyAlignment="1" applyFont="1">
      <alignment horizontal="center"/>
    </xf>
    <xf borderId="0" fillId="340" fontId="3" numFmtId="0" xfId="0" applyAlignment="1" applyFont="1">
      <alignment horizontal="center"/>
    </xf>
    <xf borderId="0" fillId="184" fontId="3" numFmtId="0" xfId="0" applyAlignment="1" applyFont="1">
      <alignment horizontal="center"/>
    </xf>
    <xf borderId="0" fillId="336" fontId="3" numFmtId="0" xfId="0" applyAlignment="1" applyFont="1">
      <alignment horizontal="center"/>
    </xf>
    <xf borderId="0" fillId="347" fontId="3" numFmtId="0" xfId="0" applyAlignment="1" applyFont="1">
      <alignment horizontal="center"/>
    </xf>
    <xf borderId="0" fillId="121" fontId="3" numFmtId="0" xfId="0" applyAlignment="1" applyFont="1">
      <alignment horizontal="center"/>
    </xf>
    <xf borderId="0" fillId="348" fontId="3" numFmtId="0" xfId="0" applyAlignment="1" applyFont="1">
      <alignment horizontal="center"/>
    </xf>
    <xf borderId="0" fillId="349" fontId="3" numFmtId="0" xfId="0" applyAlignment="1" applyFont="1">
      <alignment horizontal="center"/>
    </xf>
    <xf borderId="0" fillId="260" fontId="3" numFmtId="0" xfId="0" applyAlignment="1" applyFont="1">
      <alignment horizontal="center"/>
    </xf>
    <xf borderId="0" fillId="350" fontId="3" numFmtId="0" xfId="0" applyAlignment="1" applyFont="1">
      <alignment horizontal="center"/>
    </xf>
    <xf borderId="0" fillId="351" fontId="3" numFmtId="0" xfId="0" applyAlignment="1" applyFont="1">
      <alignment horizontal="center"/>
    </xf>
    <xf borderId="0" fillId="352" fontId="3" numFmtId="0" xfId="0" applyAlignment="1" applyFont="1">
      <alignment horizontal="center"/>
    </xf>
    <xf borderId="0" fillId="261" fontId="3" numFmtId="0" xfId="0" applyAlignment="1" applyFont="1">
      <alignment horizontal="center"/>
    </xf>
    <xf borderId="0" fillId="262" fontId="3" numFmtId="0" xfId="0" applyAlignment="1" applyFont="1">
      <alignment horizontal="center"/>
    </xf>
    <xf borderId="0" fillId="263" fontId="3" numFmtId="0" xfId="0" applyAlignment="1" applyFont="1">
      <alignment horizontal="center"/>
    </xf>
    <xf borderId="0" fillId="274" fontId="3" numFmtId="0" xfId="0" applyAlignment="1" applyFont="1">
      <alignment horizontal="center"/>
    </xf>
    <xf borderId="0" fillId="274" fontId="3" numFmtId="0" xfId="0" applyAlignment="1" applyFont="1">
      <alignment horizontal="center" readingOrder="0"/>
    </xf>
    <xf borderId="0" fillId="266" fontId="10" numFmtId="0" xfId="0" applyAlignment="1" applyFont="1">
      <alignment horizontal="center"/>
    </xf>
    <xf borderId="0" fillId="270" fontId="3" numFmtId="0" xfId="0" applyAlignment="1" applyFont="1">
      <alignment horizontal="center"/>
    </xf>
    <xf borderId="0" fillId="271" fontId="3" numFmtId="0" xfId="0" applyAlignment="1" applyFont="1">
      <alignment horizontal="center"/>
    </xf>
    <xf borderId="0" fillId="306" fontId="3" numFmtId="0" xfId="0" applyAlignment="1" applyFont="1">
      <alignment horizontal="center"/>
    </xf>
    <xf borderId="0" fillId="314" fontId="3" numFmtId="0" xfId="0" applyAlignment="1" applyFont="1">
      <alignment horizontal="center"/>
    </xf>
    <xf borderId="0" fillId="288" fontId="3" numFmtId="0" xfId="0" applyAlignment="1" applyFont="1">
      <alignment horizontal="center"/>
    </xf>
    <xf borderId="0" fillId="272" fontId="3" numFmtId="0" xfId="0" applyAlignment="1" applyFont="1">
      <alignment horizontal="center"/>
    </xf>
    <xf borderId="0" fillId="277" fontId="3" numFmtId="0" xfId="0" applyAlignment="1" applyFont="1">
      <alignment horizontal="center"/>
    </xf>
    <xf borderId="0" fillId="354" fontId="3" numFmtId="0" xfId="0" applyAlignment="1" applyFont="1">
      <alignment horizontal="center"/>
    </xf>
    <xf borderId="0" fillId="279" fontId="3" numFmtId="0" xfId="0" applyAlignment="1" applyFont="1">
      <alignment horizontal="center"/>
    </xf>
    <xf borderId="0" fillId="280" fontId="3" numFmtId="0" xfId="0" applyAlignment="1" applyFont="1">
      <alignment horizontal="center"/>
    </xf>
    <xf borderId="0" fillId="278" fontId="3" numFmtId="0" xfId="0" applyAlignment="1" applyFont="1">
      <alignment horizontal="center"/>
    </xf>
    <xf borderId="0" fillId="281" fontId="3" numFmtId="0" xfId="0" applyAlignment="1" applyFont="1">
      <alignment horizontal="center"/>
    </xf>
    <xf borderId="0" fillId="282" fontId="3" numFmtId="0" xfId="0" applyAlignment="1" applyFont="1">
      <alignment horizontal="center"/>
    </xf>
    <xf borderId="0" fillId="283" fontId="3" numFmtId="0" xfId="0" applyAlignment="1" applyFont="1">
      <alignment horizontal="center"/>
    </xf>
    <xf borderId="0" fillId="294" fontId="3" numFmtId="0" xfId="0" applyAlignment="1" applyFont="1">
      <alignment horizontal="center"/>
    </xf>
    <xf borderId="0" fillId="295" fontId="3" numFmtId="0" xfId="0" applyAlignment="1" applyFont="1">
      <alignment horizontal="center"/>
    </xf>
    <xf borderId="0" fillId="296" fontId="3" numFmtId="0" xfId="0" applyAlignment="1" applyFont="1">
      <alignment horizontal="center"/>
    </xf>
    <xf borderId="0" fillId="315" fontId="3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vertical="bottom"/>
    </xf>
    <xf quotePrefix="1" borderId="0" fillId="0" fontId="5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358" fontId="5" numFmtId="49" xfId="0" applyAlignment="1" applyFill="1" applyFont="1" applyNumberFormat="1">
      <alignment vertical="bottom"/>
    </xf>
    <xf borderId="0" fillId="358" fontId="5" numFmtId="0" xfId="0" applyAlignment="1" applyFont="1">
      <alignment horizontal="center"/>
    </xf>
    <xf borderId="0" fillId="358" fontId="5" numFmtId="0" xfId="0" applyFont="1"/>
    <xf borderId="0" fillId="359" fontId="5" numFmtId="49" xfId="0" applyAlignment="1" applyFill="1" applyFont="1" applyNumberFormat="1">
      <alignment vertical="bottom"/>
    </xf>
    <xf borderId="0" fillId="359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360" fontId="5" numFmtId="49" xfId="0" applyAlignment="1" applyFill="1" applyFont="1" applyNumberFormat="1">
      <alignment vertical="bottom"/>
    </xf>
    <xf borderId="0" fillId="360" fontId="5" numFmtId="0" xfId="0" applyAlignment="1" applyFont="1">
      <alignment horizontal="center"/>
    </xf>
    <xf borderId="0" fillId="361" fontId="5" numFmtId="49" xfId="0" applyAlignment="1" applyFill="1" applyFont="1" applyNumberFormat="1">
      <alignment vertical="bottom"/>
    </xf>
    <xf borderId="0" fillId="361" fontId="5" numFmtId="0" xfId="0" applyAlignment="1" applyFont="1">
      <alignment horizontal="center"/>
    </xf>
    <xf borderId="0" fillId="362" fontId="5" numFmtId="49" xfId="0" applyAlignment="1" applyFill="1" applyFont="1" applyNumberFormat="1">
      <alignment vertical="bottom"/>
    </xf>
    <xf borderId="0" fillId="362" fontId="5" numFmtId="0" xfId="0" applyAlignment="1" applyFont="1">
      <alignment horizontal="center"/>
    </xf>
    <xf borderId="0" fillId="363" fontId="14" numFmtId="49" xfId="0" applyAlignment="1" applyFill="1" applyFont="1" applyNumberFormat="1">
      <alignment vertical="bottom"/>
    </xf>
    <xf borderId="0" fillId="363" fontId="5" numFmtId="0" xfId="0" applyAlignment="1" applyFont="1">
      <alignment horizontal="center"/>
    </xf>
    <xf borderId="0" fillId="189" fontId="3" numFmtId="0" xfId="0" applyAlignment="1" applyFont="1">
      <alignment horizontal="center" readingOrder="0" vertical="top"/>
    </xf>
    <xf borderId="0" fillId="204" fontId="3" numFmtId="0" xfId="0" applyAlignment="1" applyFont="1">
      <alignment horizontal="center" readingOrder="0" vertical="top"/>
    </xf>
    <xf borderId="0" fillId="199" fontId="3" numFmtId="0" xfId="0" applyAlignment="1" applyFont="1">
      <alignment horizontal="center" readingOrder="0" vertical="top"/>
    </xf>
    <xf borderId="0" fillId="364" fontId="3" numFmtId="0" xfId="0" applyAlignment="1" applyFill="1" applyFont="1">
      <alignment horizontal="center" readingOrder="0" vertical="top"/>
    </xf>
    <xf borderId="0" fillId="365" fontId="3" numFmtId="0" xfId="0" applyAlignment="1" applyFill="1" applyFont="1">
      <alignment horizontal="center" readingOrder="0" vertical="top"/>
    </xf>
    <xf borderId="0" fillId="366" fontId="3" numFmtId="49" xfId="0" applyAlignment="1" applyFill="1" applyFont="1" applyNumberFormat="1">
      <alignment horizontal="center" readingOrder="0" vertical="top"/>
    </xf>
    <xf borderId="0" fillId="367" fontId="3" numFmtId="49" xfId="0" applyAlignment="1" applyFill="1" applyFont="1" applyNumberFormat="1">
      <alignment horizontal="center" readingOrder="0" vertical="top"/>
    </xf>
    <xf borderId="0" fillId="368" fontId="3" numFmtId="49" xfId="0" applyAlignment="1" applyFill="1" applyFont="1" applyNumberFormat="1">
      <alignment horizontal="center" readingOrder="0" vertical="top"/>
    </xf>
    <xf borderId="0" fillId="369" fontId="3" numFmtId="49" xfId="0" applyAlignment="1" applyFill="1" applyFont="1" applyNumberFormat="1">
      <alignment horizontal="center" readingOrder="0" vertical="top"/>
    </xf>
    <xf borderId="0" fillId="370" fontId="3" numFmtId="0" xfId="0" applyAlignment="1" applyFill="1" applyFont="1">
      <alignment horizontal="center" readingOrder="0" vertical="top"/>
    </xf>
    <xf borderId="0" fillId="371" fontId="3" numFmtId="0" xfId="0" applyAlignment="1" applyFill="1" applyFont="1">
      <alignment horizontal="center" readingOrder="0" vertical="top"/>
    </xf>
    <xf borderId="0" fillId="372" fontId="3" numFmtId="0" xfId="0" applyAlignment="1" applyFill="1" applyFont="1">
      <alignment horizontal="center" readingOrder="0" vertical="top"/>
    </xf>
    <xf borderId="0" fillId="373" fontId="3" numFmtId="0" xfId="0" applyAlignment="1" applyFill="1" applyFont="1">
      <alignment horizontal="center" readingOrder="0" vertical="top"/>
    </xf>
    <xf borderId="0" fillId="374" fontId="3" numFmtId="0" xfId="0" applyAlignment="1" applyFill="1" applyFont="1">
      <alignment horizontal="center" readingOrder="0" vertical="top"/>
    </xf>
    <xf borderId="0" fillId="375" fontId="3" numFmtId="0" xfId="0" applyAlignment="1" applyFill="1" applyFont="1">
      <alignment horizontal="center" readingOrder="0" vertical="top"/>
    </xf>
    <xf borderId="0" fillId="376" fontId="3" numFmtId="0" xfId="0" applyAlignment="1" applyFill="1" applyFont="1">
      <alignment horizontal="center" readingOrder="0" vertical="top"/>
    </xf>
    <xf borderId="0" fillId="377" fontId="3" numFmtId="0" xfId="0" applyAlignment="1" applyFill="1" applyFont="1">
      <alignment horizontal="center" readingOrder="0" vertical="top"/>
    </xf>
    <xf borderId="0" fillId="378" fontId="3" numFmtId="0" xfId="0" applyAlignment="1" applyFill="1" applyFont="1">
      <alignment horizontal="center" readingOrder="0" vertical="top"/>
    </xf>
    <xf borderId="0" fillId="71" fontId="3" numFmtId="0" xfId="0" applyAlignment="1" applyFont="1">
      <alignment horizontal="center" vertical="top"/>
    </xf>
    <xf borderId="0" fillId="2" fontId="7" numFmtId="0" xfId="0" applyAlignment="1" applyFont="1">
      <alignment vertical="top"/>
    </xf>
    <xf borderId="0" fillId="2" fontId="7" numFmtId="0" xfId="0" applyAlignment="1" applyFont="1">
      <alignment vertical="top"/>
    </xf>
    <xf borderId="0" fillId="2" fontId="7" numFmtId="49" xfId="0" applyAlignment="1" applyFont="1" applyNumberFormat="1">
      <alignment vertical="top"/>
    </xf>
    <xf borderId="0" fillId="2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379" fontId="3" numFmtId="49" xfId="0" applyAlignment="1" applyFill="1" applyFont="1" applyNumberFormat="1">
      <alignment horizontal="center" readingOrder="0" vertical="top"/>
    </xf>
    <xf borderId="0" fillId="143" fontId="3" numFmtId="0" xfId="0" applyAlignment="1" applyFont="1">
      <alignment horizontal="center" readingOrder="0" vertical="top"/>
    </xf>
    <xf borderId="0" fillId="380" fontId="3" numFmtId="0" xfId="0" applyAlignment="1" applyFill="1" applyFont="1">
      <alignment horizontal="center" readingOrder="0" vertical="top"/>
    </xf>
    <xf borderId="0" fillId="381" fontId="3" numFmtId="49" xfId="0" applyAlignment="1" applyFill="1" applyFont="1" applyNumberFormat="1">
      <alignment horizontal="center" readingOrder="0" vertical="top"/>
    </xf>
    <xf borderId="0" fillId="142" fontId="3" numFmtId="0" xfId="0" applyAlignment="1" applyFont="1">
      <alignment horizontal="center" readingOrder="0" vertical="top"/>
    </xf>
    <xf borderId="0" fillId="382" fontId="3" numFmtId="0" xfId="0" applyAlignment="1" applyFill="1" applyFont="1">
      <alignment horizontal="center" readingOrder="0" vertical="top"/>
    </xf>
    <xf borderId="0" fillId="383" fontId="3" numFmtId="0" xfId="0" applyAlignment="1" applyFill="1" applyFont="1">
      <alignment horizontal="center" readingOrder="0" vertical="top"/>
    </xf>
    <xf borderId="0" fillId="384" fontId="3" numFmtId="49" xfId="0" applyAlignment="1" applyFill="1" applyFont="1" applyNumberFormat="1">
      <alignment horizontal="center" readingOrder="0" vertical="top"/>
    </xf>
    <xf borderId="0" fillId="71" fontId="3" numFmtId="0" xfId="0" applyAlignment="1" applyFont="1">
      <alignment horizontal="center" readingOrder="0" vertical="top"/>
    </xf>
    <xf borderId="0" fillId="332" fontId="3" numFmtId="49" xfId="0" applyAlignment="1" applyFont="1" applyNumberFormat="1">
      <alignment horizontal="center" readingOrder="0" vertical="top"/>
    </xf>
    <xf borderId="0" fillId="331" fontId="3" numFmtId="49" xfId="0" applyAlignment="1" applyFont="1" applyNumberFormat="1">
      <alignment horizontal="center" readingOrder="0" vertical="top"/>
    </xf>
    <xf borderId="0" fillId="199" fontId="3" numFmtId="49" xfId="0" applyAlignment="1" applyFont="1" applyNumberFormat="1">
      <alignment horizontal="center" readingOrder="0" vertical="top"/>
    </xf>
    <xf borderId="0" fillId="385" fontId="3" numFmtId="49" xfId="0" applyAlignment="1" applyFill="1" applyFont="1" applyNumberFormat="1">
      <alignment horizontal="center" readingOrder="0" vertical="top"/>
    </xf>
    <xf borderId="0" fillId="147" fontId="3" numFmtId="0" xfId="0" applyAlignment="1" applyFont="1">
      <alignment horizontal="center" readingOrder="0" vertical="top"/>
    </xf>
    <xf borderId="0" fillId="386" fontId="3" numFmtId="49" xfId="0" applyAlignment="1" applyFill="1" applyFont="1" applyNumberFormat="1">
      <alignment horizontal="center" readingOrder="0" vertical="top"/>
    </xf>
    <xf borderId="0" fillId="146" fontId="3" numFmtId="0" xfId="0" applyAlignment="1" applyFont="1">
      <alignment horizontal="center" readingOrder="0" vertical="top"/>
    </xf>
    <xf borderId="0" fillId="204" fontId="3" numFmtId="49" xfId="0" applyAlignment="1" applyFont="1" applyNumberFormat="1">
      <alignment horizontal="center" readingOrder="0" vertical="top"/>
    </xf>
    <xf borderId="0" fillId="387" fontId="3" numFmtId="49" xfId="0" applyAlignment="1" applyFill="1" applyFont="1" applyNumberFormat="1">
      <alignment horizontal="center" readingOrder="0" vertical="top"/>
    </xf>
    <xf borderId="0" fillId="150" fontId="3" numFmtId="0" xfId="0" applyAlignment="1" applyFont="1">
      <alignment horizontal="center" readingOrder="0" vertical="top"/>
    </xf>
    <xf borderId="0" fillId="140" fontId="3" numFmtId="0" xfId="0" applyAlignment="1" applyFont="1">
      <alignment horizontal="center" readingOrder="0"/>
    </xf>
    <xf borderId="0" fillId="364" fontId="3" numFmtId="0" xfId="0" applyAlignment="1" applyFont="1">
      <alignment horizontal="center" readingOrder="0"/>
    </xf>
    <xf borderId="0" fillId="204" fontId="3" numFmtId="0" xfId="0" applyAlignment="1" applyFont="1">
      <alignment horizontal="center" readingOrder="0"/>
    </xf>
    <xf borderId="0" fillId="189" fontId="3" numFmtId="0" xfId="0" applyAlignment="1" applyFont="1">
      <alignment horizontal="center" readingOrder="0"/>
    </xf>
    <xf borderId="0" fillId="199" fontId="3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 vertical="top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5.75"/>
    <col customWidth="1" min="3" max="3" width="3.0"/>
    <col customWidth="1" min="4" max="4" width="25.13"/>
    <col customWidth="1" min="5" max="5" width="28.38"/>
    <col customWidth="1" min="6" max="9" width="25.13"/>
    <col customWidth="1" min="10" max="10" width="25.5"/>
    <col customWidth="1" min="11" max="11" width="25.13"/>
    <col customWidth="1" min="12" max="12" width="21.63"/>
    <col customWidth="1" min="13" max="13" width="20.25"/>
    <col customWidth="1" min="14" max="14" width="18.5"/>
    <col customWidth="1" min="15" max="15" width="19.25"/>
    <col customWidth="1" min="16" max="16" width="19.75"/>
  </cols>
  <sheetData>
    <row r="1">
      <c r="A1" s="1">
        <v>1.0</v>
      </c>
      <c r="B1" s="2" t="s">
        <v>0</v>
      </c>
      <c r="C1" s="3" t="str">
        <f t="shared" ref="C1:C250" si="1">"=&gt;"</f>
        <v>=&gt;</v>
      </c>
      <c r="D1" s="4" t="s">
        <v>1</v>
      </c>
      <c r="E1" s="5" t="s">
        <v>2</v>
      </c>
      <c r="F1" s="6" t="s">
        <v>3</v>
      </c>
      <c r="G1" s="3"/>
      <c r="H1" s="3"/>
      <c r="I1" s="7"/>
      <c r="J1" s="3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>
        <v>2.0</v>
      </c>
      <c r="B2" s="4" t="s">
        <v>1</v>
      </c>
      <c r="C2" s="3" t="str">
        <f t="shared" si="1"/>
        <v>=&gt;</v>
      </c>
      <c r="D2" s="10" t="s">
        <v>4</v>
      </c>
      <c r="E2" s="11" t="s">
        <v>5</v>
      </c>
      <c r="F2" s="12" t="s">
        <v>6</v>
      </c>
      <c r="G2" s="13" t="s">
        <v>1</v>
      </c>
      <c r="H2" s="7"/>
      <c r="I2" s="7"/>
      <c r="J2" s="7"/>
      <c r="K2" s="7"/>
      <c r="L2" s="7"/>
      <c r="M2" s="14"/>
      <c r="N2" s="15"/>
      <c r="O2" s="15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">
        <v>3.0</v>
      </c>
      <c r="B3" s="17" t="s">
        <v>1</v>
      </c>
      <c r="C3" s="3" t="str">
        <f t="shared" si="1"/>
        <v>=&gt;</v>
      </c>
      <c r="D3" s="18" t="s">
        <v>7</v>
      </c>
      <c r="E3" s="17" t="s">
        <v>1</v>
      </c>
      <c r="F3" s="12"/>
      <c r="G3" s="3"/>
      <c r="H3" s="8"/>
      <c r="I3" s="8"/>
      <c r="J3" s="8"/>
      <c r="K3" s="8"/>
      <c r="L3" s="8"/>
      <c r="M3" s="8"/>
      <c r="N3" s="8"/>
      <c r="O3" s="8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">
        <v>4.0</v>
      </c>
      <c r="B4" s="17" t="s">
        <v>1</v>
      </c>
      <c r="C4" s="3" t="str">
        <f t="shared" si="1"/>
        <v>=&gt;</v>
      </c>
      <c r="D4" s="19" t="s">
        <v>8</v>
      </c>
      <c r="E4" s="7"/>
      <c r="F4" s="19"/>
      <c r="G4" s="7"/>
      <c r="H4" s="7"/>
      <c r="I4" s="7"/>
      <c r="J4" s="7"/>
      <c r="K4" s="7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">
        <v>5.0</v>
      </c>
      <c r="B5" s="20" t="s">
        <v>5</v>
      </c>
      <c r="C5" s="3" t="str">
        <f t="shared" si="1"/>
        <v>=&gt;</v>
      </c>
      <c r="D5" s="21" t="s">
        <v>9</v>
      </c>
      <c r="E5" s="22" t="s">
        <v>10</v>
      </c>
      <c r="F5" s="12"/>
      <c r="G5" s="12"/>
      <c r="H5" s="7"/>
      <c r="I5" s="7"/>
      <c r="J5" s="7"/>
      <c r="K5" s="7"/>
      <c r="L5" s="15"/>
      <c r="M5" s="15"/>
      <c r="N5" s="15"/>
      <c r="O5" s="1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">
        <v>6.0</v>
      </c>
      <c r="B6" s="23" t="s">
        <v>5</v>
      </c>
      <c r="C6" s="3" t="str">
        <f t="shared" si="1"/>
        <v>=&gt;</v>
      </c>
      <c r="D6" s="24" t="s">
        <v>11</v>
      </c>
      <c r="E6" s="25" t="s">
        <v>12</v>
      </c>
      <c r="F6" s="12"/>
      <c r="G6" s="12"/>
      <c r="H6" s="7"/>
      <c r="I6" s="3"/>
      <c r="J6" s="3"/>
      <c r="K6" s="3"/>
      <c r="L6" s="15"/>
      <c r="M6" s="15"/>
      <c r="N6" s="15"/>
      <c r="O6" s="1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">
        <v>7.0</v>
      </c>
      <c r="B7" s="22" t="s">
        <v>10</v>
      </c>
      <c r="C7" s="3" t="str">
        <f t="shared" si="1"/>
        <v>=&gt;</v>
      </c>
      <c r="D7" s="26" t="s">
        <v>13</v>
      </c>
      <c r="E7" s="19" t="s">
        <v>14</v>
      </c>
      <c r="F7" s="27" t="s">
        <v>15</v>
      </c>
      <c r="G7" s="12"/>
      <c r="H7" s="3"/>
      <c r="I7" s="3"/>
      <c r="J7" s="3"/>
      <c r="K7" s="3"/>
      <c r="L7" s="15"/>
      <c r="M7" s="15"/>
      <c r="N7" s="15"/>
      <c r="O7" s="1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">
        <v>8.0</v>
      </c>
      <c r="B8" s="22" t="s">
        <v>10</v>
      </c>
      <c r="C8" s="3" t="str">
        <f t="shared" si="1"/>
        <v>=&gt;</v>
      </c>
      <c r="D8" s="10" t="s">
        <v>14</v>
      </c>
      <c r="E8" s="7" t="s">
        <v>14</v>
      </c>
      <c r="F8" s="7" t="s">
        <v>16</v>
      </c>
      <c r="G8" s="19" t="s">
        <v>17</v>
      </c>
      <c r="H8" s="28" t="s">
        <v>18</v>
      </c>
      <c r="I8" s="7" t="s">
        <v>19</v>
      </c>
      <c r="J8" s="3"/>
      <c r="K8" s="3"/>
      <c r="L8" s="15"/>
      <c r="M8" s="15"/>
      <c r="N8" s="15"/>
      <c r="O8" s="1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">
        <v>9.0</v>
      </c>
      <c r="B9" s="25" t="s">
        <v>12</v>
      </c>
      <c r="C9" s="3" t="str">
        <f t="shared" si="1"/>
        <v>=&gt;</v>
      </c>
      <c r="D9" s="26" t="s">
        <v>13</v>
      </c>
      <c r="E9" s="19" t="s">
        <v>14</v>
      </c>
      <c r="F9" s="29" t="s">
        <v>20</v>
      </c>
      <c r="G9" s="12"/>
      <c r="H9" s="3"/>
      <c r="I9" s="3"/>
      <c r="J9" s="3"/>
      <c r="K9" s="3"/>
      <c r="L9" s="15"/>
      <c r="M9" s="15"/>
      <c r="N9" s="15"/>
      <c r="O9" s="15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">
        <v>10.0</v>
      </c>
      <c r="B10" s="25" t="s">
        <v>12</v>
      </c>
      <c r="C10" s="3" t="str">
        <f t="shared" si="1"/>
        <v>=&gt;</v>
      </c>
      <c r="D10" s="10" t="s">
        <v>14</v>
      </c>
      <c r="E10" s="7" t="s">
        <v>14</v>
      </c>
      <c r="F10" s="7" t="s">
        <v>16</v>
      </c>
      <c r="G10" s="19" t="s">
        <v>17</v>
      </c>
      <c r="H10" s="28" t="s">
        <v>18</v>
      </c>
      <c r="I10" s="7" t="s">
        <v>19</v>
      </c>
      <c r="J10" s="3"/>
      <c r="K10" s="3"/>
      <c r="L10" s="15"/>
      <c r="M10" s="15"/>
      <c r="N10" s="15"/>
      <c r="O10" s="15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">
        <v>11.0</v>
      </c>
      <c r="B11" s="26" t="s">
        <v>13</v>
      </c>
      <c r="C11" s="3" t="str">
        <f t="shared" si="1"/>
        <v>=&gt;</v>
      </c>
      <c r="D11" s="10" t="s">
        <v>21</v>
      </c>
      <c r="E11" s="7"/>
      <c r="F11" s="19"/>
      <c r="G11" s="3"/>
      <c r="H11" s="3"/>
      <c r="I11" s="3"/>
      <c r="J11" s="3"/>
      <c r="K11" s="3"/>
      <c r="L11" s="15"/>
      <c r="M11" s="15"/>
      <c r="N11" s="15"/>
      <c r="O11" s="15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">
        <v>12.0</v>
      </c>
      <c r="B12" s="26" t="s">
        <v>13</v>
      </c>
      <c r="C12" s="3" t="str">
        <f t="shared" si="1"/>
        <v>=&gt;</v>
      </c>
      <c r="D12" s="10" t="s">
        <v>22</v>
      </c>
      <c r="E12" s="7"/>
      <c r="F12" s="19"/>
      <c r="G12" s="21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">
        <v>13.0</v>
      </c>
      <c r="B13" s="26" t="s">
        <v>13</v>
      </c>
      <c r="C13" s="3" t="str">
        <f t="shared" si="1"/>
        <v>=&gt;</v>
      </c>
      <c r="D13" s="10" t="s">
        <v>23</v>
      </c>
      <c r="E13" s="7"/>
      <c r="F13" s="19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">
        <v>14.0</v>
      </c>
      <c r="B14" s="26" t="s">
        <v>13</v>
      </c>
      <c r="C14" s="3" t="str">
        <f t="shared" si="1"/>
        <v>=&gt;</v>
      </c>
      <c r="D14" s="10" t="s">
        <v>24</v>
      </c>
      <c r="E14" s="7"/>
      <c r="F14" s="19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">
        <v>15.0</v>
      </c>
      <c r="B15" s="26" t="s">
        <v>13</v>
      </c>
      <c r="C15" s="3" t="str">
        <f t="shared" si="1"/>
        <v>=&gt;</v>
      </c>
      <c r="D15" s="10" t="s">
        <v>25</v>
      </c>
      <c r="E15" s="7"/>
      <c r="F15" s="19"/>
      <c r="G15" s="8"/>
      <c r="H15" s="8"/>
      <c r="I15" s="8"/>
      <c r="J15" s="8"/>
      <c r="K15" s="8"/>
      <c r="L15" s="8"/>
      <c r="M15" s="8"/>
      <c r="N15" s="8"/>
      <c r="O15" s="8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">
        <v>16.0</v>
      </c>
      <c r="B16" s="26" t="s">
        <v>13</v>
      </c>
      <c r="C16" s="3" t="str">
        <f t="shared" si="1"/>
        <v>=&gt;</v>
      </c>
      <c r="D16" s="10" t="s">
        <v>26</v>
      </c>
      <c r="E16" s="7"/>
      <c r="F16" s="19"/>
      <c r="G16" s="8"/>
      <c r="H16" s="8"/>
      <c r="I16" s="8"/>
      <c r="J16" s="8"/>
      <c r="K16" s="8"/>
      <c r="L16" s="8"/>
      <c r="M16" s="8"/>
      <c r="N16" s="8"/>
      <c r="O16" s="8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">
        <v>17.0</v>
      </c>
      <c r="B17" s="26" t="s">
        <v>13</v>
      </c>
      <c r="C17" s="3" t="str">
        <f t="shared" si="1"/>
        <v>=&gt;</v>
      </c>
      <c r="D17" s="10" t="s">
        <v>27</v>
      </c>
      <c r="E17" s="21"/>
      <c r="F17" s="19"/>
      <c r="G17" s="8"/>
      <c r="H17" s="8"/>
      <c r="I17" s="8"/>
      <c r="J17" s="8"/>
      <c r="K17" s="8"/>
      <c r="L17" s="8"/>
      <c r="M17" s="8"/>
      <c r="N17" s="8"/>
      <c r="O17" s="8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">
        <v>18.0</v>
      </c>
      <c r="B18" s="27" t="s">
        <v>15</v>
      </c>
      <c r="C18" s="3" t="str">
        <f t="shared" si="1"/>
        <v>=&gt;</v>
      </c>
      <c r="D18" s="21" t="s">
        <v>16</v>
      </c>
      <c r="E18" s="30" t="s">
        <v>28</v>
      </c>
      <c r="F18" s="31" t="s">
        <v>29</v>
      </c>
      <c r="G18" s="7"/>
      <c r="H18" s="7"/>
      <c r="I18" s="3"/>
      <c r="J18" s="3"/>
      <c r="K18" s="3"/>
      <c r="L18" s="15"/>
      <c r="M18" s="15"/>
      <c r="N18" s="15"/>
      <c r="O18" s="15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">
        <v>19.0</v>
      </c>
      <c r="B19" s="27" t="s">
        <v>15</v>
      </c>
      <c r="C19" s="3" t="str">
        <f t="shared" si="1"/>
        <v>=&gt;</v>
      </c>
      <c r="D19" s="21" t="s">
        <v>30</v>
      </c>
      <c r="E19" s="32" t="s">
        <v>31</v>
      </c>
      <c r="F19" s="19" t="s">
        <v>32</v>
      </c>
      <c r="G19" s="33" t="s">
        <v>33</v>
      </c>
      <c r="H19" s="7"/>
      <c r="I19" s="7"/>
      <c r="J19" s="3"/>
      <c r="K19" s="3"/>
      <c r="L19" s="15"/>
      <c r="M19" s="15"/>
      <c r="N19" s="15"/>
      <c r="O19" s="15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">
        <v>20.0</v>
      </c>
      <c r="B20" s="29" t="s">
        <v>20</v>
      </c>
      <c r="C20" s="3" t="str">
        <f t="shared" si="1"/>
        <v>=&gt;</v>
      </c>
      <c r="D20" s="21" t="s">
        <v>16</v>
      </c>
      <c r="E20" s="34" t="s">
        <v>34</v>
      </c>
      <c r="F20" s="35" t="s">
        <v>35</v>
      </c>
      <c r="G20" s="7"/>
      <c r="H20" s="7"/>
      <c r="I20" s="3"/>
      <c r="J20" s="3"/>
      <c r="K20" s="3"/>
      <c r="L20" s="15"/>
      <c r="M20" s="15"/>
      <c r="N20" s="15"/>
      <c r="O20" s="15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">
        <v>21.0</v>
      </c>
      <c r="B21" s="29" t="s">
        <v>20</v>
      </c>
      <c r="C21" s="3" t="str">
        <f t="shared" si="1"/>
        <v>=&gt;</v>
      </c>
      <c r="D21" s="21" t="s">
        <v>30</v>
      </c>
      <c r="E21" s="32" t="s">
        <v>31</v>
      </c>
      <c r="F21" s="19" t="s">
        <v>32</v>
      </c>
      <c r="G21" s="36" t="s">
        <v>36</v>
      </c>
      <c r="H21" s="3"/>
      <c r="I21" s="3"/>
      <c r="J21" s="3"/>
      <c r="K21" s="3"/>
      <c r="L21" s="15"/>
      <c r="M21" s="15"/>
      <c r="N21" s="15"/>
      <c r="O21" s="15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">
        <v>22.0</v>
      </c>
      <c r="B22" s="37" t="s">
        <v>28</v>
      </c>
      <c r="C22" s="3" t="str">
        <f t="shared" si="1"/>
        <v>=&gt;</v>
      </c>
      <c r="D22" s="38" t="s">
        <v>37</v>
      </c>
      <c r="E22" s="21"/>
      <c r="F22" s="19"/>
      <c r="G22" s="7"/>
      <c r="H22" s="21"/>
      <c r="I22" s="8"/>
      <c r="J22" s="8"/>
      <c r="K22" s="8"/>
      <c r="L22" s="8"/>
      <c r="M22" s="8"/>
      <c r="N22" s="8"/>
      <c r="O22" s="8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">
        <v>23.0</v>
      </c>
      <c r="B23" s="31" t="s">
        <v>29</v>
      </c>
      <c r="C23" s="3" t="str">
        <f t="shared" si="1"/>
        <v>=&gt;</v>
      </c>
      <c r="D23" s="10" t="s">
        <v>38</v>
      </c>
      <c r="E23" s="21" t="s">
        <v>14</v>
      </c>
      <c r="F23" s="19" t="s">
        <v>16</v>
      </c>
      <c r="G23" s="30" t="s">
        <v>28</v>
      </c>
      <c r="H23" s="39" t="s">
        <v>29</v>
      </c>
      <c r="I23" s="8"/>
      <c r="J23" s="8"/>
      <c r="K23" s="8"/>
      <c r="L23" s="8"/>
      <c r="M23" s="8"/>
      <c r="N23" s="8"/>
      <c r="O23" s="8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">
        <v>24.0</v>
      </c>
      <c r="B24" s="31" t="s">
        <v>29</v>
      </c>
      <c r="C24" s="3" t="str">
        <f t="shared" si="1"/>
        <v>=&gt;</v>
      </c>
      <c r="D24" s="19" t="s">
        <v>8</v>
      </c>
      <c r="E24" s="21"/>
      <c r="F24" s="19"/>
      <c r="G24" s="7"/>
      <c r="H24" s="21"/>
      <c r="I24" s="8"/>
      <c r="J24" s="8"/>
      <c r="K24" s="8"/>
      <c r="L24" s="8"/>
      <c r="M24" s="8"/>
      <c r="N24" s="8"/>
      <c r="O24" s="8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">
        <v>25.0</v>
      </c>
      <c r="B25" s="35" t="s">
        <v>35</v>
      </c>
      <c r="C25" s="3" t="str">
        <f t="shared" si="1"/>
        <v>=&gt;</v>
      </c>
      <c r="D25" s="10" t="s">
        <v>38</v>
      </c>
      <c r="E25" s="21" t="s">
        <v>14</v>
      </c>
      <c r="F25" s="19" t="s">
        <v>16</v>
      </c>
      <c r="G25" s="34" t="s">
        <v>34</v>
      </c>
      <c r="H25" s="35" t="s">
        <v>35</v>
      </c>
      <c r="I25" s="8"/>
      <c r="J25" s="8"/>
      <c r="K25" s="8"/>
      <c r="L25" s="8"/>
      <c r="M25" s="8"/>
      <c r="N25" s="8"/>
      <c r="O25" s="8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">
        <v>26.0</v>
      </c>
      <c r="B26" s="35" t="s">
        <v>35</v>
      </c>
      <c r="C26" s="3" t="str">
        <f t="shared" si="1"/>
        <v>=&gt;</v>
      </c>
      <c r="D26" s="19" t="s">
        <v>8</v>
      </c>
      <c r="E26" s="40"/>
      <c r="F26" s="40"/>
      <c r="G26" s="40"/>
      <c r="H26" s="40"/>
      <c r="I26" s="8"/>
      <c r="J26" s="8"/>
      <c r="K26" s="8"/>
      <c r="L26" s="8"/>
      <c r="M26" s="8"/>
      <c r="N26" s="8"/>
      <c r="O26" s="8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">
        <v>27.0</v>
      </c>
      <c r="B27" s="32" t="s">
        <v>31</v>
      </c>
      <c r="C27" s="3" t="str">
        <f t="shared" si="1"/>
        <v>=&gt;</v>
      </c>
      <c r="D27" s="10" t="s">
        <v>39</v>
      </c>
      <c r="E27" s="21"/>
      <c r="F27" s="19"/>
      <c r="G27" s="7"/>
      <c r="H27" s="21"/>
      <c r="I27" s="8"/>
      <c r="J27" s="8"/>
      <c r="K27" s="8"/>
      <c r="L27" s="8"/>
      <c r="M27" s="8"/>
      <c r="N27" s="8"/>
      <c r="O27" s="8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">
        <v>28.0</v>
      </c>
      <c r="B28" s="41" t="s">
        <v>31</v>
      </c>
      <c r="C28" s="3" t="str">
        <f t="shared" si="1"/>
        <v>=&gt;</v>
      </c>
      <c r="D28" s="42" t="s">
        <v>14</v>
      </c>
      <c r="E28" s="43"/>
      <c r="F28" s="19"/>
      <c r="G28" s="7"/>
      <c r="H28" s="21"/>
      <c r="I28" s="8"/>
      <c r="J28" s="8"/>
      <c r="K28" s="8"/>
      <c r="L28" s="8"/>
      <c r="M28" s="8"/>
      <c r="N28" s="8"/>
      <c r="O28" s="8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">
        <v>29.0</v>
      </c>
      <c r="B29" s="34" t="s">
        <v>34</v>
      </c>
      <c r="C29" s="3" t="str">
        <f t="shared" si="1"/>
        <v>=&gt;</v>
      </c>
      <c r="D29" s="44" t="s">
        <v>40</v>
      </c>
      <c r="E29" s="21"/>
      <c r="F29" s="19"/>
      <c r="G29" s="7"/>
      <c r="H29" s="21"/>
      <c r="I29" s="8"/>
      <c r="J29" s="8"/>
      <c r="K29" s="8"/>
      <c r="L29" s="8"/>
      <c r="M29" s="8"/>
      <c r="N29" s="8"/>
      <c r="O29" s="8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">
        <v>30.0</v>
      </c>
      <c r="B30" s="34" t="s">
        <v>34</v>
      </c>
      <c r="C30" s="3" t="str">
        <f t="shared" si="1"/>
        <v>=&gt;</v>
      </c>
      <c r="D30" s="10" t="s">
        <v>41</v>
      </c>
      <c r="E30" s="45" t="s">
        <v>42</v>
      </c>
      <c r="F30" s="19"/>
      <c r="G30" s="7"/>
      <c r="H30" s="21"/>
      <c r="I30" s="8"/>
      <c r="J30" s="8"/>
      <c r="K30" s="8"/>
      <c r="L30" s="8"/>
      <c r="M30" s="8"/>
      <c r="N30" s="8"/>
      <c r="O30" s="8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">
        <v>31.0</v>
      </c>
      <c r="B31" s="45" t="s">
        <v>42</v>
      </c>
      <c r="C31" s="3" t="str">
        <f t="shared" si="1"/>
        <v>=&gt;</v>
      </c>
      <c r="D31" s="10" t="s">
        <v>39</v>
      </c>
      <c r="E31" s="21"/>
      <c r="F31" s="19"/>
      <c r="G31" s="7"/>
      <c r="H31" s="21"/>
      <c r="I31" s="8"/>
      <c r="J31" s="8"/>
      <c r="K31" s="8"/>
      <c r="L31" s="8"/>
      <c r="M31" s="8"/>
      <c r="N31" s="8"/>
      <c r="O31" s="8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">
        <v>32.0</v>
      </c>
      <c r="B32" s="45" t="s">
        <v>42</v>
      </c>
      <c r="C32" s="3" t="str">
        <f t="shared" si="1"/>
        <v>=&gt;</v>
      </c>
      <c r="D32" s="10" t="s">
        <v>43</v>
      </c>
      <c r="E32" s="21"/>
      <c r="F32" s="19"/>
      <c r="G32" s="7"/>
      <c r="H32" s="21"/>
      <c r="I32" s="8"/>
      <c r="J32" s="8"/>
      <c r="K32" s="8"/>
      <c r="L32" s="8"/>
      <c r="M32" s="8"/>
      <c r="N32" s="8"/>
      <c r="O32" s="8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">
        <v>33.0</v>
      </c>
      <c r="B33" s="45" t="s">
        <v>42</v>
      </c>
      <c r="C33" s="3" t="str">
        <f t="shared" si="1"/>
        <v>=&gt;</v>
      </c>
      <c r="D33" s="10" t="s">
        <v>44</v>
      </c>
      <c r="E33" s="21"/>
      <c r="F33" s="19"/>
      <c r="G33" s="7"/>
      <c r="H33" s="21"/>
      <c r="I33" s="8"/>
      <c r="J33" s="8"/>
      <c r="K33" s="8"/>
      <c r="L33" s="8"/>
      <c r="M33" s="8"/>
      <c r="N33" s="8"/>
      <c r="O33" s="8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">
        <v>34.0</v>
      </c>
      <c r="B34" s="45" t="s">
        <v>42</v>
      </c>
      <c r="C34" s="3" t="str">
        <f t="shared" si="1"/>
        <v>=&gt;</v>
      </c>
      <c r="D34" s="10" t="s">
        <v>45</v>
      </c>
      <c r="E34" s="21"/>
      <c r="F34" s="19"/>
      <c r="G34" s="7"/>
      <c r="H34" s="21"/>
      <c r="I34" s="8"/>
      <c r="J34" s="8"/>
      <c r="K34" s="8"/>
      <c r="L34" s="8"/>
      <c r="M34" s="8"/>
      <c r="N34" s="8"/>
      <c r="O34" s="8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">
        <v>35.0</v>
      </c>
      <c r="B35" s="33" t="s">
        <v>33</v>
      </c>
      <c r="C35" s="3" t="str">
        <f t="shared" si="1"/>
        <v>=&gt;</v>
      </c>
      <c r="D35" s="10" t="s">
        <v>16</v>
      </c>
      <c r="E35" s="21" t="s">
        <v>17</v>
      </c>
      <c r="F35" s="46" t="s">
        <v>46</v>
      </c>
      <c r="G35" s="7" t="s">
        <v>19</v>
      </c>
      <c r="H35" s="21"/>
      <c r="I35" s="8"/>
      <c r="J35" s="8"/>
      <c r="K35" s="8"/>
      <c r="L35" s="8"/>
      <c r="M35" s="8"/>
      <c r="N35" s="8"/>
      <c r="O35" s="8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">
        <v>36.0</v>
      </c>
      <c r="B36" s="33" t="s">
        <v>33</v>
      </c>
      <c r="C36" s="3" t="str">
        <f t="shared" si="1"/>
        <v>=&gt;</v>
      </c>
      <c r="D36" s="21" t="s">
        <v>30</v>
      </c>
      <c r="E36" s="32" t="s">
        <v>31</v>
      </c>
      <c r="F36" s="19" t="s">
        <v>32</v>
      </c>
      <c r="G36" s="47" t="s">
        <v>47</v>
      </c>
      <c r="H36" s="21"/>
      <c r="I36" s="8"/>
      <c r="J36" s="8"/>
      <c r="K36" s="8"/>
      <c r="L36" s="8"/>
      <c r="M36" s="8"/>
      <c r="N36" s="8"/>
      <c r="O36" s="8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">
        <v>37.0</v>
      </c>
      <c r="B37" s="33" t="s">
        <v>33</v>
      </c>
      <c r="C37" s="3" t="str">
        <f t="shared" si="1"/>
        <v>=&gt;</v>
      </c>
      <c r="D37" s="19" t="s">
        <v>8</v>
      </c>
      <c r="E37" s="7"/>
      <c r="F37" s="19"/>
      <c r="G37" s="7"/>
      <c r="H37" s="21"/>
      <c r="I37" s="8"/>
      <c r="J37" s="8"/>
      <c r="K37" s="8"/>
      <c r="L37" s="8"/>
      <c r="M37" s="8"/>
      <c r="N37" s="8"/>
      <c r="O37" s="8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">
        <v>38.0</v>
      </c>
      <c r="B38" s="46" t="s">
        <v>46</v>
      </c>
      <c r="C38" s="3" t="str">
        <f t="shared" si="1"/>
        <v>=&gt;</v>
      </c>
      <c r="D38" s="48" t="s">
        <v>48</v>
      </c>
      <c r="E38" s="49" t="s">
        <v>49</v>
      </c>
      <c r="F38" s="19"/>
      <c r="G38" s="7"/>
      <c r="H38" s="21"/>
      <c r="I38" s="8"/>
      <c r="J38" s="8"/>
      <c r="K38" s="8"/>
      <c r="L38" s="8"/>
      <c r="M38" s="8"/>
      <c r="N38" s="8"/>
      <c r="O38" s="8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">
        <v>39.0</v>
      </c>
      <c r="B39" s="48" t="s">
        <v>48</v>
      </c>
      <c r="C39" s="3" t="str">
        <f t="shared" si="1"/>
        <v>=&gt;</v>
      </c>
      <c r="D39" s="50" t="s">
        <v>40</v>
      </c>
      <c r="E39" s="7"/>
      <c r="F39" s="19"/>
      <c r="G39" s="7"/>
      <c r="H39" s="21"/>
      <c r="I39" s="8"/>
      <c r="J39" s="8"/>
      <c r="K39" s="8"/>
      <c r="L39" s="8"/>
      <c r="M39" s="8"/>
      <c r="N39" s="8"/>
      <c r="O39" s="8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">
        <v>40.0</v>
      </c>
      <c r="B40" s="48" t="s">
        <v>48</v>
      </c>
      <c r="C40" s="3" t="str">
        <f t="shared" si="1"/>
        <v>=&gt;</v>
      </c>
      <c r="D40" s="21" t="s">
        <v>14</v>
      </c>
      <c r="E40" s="7"/>
      <c r="F40" s="21"/>
      <c r="G40" s="7"/>
      <c r="H40" s="21"/>
      <c r="I40" s="8"/>
      <c r="J40" s="8"/>
      <c r="K40" s="8"/>
      <c r="L40" s="8"/>
      <c r="M40" s="8"/>
      <c r="N40" s="8"/>
      <c r="O40" s="8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">
        <v>41.0</v>
      </c>
      <c r="B41" s="49" t="s">
        <v>49</v>
      </c>
      <c r="C41" s="3" t="str">
        <f t="shared" si="1"/>
        <v>=&gt;</v>
      </c>
      <c r="D41" s="21" t="s">
        <v>38</v>
      </c>
      <c r="E41" s="48" t="s">
        <v>48</v>
      </c>
      <c r="F41" s="49" t="s">
        <v>49</v>
      </c>
      <c r="G41" s="7"/>
      <c r="H41" s="21"/>
      <c r="I41" s="8"/>
      <c r="J41" s="8"/>
      <c r="K41" s="8"/>
      <c r="L41" s="8"/>
      <c r="M41" s="8"/>
      <c r="N41" s="8"/>
      <c r="O41" s="8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">
        <v>42.0</v>
      </c>
      <c r="B42" s="49" t="s">
        <v>49</v>
      </c>
      <c r="C42" s="3" t="str">
        <f t="shared" si="1"/>
        <v>=&gt;</v>
      </c>
      <c r="D42" s="19" t="s">
        <v>8</v>
      </c>
      <c r="E42" s="7"/>
      <c r="F42" s="19"/>
      <c r="G42" s="7"/>
      <c r="H42" s="21"/>
      <c r="I42" s="8"/>
      <c r="J42" s="8"/>
      <c r="K42" s="8"/>
      <c r="L42" s="8"/>
      <c r="M42" s="8"/>
      <c r="N42" s="8"/>
      <c r="O42" s="8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">
        <v>43.0</v>
      </c>
      <c r="B43" s="47" t="s">
        <v>47</v>
      </c>
      <c r="C43" s="3" t="str">
        <f t="shared" si="1"/>
        <v>=&gt;</v>
      </c>
      <c r="D43" s="51" t="s">
        <v>50</v>
      </c>
      <c r="E43" s="21"/>
      <c r="F43" s="19"/>
      <c r="G43" s="7"/>
      <c r="H43" s="21"/>
      <c r="I43" s="8"/>
      <c r="J43" s="8"/>
      <c r="K43" s="8"/>
      <c r="L43" s="8"/>
      <c r="M43" s="8"/>
      <c r="N43" s="8"/>
      <c r="O43" s="8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">
        <v>44.0</v>
      </c>
      <c r="B44" s="47" t="s">
        <v>47</v>
      </c>
      <c r="C44" s="3" t="str">
        <f t="shared" si="1"/>
        <v>=&gt;</v>
      </c>
      <c r="D44" s="19" t="s">
        <v>8</v>
      </c>
      <c r="E44" s="7"/>
      <c r="F44" s="19"/>
      <c r="G44" s="7"/>
      <c r="H44" s="21"/>
      <c r="I44" s="8"/>
      <c r="J44" s="8"/>
      <c r="K44" s="8"/>
      <c r="L44" s="8"/>
      <c r="M44" s="8"/>
      <c r="N44" s="8"/>
      <c r="O44" s="8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">
        <v>45.0</v>
      </c>
      <c r="B45" s="51" t="s">
        <v>50</v>
      </c>
      <c r="C45" s="3" t="str">
        <f t="shared" si="1"/>
        <v>=&gt;</v>
      </c>
      <c r="D45" s="10" t="s">
        <v>16</v>
      </c>
      <c r="E45" s="21" t="s">
        <v>17</v>
      </c>
      <c r="F45" s="52" t="s">
        <v>51</v>
      </c>
      <c r="G45" s="7" t="s">
        <v>19</v>
      </c>
      <c r="H45" s="21"/>
      <c r="I45" s="8"/>
      <c r="J45" s="8"/>
      <c r="K45" s="8"/>
      <c r="L45" s="8"/>
      <c r="M45" s="8"/>
      <c r="N45" s="8"/>
      <c r="O45" s="8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">
        <v>46.0</v>
      </c>
      <c r="B46" s="52" t="s">
        <v>51</v>
      </c>
      <c r="C46" s="3" t="str">
        <f t="shared" si="1"/>
        <v>=&gt;</v>
      </c>
      <c r="D46" s="21" t="s">
        <v>17</v>
      </c>
      <c r="E46" s="46" t="s">
        <v>46</v>
      </c>
      <c r="F46" s="7" t="s">
        <v>19</v>
      </c>
      <c r="G46" s="53" t="s">
        <v>52</v>
      </c>
      <c r="H46" s="21"/>
      <c r="I46" s="8"/>
      <c r="J46" s="8"/>
      <c r="K46" s="8"/>
      <c r="L46" s="8"/>
      <c r="M46" s="8"/>
      <c r="N46" s="8"/>
      <c r="O46" s="8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">
        <v>47.0</v>
      </c>
      <c r="B47" s="53" t="s">
        <v>52</v>
      </c>
      <c r="C47" s="3" t="str">
        <f t="shared" si="1"/>
        <v>=&gt;</v>
      </c>
      <c r="D47" s="10" t="s">
        <v>38</v>
      </c>
      <c r="E47" s="52" t="s">
        <v>51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">
        <v>48.0</v>
      </c>
      <c r="B48" s="53" t="s">
        <v>52</v>
      </c>
      <c r="C48" s="3" t="str">
        <f t="shared" si="1"/>
        <v>=&gt;</v>
      </c>
      <c r="D48" s="19" t="s">
        <v>8</v>
      </c>
      <c r="E48" s="21"/>
      <c r="F48" s="19"/>
      <c r="G48" s="8"/>
      <c r="H48" s="8"/>
      <c r="I48" s="8"/>
      <c r="J48" s="8"/>
      <c r="K48" s="8"/>
      <c r="L48" s="8"/>
      <c r="M48" s="8"/>
      <c r="N48" s="8"/>
      <c r="O48" s="8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">
        <v>49.0</v>
      </c>
      <c r="B49" s="36" t="s">
        <v>36</v>
      </c>
      <c r="C49" s="3" t="str">
        <f t="shared" si="1"/>
        <v>=&gt;</v>
      </c>
      <c r="D49" s="10" t="s">
        <v>16</v>
      </c>
      <c r="E49" s="21" t="s">
        <v>17</v>
      </c>
      <c r="F49" s="46" t="s">
        <v>46</v>
      </c>
      <c r="G49" s="7" t="s">
        <v>19</v>
      </c>
      <c r="H49" s="8"/>
      <c r="I49" s="8"/>
      <c r="J49" s="8"/>
      <c r="K49" s="8"/>
      <c r="L49" s="8"/>
      <c r="M49" s="8"/>
      <c r="N49" s="8"/>
      <c r="O49" s="8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">
        <v>50.0</v>
      </c>
      <c r="B50" s="36" t="s">
        <v>36</v>
      </c>
      <c r="C50" s="3" t="str">
        <f t="shared" si="1"/>
        <v>=&gt;</v>
      </c>
      <c r="D50" s="21" t="s">
        <v>30</v>
      </c>
      <c r="E50" s="32" t="s">
        <v>31</v>
      </c>
      <c r="F50" s="19" t="s">
        <v>32</v>
      </c>
      <c r="G50" s="51" t="s">
        <v>50</v>
      </c>
      <c r="H50" s="8"/>
      <c r="I50" s="8"/>
      <c r="J50" s="8"/>
      <c r="K50" s="8"/>
      <c r="L50" s="8"/>
      <c r="M50" s="8"/>
      <c r="N50" s="8"/>
      <c r="O50" s="8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">
        <v>51.0</v>
      </c>
      <c r="B51" s="28" t="s">
        <v>18</v>
      </c>
      <c r="C51" s="3" t="str">
        <f t="shared" si="1"/>
        <v>=&gt;</v>
      </c>
      <c r="D51" s="54" t="s">
        <v>53</v>
      </c>
      <c r="E51" s="55" t="s">
        <v>54</v>
      </c>
      <c r="F51" s="21"/>
      <c r="G51" s="19"/>
      <c r="H51" s="21"/>
      <c r="I51" s="8"/>
      <c r="J51" s="8"/>
      <c r="K51" s="8"/>
      <c r="L51" s="8"/>
      <c r="M51" s="8"/>
      <c r="N51" s="8"/>
      <c r="O51" s="8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">
        <v>52.0</v>
      </c>
      <c r="B52" s="54" t="s">
        <v>53</v>
      </c>
      <c r="C52" s="3" t="str">
        <f t="shared" si="1"/>
        <v>=&gt;</v>
      </c>
      <c r="D52" s="34" t="s">
        <v>34</v>
      </c>
      <c r="E52" s="21"/>
      <c r="F52" s="21"/>
      <c r="G52" s="19"/>
      <c r="H52" s="21"/>
      <c r="I52" s="8"/>
      <c r="J52" s="8"/>
      <c r="K52" s="8"/>
      <c r="L52" s="8"/>
      <c r="M52" s="8"/>
      <c r="N52" s="8"/>
      <c r="O52" s="8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">
        <v>53.0</v>
      </c>
      <c r="B53" s="54" t="s">
        <v>53</v>
      </c>
      <c r="C53" s="3" t="str">
        <f t="shared" si="1"/>
        <v>=&gt;</v>
      </c>
      <c r="D53" s="19" t="s">
        <v>14</v>
      </c>
      <c r="E53" s="21"/>
      <c r="F53" s="21"/>
      <c r="G53" s="19"/>
      <c r="H53" s="21"/>
      <c r="I53" s="8"/>
      <c r="J53" s="8"/>
      <c r="K53" s="8"/>
      <c r="L53" s="8"/>
      <c r="M53" s="8"/>
      <c r="N53" s="8"/>
      <c r="O53" s="8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">
        <v>54.0</v>
      </c>
      <c r="B54" s="55" t="s">
        <v>54</v>
      </c>
      <c r="C54" s="3" t="str">
        <f t="shared" si="1"/>
        <v>=&gt;</v>
      </c>
      <c r="D54" s="19" t="s">
        <v>38</v>
      </c>
      <c r="E54" s="54" t="s">
        <v>53</v>
      </c>
      <c r="F54" s="55" t="s">
        <v>54</v>
      </c>
      <c r="G54" s="19"/>
      <c r="H54" s="21"/>
      <c r="I54" s="8"/>
      <c r="J54" s="8"/>
      <c r="K54" s="8"/>
      <c r="L54" s="8"/>
      <c r="M54" s="8"/>
      <c r="N54" s="8"/>
      <c r="O54" s="8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">
        <v>55.0</v>
      </c>
      <c r="B55" s="55" t="s">
        <v>54</v>
      </c>
      <c r="C55" s="3" t="str">
        <f t="shared" si="1"/>
        <v>=&gt;</v>
      </c>
      <c r="D55" s="19" t="s">
        <v>8</v>
      </c>
      <c r="E55" s="21"/>
      <c r="F55" s="21"/>
      <c r="G55" s="19"/>
      <c r="H55" s="21"/>
      <c r="I55" s="8"/>
      <c r="J55" s="8"/>
      <c r="K55" s="8"/>
      <c r="L55" s="8"/>
      <c r="M55" s="8"/>
      <c r="N55" s="8"/>
      <c r="O55" s="8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">
        <v>56.0</v>
      </c>
      <c r="B56" s="56" t="s">
        <v>7</v>
      </c>
      <c r="C56" s="3" t="str">
        <f t="shared" si="1"/>
        <v>=&gt;</v>
      </c>
      <c r="D56" s="19" t="s">
        <v>55</v>
      </c>
      <c r="E56" s="21" t="s">
        <v>14</v>
      </c>
      <c r="F56" s="21" t="s">
        <v>17</v>
      </c>
      <c r="G56" s="57" t="s">
        <v>56</v>
      </c>
      <c r="H56" s="21" t="s">
        <v>19</v>
      </c>
      <c r="I56" s="8"/>
      <c r="J56" s="8"/>
      <c r="K56" s="8"/>
      <c r="L56" s="8"/>
      <c r="M56" s="8"/>
      <c r="N56" s="8"/>
      <c r="O56" s="8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">
        <v>57.0</v>
      </c>
      <c r="B57" s="58" t="s">
        <v>56</v>
      </c>
      <c r="C57" s="3" t="str">
        <f t="shared" si="1"/>
        <v>=&gt;</v>
      </c>
      <c r="D57" s="59" t="s">
        <v>57</v>
      </c>
      <c r="E57" s="58" t="s">
        <v>56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">
        <v>58.0</v>
      </c>
      <c r="B58" s="58" t="s">
        <v>56</v>
      </c>
      <c r="C58" s="3" t="str">
        <f t="shared" si="1"/>
        <v>=&gt;</v>
      </c>
      <c r="D58" s="19" t="s">
        <v>8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">
        <v>59.0</v>
      </c>
      <c r="B59" s="59" t="s">
        <v>57</v>
      </c>
      <c r="C59" s="3" t="str">
        <f t="shared" si="1"/>
        <v>=&gt;</v>
      </c>
      <c r="D59" s="60" t="s">
        <v>13</v>
      </c>
      <c r="E59" s="21" t="s">
        <v>14</v>
      </c>
      <c r="F59" s="21" t="s">
        <v>6</v>
      </c>
      <c r="G59" s="21"/>
      <c r="H59" s="21"/>
      <c r="I59" s="8"/>
      <c r="J59" s="8"/>
      <c r="K59" s="8"/>
      <c r="L59" s="8"/>
      <c r="M59" s="8"/>
      <c r="N59" s="8"/>
      <c r="O59" s="8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">
        <v>60.0</v>
      </c>
      <c r="B60" s="61" t="s">
        <v>2</v>
      </c>
      <c r="C60" s="3" t="str">
        <f t="shared" si="1"/>
        <v>=&gt;</v>
      </c>
      <c r="D60" s="62" t="s">
        <v>58</v>
      </c>
      <c r="E60" s="61" t="s">
        <v>2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">
        <v>61.0</v>
      </c>
      <c r="B61" s="61" t="s">
        <v>2</v>
      </c>
      <c r="C61" s="3" t="str">
        <f t="shared" si="1"/>
        <v>=&gt;</v>
      </c>
      <c r="D61" s="19" t="s">
        <v>8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">
        <v>62.0</v>
      </c>
      <c r="B62" s="62" t="s">
        <v>58</v>
      </c>
      <c r="C62" s="3" t="str">
        <f t="shared" si="1"/>
        <v>=&gt;</v>
      </c>
      <c r="D62" s="19" t="s">
        <v>59</v>
      </c>
      <c r="E62" s="63" t="s">
        <v>60</v>
      </c>
      <c r="F62" s="21"/>
      <c r="G62" s="21"/>
      <c r="H62" s="19"/>
      <c r="I62" s="21"/>
      <c r="J62" s="21"/>
      <c r="K62" s="19"/>
      <c r="L62" s="21"/>
      <c r="M62" s="8"/>
      <c r="N62" s="8"/>
      <c r="O62" s="8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">
        <v>63.0</v>
      </c>
      <c r="B63" s="64" t="s">
        <v>60</v>
      </c>
      <c r="C63" s="3" t="str">
        <f t="shared" si="1"/>
        <v>=&gt;</v>
      </c>
      <c r="D63" s="60" t="s">
        <v>13</v>
      </c>
      <c r="E63" s="65" t="s">
        <v>61</v>
      </c>
      <c r="F63" s="21" t="s">
        <v>14</v>
      </c>
      <c r="G63" s="21" t="s">
        <v>62</v>
      </c>
      <c r="H63" s="66" t="s">
        <v>63</v>
      </c>
      <c r="I63" s="21" t="s">
        <v>64</v>
      </c>
      <c r="J63" s="8" t="s">
        <v>17</v>
      </c>
      <c r="K63" s="67" t="s">
        <v>65</v>
      </c>
      <c r="L63" s="68" t="s">
        <v>66</v>
      </c>
      <c r="M63" s="8" t="s">
        <v>19</v>
      </c>
      <c r="N63" s="8"/>
      <c r="O63" s="8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">
        <v>64.0</v>
      </c>
      <c r="B64" s="64" t="s">
        <v>60</v>
      </c>
      <c r="C64" s="3" t="str">
        <f t="shared" si="1"/>
        <v>=&gt;</v>
      </c>
      <c r="D64" s="19" t="s">
        <v>67</v>
      </c>
      <c r="E64" s="21" t="s">
        <v>14</v>
      </c>
      <c r="F64" s="21" t="s">
        <v>62</v>
      </c>
      <c r="G64" s="21" t="s">
        <v>64</v>
      </c>
      <c r="H64" s="8" t="s">
        <v>17</v>
      </c>
      <c r="I64" s="67" t="s">
        <v>65</v>
      </c>
      <c r="J64" s="21" t="s">
        <v>68</v>
      </c>
      <c r="K64" s="21" t="s">
        <v>6</v>
      </c>
      <c r="L64" s="8" t="s">
        <v>19</v>
      </c>
      <c r="M64" s="8"/>
      <c r="N64" s="8"/>
      <c r="O64" s="8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">
        <v>65.0</v>
      </c>
      <c r="B65" s="65" t="s">
        <v>61</v>
      </c>
      <c r="C65" s="3" t="str">
        <f t="shared" si="1"/>
        <v>=&gt;</v>
      </c>
      <c r="D65" s="19" t="s">
        <v>30</v>
      </c>
      <c r="E65" s="69" t="s">
        <v>31</v>
      </c>
      <c r="F65" s="21" t="s">
        <v>32</v>
      </c>
      <c r="G65" s="70" t="s">
        <v>69</v>
      </c>
      <c r="H65" s="8"/>
      <c r="I65" s="8"/>
      <c r="J65" s="8"/>
      <c r="K65" s="8"/>
      <c r="L65" s="8"/>
      <c r="M65" s="8"/>
      <c r="N65" s="8"/>
      <c r="O65" s="8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">
        <v>66.0</v>
      </c>
      <c r="B66" s="65" t="s">
        <v>61</v>
      </c>
      <c r="C66" s="3" t="str">
        <f t="shared" si="1"/>
        <v>=&gt;</v>
      </c>
      <c r="D66" s="19" t="s">
        <v>8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">
        <v>67.0</v>
      </c>
      <c r="B67" s="70" t="s">
        <v>69</v>
      </c>
      <c r="C67" s="3" t="str">
        <f t="shared" si="1"/>
        <v>=&gt;</v>
      </c>
      <c r="D67" s="19" t="s">
        <v>30</v>
      </c>
      <c r="E67" s="69" t="s">
        <v>31</v>
      </c>
      <c r="F67" s="21" t="s">
        <v>32</v>
      </c>
      <c r="G67" s="8"/>
      <c r="H67" s="8"/>
      <c r="I67" s="8"/>
      <c r="J67" s="8"/>
      <c r="K67" s="8"/>
      <c r="L67" s="8"/>
      <c r="M67" s="8"/>
      <c r="N67" s="8"/>
      <c r="O67" s="8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">
        <v>68.0</v>
      </c>
      <c r="B68" s="70" t="s">
        <v>69</v>
      </c>
      <c r="C68" s="3" t="str">
        <f t="shared" si="1"/>
        <v>=&gt;</v>
      </c>
      <c r="D68" s="19" t="s">
        <v>8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">
        <v>69.0</v>
      </c>
      <c r="B69" s="71" t="s">
        <v>63</v>
      </c>
      <c r="C69" s="3" t="str">
        <f t="shared" si="1"/>
        <v>=&gt;</v>
      </c>
      <c r="D69" s="72" t="s">
        <v>13</v>
      </c>
      <c r="E69" s="21" t="s">
        <v>14</v>
      </c>
      <c r="F69" s="73" t="s">
        <v>70</v>
      </c>
      <c r="G69" s="74" t="s">
        <v>71</v>
      </c>
      <c r="H69" s="8"/>
      <c r="I69" s="8"/>
      <c r="J69" s="8"/>
      <c r="K69" s="8"/>
      <c r="L69" s="8"/>
      <c r="M69" s="8"/>
      <c r="N69" s="8"/>
      <c r="O69" s="8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">
        <v>70.0</v>
      </c>
      <c r="B70" s="71" t="s">
        <v>63</v>
      </c>
      <c r="C70" s="3" t="str">
        <f t="shared" si="1"/>
        <v>=&gt;</v>
      </c>
      <c r="D70" s="19" t="s">
        <v>8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">
        <v>71.0</v>
      </c>
      <c r="B71" s="74" t="s">
        <v>71</v>
      </c>
      <c r="C71" s="3" t="str">
        <f t="shared" si="1"/>
        <v>=&gt;</v>
      </c>
      <c r="D71" s="19" t="s">
        <v>38</v>
      </c>
      <c r="E71" s="71" t="s">
        <v>63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">
        <v>72.0</v>
      </c>
      <c r="B72" s="74" t="s">
        <v>71</v>
      </c>
      <c r="C72" s="3" t="str">
        <f t="shared" si="1"/>
        <v>=&gt;</v>
      </c>
      <c r="D72" s="19" t="s">
        <v>8</v>
      </c>
      <c r="E72" s="21"/>
      <c r="F72" s="21"/>
      <c r="G72" s="21"/>
      <c r="H72" s="8"/>
      <c r="I72" s="8"/>
      <c r="J72" s="8"/>
      <c r="K72" s="8"/>
      <c r="L72" s="8"/>
      <c r="M72" s="8"/>
      <c r="N72" s="8"/>
      <c r="O72" s="8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">
        <v>73.0</v>
      </c>
      <c r="B73" s="73" t="s">
        <v>70</v>
      </c>
      <c r="C73" s="3" t="str">
        <f t="shared" si="1"/>
        <v>=&gt;</v>
      </c>
      <c r="D73" s="19" t="s">
        <v>30</v>
      </c>
      <c r="E73" s="69" t="s">
        <v>31</v>
      </c>
      <c r="F73" s="21" t="s">
        <v>32</v>
      </c>
      <c r="G73" s="75" t="s">
        <v>72</v>
      </c>
      <c r="H73" s="8"/>
      <c r="I73" s="8"/>
      <c r="J73" s="8"/>
      <c r="K73" s="8"/>
      <c r="L73" s="8"/>
      <c r="M73" s="8"/>
      <c r="N73" s="8"/>
      <c r="O73" s="8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">
        <v>74.0</v>
      </c>
      <c r="B74" s="73" t="s">
        <v>70</v>
      </c>
      <c r="C74" s="3" t="str">
        <f t="shared" si="1"/>
        <v>=&gt;</v>
      </c>
      <c r="D74" s="19" t="s">
        <v>8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">
        <v>75.0</v>
      </c>
      <c r="B75" s="75" t="s">
        <v>72</v>
      </c>
      <c r="C75" s="3" t="str">
        <f t="shared" si="1"/>
        <v>=&gt;</v>
      </c>
      <c r="D75" s="19" t="s">
        <v>30</v>
      </c>
      <c r="E75" s="69" t="s">
        <v>31</v>
      </c>
      <c r="F75" s="21" t="s">
        <v>32</v>
      </c>
      <c r="G75" s="8"/>
      <c r="H75" s="8"/>
      <c r="I75" s="8"/>
      <c r="J75" s="8"/>
      <c r="K75" s="8"/>
      <c r="L75" s="8"/>
      <c r="M75" s="8"/>
      <c r="N75" s="8"/>
      <c r="O75" s="8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">
        <v>76.0</v>
      </c>
      <c r="B76" s="75" t="s">
        <v>72</v>
      </c>
      <c r="C76" s="3" t="str">
        <f t="shared" si="1"/>
        <v>=&gt;</v>
      </c>
      <c r="D76" s="19" t="s">
        <v>8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">
        <v>77.0</v>
      </c>
      <c r="B77" s="76" t="s">
        <v>65</v>
      </c>
      <c r="C77" s="3" t="str">
        <f t="shared" si="1"/>
        <v>=&gt;</v>
      </c>
      <c r="D77" s="77" t="s">
        <v>73</v>
      </c>
      <c r="E77" s="78" t="s">
        <v>74</v>
      </c>
      <c r="F77" s="79" t="s">
        <v>75</v>
      </c>
      <c r="G77" s="19"/>
      <c r="H77" s="8"/>
      <c r="I77" s="8"/>
      <c r="J77" s="8"/>
      <c r="K77" s="8"/>
      <c r="L77" s="8"/>
      <c r="M77" s="8"/>
      <c r="N77" s="8"/>
      <c r="O77" s="8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">
        <v>78.0</v>
      </c>
      <c r="B78" s="77" t="s">
        <v>73</v>
      </c>
      <c r="C78" s="3" t="str">
        <f t="shared" si="1"/>
        <v>=&gt;</v>
      </c>
      <c r="D78" s="80" t="s">
        <v>76</v>
      </c>
      <c r="E78" s="21" t="s">
        <v>6</v>
      </c>
      <c r="F78" s="77" t="s">
        <v>73</v>
      </c>
      <c r="G78" s="8"/>
      <c r="H78" s="8"/>
      <c r="I78" s="8"/>
      <c r="J78" s="8"/>
      <c r="K78" s="8"/>
      <c r="L78" s="8"/>
      <c r="M78" s="8"/>
      <c r="N78" s="8"/>
      <c r="O78" s="8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">
        <v>79.0</v>
      </c>
      <c r="B79" s="77" t="s">
        <v>73</v>
      </c>
      <c r="C79" s="3" t="str">
        <f t="shared" si="1"/>
        <v>=&gt;</v>
      </c>
      <c r="D79" s="19" t="s">
        <v>8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">
        <v>80.0</v>
      </c>
      <c r="B80" s="80" t="s">
        <v>76</v>
      </c>
      <c r="C80" s="3" t="str">
        <f t="shared" si="1"/>
        <v>=&gt;</v>
      </c>
      <c r="D80" s="21" t="s">
        <v>77</v>
      </c>
      <c r="E80" s="21" t="s">
        <v>14</v>
      </c>
      <c r="F80" s="81" t="s">
        <v>78</v>
      </c>
      <c r="G80" s="21"/>
      <c r="H80" s="8"/>
      <c r="I80" s="8"/>
      <c r="J80" s="8"/>
      <c r="K80" s="8"/>
      <c r="L80" s="8"/>
      <c r="M80" s="8"/>
      <c r="N80" s="8"/>
      <c r="O80" s="8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">
        <v>81.0</v>
      </c>
      <c r="B81" s="81" t="s">
        <v>78</v>
      </c>
      <c r="C81" s="3" t="str">
        <f t="shared" si="1"/>
        <v>=&gt;</v>
      </c>
      <c r="D81" s="21" t="s">
        <v>38</v>
      </c>
      <c r="E81" s="19" t="s">
        <v>14</v>
      </c>
      <c r="F81" s="81" t="s">
        <v>78</v>
      </c>
      <c r="G81" s="8"/>
      <c r="H81" s="8"/>
      <c r="I81" s="8"/>
      <c r="J81" s="8"/>
      <c r="K81" s="8"/>
      <c r="L81" s="8"/>
      <c r="M81" s="8"/>
      <c r="N81" s="8"/>
      <c r="O81" s="8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">
        <v>82.0</v>
      </c>
      <c r="B82" s="81" t="s">
        <v>78</v>
      </c>
      <c r="C82" s="3" t="str">
        <f t="shared" si="1"/>
        <v>=&gt;</v>
      </c>
      <c r="D82" s="19" t="s">
        <v>8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">
        <v>83.0</v>
      </c>
      <c r="B83" s="78" t="s">
        <v>74</v>
      </c>
      <c r="C83" s="3" t="str">
        <f t="shared" si="1"/>
        <v>=&gt;</v>
      </c>
      <c r="D83" s="21" t="s">
        <v>79</v>
      </c>
      <c r="E83" s="82" t="s">
        <v>5</v>
      </c>
      <c r="F83" s="21" t="s">
        <v>6</v>
      </c>
      <c r="G83" s="83" t="s">
        <v>74</v>
      </c>
      <c r="H83" s="21"/>
      <c r="I83" s="21"/>
      <c r="J83" s="21"/>
      <c r="K83" s="21"/>
      <c r="L83" s="8"/>
      <c r="M83" s="8"/>
      <c r="N83" s="8"/>
      <c r="O83" s="8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">
        <v>84.0</v>
      </c>
      <c r="B84" s="78" t="s">
        <v>74</v>
      </c>
      <c r="C84" s="3" t="str">
        <f t="shared" si="1"/>
        <v>=&gt;</v>
      </c>
      <c r="D84" s="19" t="s">
        <v>8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">
        <v>85.0</v>
      </c>
      <c r="B85" s="84" t="s">
        <v>75</v>
      </c>
      <c r="C85" s="3" t="str">
        <f t="shared" si="1"/>
        <v>=&gt;</v>
      </c>
      <c r="D85" s="85" t="s">
        <v>80</v>
      </c>
      <c r="E85" s="79" t="s">
        <v>75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">
        <v>86.0</v>
      </c>
      <c r="B86" s="84" t="s">
        <v>75</v>
      </c>
      <c r="C86" s="3" t="str">
        <f t="shared" si="1"/>
        <v>=&gt;</v>
      </c>
      <c r="D86" s="19" t="s">
        <v>8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">
        <v>87.0</v>
      </c>
      <c r="B87" s="86" t="s">
        <v>80</v>
      </c>
      <c r="C87" s="3" t="str">
        <f t="shared" si="1"/>
        <v>=&gt;</v>
      </c>
      <c r="D87" s="87" t="s">
        <v>81</v>
      </c>
      <c r="E87" s="21" t="s">
        <v>6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">
        <v>88.0</v>
      </c>
      <c r="B88" s="86" t="s">
        <v>80</v>
      </c>
      <c r="C88" s="3" t="str">
        <f t="shared" si="1"/>
        <v>=&gt;</v>
      </c>
      <c r="D88" s="88" t="s">
        <v>82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">
        <v>89.0</v>
      </c>
      <c r="B89" s="86" t="s">
        <v>80</v>
      </c>
      <c r="C89" s="3" t="str">
        <f t="shared" si="1"/>
        <v>=&gt;</v>
      </c>
      <c r="D89" s="89" t="s">
        <v>83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">
        <v>90.0</v>
      </c>
      <c r="B90" s="90" t="s">
        <v>81</v>
      </c>
      <c r="C90" s="3" t="str">
        <f t="shared" si="1"/>
        <v>=&gt;</v>
      </c>
      <c r="D90" s="91" t="s">
        <v>84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">
        <v>91.0</v>
      </c>
      <c r="B91" s="90" t="s">
        <v>81</v>
      </c>
      <c r="C91" s="3" t="str">
        <f t="shared" si="1"/>
        <v>=&gt;</v>
      </c>
      <c r="D91" s="92" t="s">
        <v>85</v>
      </c>
      <c r="E91" s="21"/>
      <c r="F91" s="21"/>
      <c r="G91" s="8"/>
      <c r="H91" s="8"/>
      <c r="I91" s="8"/>
      <c r="J91" s="8"/>
      <c r="K91" s="8"/>
      <c r="L91" s="8"/>
      <c r="M91" s="8"/>
      <c r="N91" s="8"/>
      <c r="O91" s="8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">
        <v>92.0</v>
      </c>
      <c r="B92" s="93" t="s">
        <v>84</v>
      </c>
      <c r="C92" s="3" t="str">
        <f t="shared" si="1"/>
        <v>=&gt;</v>
      </c>
      <c r="D92" s="21" t="s">
        <v>86</v>
      </c>
      <c r="E92" s="94" t="s">
        <v>87</v>
      </c>
      <c r="F92" s="21"/>
      <c r="G92" s="8"/>
      <c r="H92" s="8"/>
      <c r="I92" s="8"/>
      <c r="J92" s="8"/>
      <c r="K92" s="8"/>
      <c r="L92" s="8"/>
      <c r="M92" s="8"/>
      <c r="N92" s="8"/>
      <c r="O92" s="8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">
        <v>93.0</v>
      </c>
      <c r="B93" s="94" t="s">
        <v>87</v>
      </c>
      <c r="C93" s="3" t="str">
        <f t="shared" si="1"/>
        <v>=&gt;</v>
      </c>
      <c r="D93" s="95" t="s">
        <v>88</v>
      </c>
      <c r="E93" s="96" t="s">
        <v>89</v>
      </c>
      <c r="F93" s="21"/>
      <c r="G93" s="21"/>
      <c r="H93" s="8"/>
      <c r="I93" s="8"/>
      <c r="J93" s="8"/>
      <c r="K93" s="8"/>
      <c r="L93" s="8"/>
      <c r="M93" s="8"/>
      <c r="N93" s="8"/>
      <c r="O93" s="8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">
        <v>94.0</v>
      </c>
      <c r="B94" s="94" t="s">
        <v>87</v>
      </c>
      <c r="C94" s="3" t="str">
        <f t="shared" si="1"/>
        <v>=&gt;</v>
      </c>
      <c r="D94" s="19" t="s">
        <v>62</v>
      </c>
      <c r="E94" s="97" t="s">
        <v>90</v>
      </c>
      <c r="F94" s="21" t="s">
        <v>64</v>
      </c>
      <c r="G94" s="8"/>
      <c r="H94" s="8"/>
      <c r="I94" s="8"/>
      <c r="J94" s="8"/>
      <c r="K94" s="8"/>
      <c r="L94" s="8"/>
      <c r="M94" s="8"/>
      <c r="N94" s="8"/>
      <c r="O94" s="8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">
        <v>95.0</v>
      </c>
      <c r="B95" s="95" t="s">
        <v>88</v>
      </c>
      <c r="C95" s="3" t="str">
        <f t="shared" si="1"/>
        <v>=&gt;</v>
      </c>
      <c r="D95" s="21" t="s">
        <v>91</v>
      </c>
      <c r="E95" s="21" t="s">
        <v>14</v>
      </c>
      <c r="F95" s="21"/>
      <c r="G95" s="21"/>
      <c r="H95" s="8"/>
      <c r="I95" s="8"/>
      <c r="J95" s="8"/>
      <c r="K95" s="8"/>
      <c r="L95" s="8"/>
      <c r="M95" s="8"/>
      <c r="N95" s="8"/>
      <c r="O95" s="8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">
        <v>96.0</v>
      </c>
      <c r="B96" s="95" t="s">
        <v>88</v>
      </c>
      <c r="C96" s="3" t="str">
        <f t="shared" si="1"/>
        <v>=&gt;</v>
      </c>
      <c r="D96" s="21" t="s">
        <v>30</v>
      </c>
      <c r="E96" s="98" t="s">
        <v>92</v>
      </c>
      <c r="F96" s="21" t="s">
        <v>32</v>
      </c>
      <c r="G96" s="99" t="s">
        <v>93</v>
      </c>
      <c r="H96" s="8"/>
      <c r="I96" s="8"/>
      <c r="J96" s="8"/>
      <c r="K96" s="8"/>
      <c r="L96" s="8"/>
      <c r="M96" s="8"/>
      <c r="N96" s="8"/>
      <c r="O96" s="8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">
        <v>97.0</v>
      </c>
      <c r="B97" s="95" t="s">
        <v>88</v>
      </c>
      <c r="C97" s="3" t="str">
        <f t="shared" si="1"/>
        <v>=&gt;</v>
      </c>
      <c r="D97" s="19" t="s">
        <v>8</v>
      </c>
      <c r="E97" s="24"/>
      <c r="F97" s="8"/>
      <c r="G97" s="100"/>
      <c r="H97" s="100"/>
      <c r="I97" s="100"/>
      <c r="J97" s="100"/>
      <c r="K97" s="100"/>
      <c r="L97" s="100"/>
      <c r="M97" s="100"/>
      <c r="N97" s="100"/>
      <c r="O97" s="100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">
        <v>98.0</v>
      </c>
      <c r="B98" s="102" t="s">
        <v>93</v>
      </c>
      <c r="C98" s="3" t="str">
        <f t="shared" si="1"/>
        <v>=&gt;</v>
      </c>
      <c r="D98" s="24" t="s">
        <v>30</v>
      </c>
      <c r="E98" s="98" t="s">
        <v>92</v>
      </c>
      <c r="F98" s="8" t="s">
        <v>32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">
        <v>99.0</v>
      </c>
      <c r="B99" s="102" t="s">
        <v>93</v>
      </c>
      <c r="C99" s="3" t="str">
        <f t="shared" si="1"/>
        <v>=&gt;</v>
      </c>
      <c r="D99" s="19" t="s">
        <v>8</v>
      </c>
      <c r="E99" s="43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">
        <v>100.0</v>
      </c>
      <c r="B100" s="96" t="s">
        <v>89</v>
      </c>
      <c r="C100" s="3" t="str">
        <f t="shared" si="1"/>
        <v>=&gt;</v>
      </c>
      <c r="D100" s="21" t="s">
        <v>94</v>
      </c>
      <c r="E100" s="37" t="s">
        <v>28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">
        <v>101.0</v>
      </c>
      <c r="B101" s="96" t="s">
        <v>89</v>
      </c>
      <c r="C101" s="3" t="str">
        <f t="shared" si="1"/>
        <v>=&gt;</v>
      </c>
      <c r="D101" s="21" t="s">
        <v>95</v>
      </c>
      <c r="E101" s="37" t="s">
        <v>28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">
        <v>102.0</v>
      </c>
      <c r="B102" s="96" t="s">
        <v>89</v>
      </c>
      <c r="C102" s="3" t="str">
        <f t="shared" si="1"/>
        <v>=&gt;</v>
      </c>
      <c r="D102" s="21" t="s">
        <v>96</v>
      </c>
      <c r="E102" s="37" t="s">
        <v>28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">
        <v>103.0</v>
      </c>
      <c r="B103" s="96" t="s">
        <v>89</v>
      </c>
      <c r="C103" s="3" t="str">
        <f t="shared" si="1"/>
        <v>=&gt;</v>
      </c>
      <c r="D103" s="21" t="s">
        <v>97</v>
      </c>
      <c r="E103" s="37" t="s">
        <v>28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">
        <v>104.0</v>
      </c>
      <c r="B104" s="96" t="s">
        <v>89</v>
      </c>
      <c r="C104" s="3" t="str">
        <f t="shared" si="1"/>
        <v>=&gt;</v>
      </c>
      <c r="D104" s="21" t="s">
        <v>98</v>
      </c>
      <c r="E104" s="37" t="s">
        <v>28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">
        <v>105.0</v>
      </c>
      <c r="B105" s="96" t="s">
        <v>89</v>
      </c>
      <c r="C105" s="3" t="str">
        <f t="shared" si="1"/>
        <v>=&gt;</v>
      </c>
      <c r="D105" s="21" t="s">
        <v>99</v>
      </c>
      <c r="E105" s="37" t="s">
        <v>28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">
        <v>106.0</v>
      </c>
      <c r="B106" s="98" t="s">
        <v>92</v>
      </c>
      <c r="C106" s="3" t="str">
        <f t="shared" si="1"/>
        <v>=&gt;</v>
      </c>
      <c r="D106" s="103" t="s">
        <v>39</v>
      </c>
      <c r="E106" s="104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">
        <v>107.0</v>
      </c>
      <c r="B107" s="98" t="s">
        <v>92</v>
      </c>
      <c r="C107" s="3" t="str">
        <f t="shared" si="1"/>
        <v>=&gt;</v>
      </c>
      <c r="D107" s="103" t="s">
        <v>14</v>
      </c>
      <c r="E107" s="104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">
        <v>108.0</v>
      </c>
      <c r="B108" s="38" t="s">
        <v>37</v>
      </c>
      <c r="C108" s="3" t="str">
        <f t="shared" si="1"/>
        <v>=&gt;</v>
      </c>
      <c r="D108" s="105" t="s">
        <v>100</v>
      </c>
      <c r="E108" s="106" t="s">
        <v>101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">
        <v>109.0</v>
      </c>
      <c r="B109" s="106" t="s">
        <v>101</v>
      </c>
      <c r="C109" s="3" t="str">
        <f t="shared" si="1"/>
        <v>=&gt;</v>
      </c>
      <c r="D109" s="19" t="s">
        <v>102</v>
      </c>
      <c r="E109" s="105" t="s">
        <v>100</v>
      </c>
      <c r="F109" s="106" t="s">
        <v>101</v>
      </c>
      <c r="G109" s="8"/>
      <c r="H109" s="8"/>
      <c r="I109" s="8"/>
      <c r="J109" s="8"/>
      <c r="K109" s="8"/>
      <c r="L109" s="8"/>
      <c r="M109" s="8"/>
      <c r="N109" s="8"/>
      <c r="O109" s="8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">
        <v>110.0</v>
      </c>
      <c r="B110" s="106" t="s">
        <v>101</v>
      </c>
      <c r="C110" s="3" t="str">
        <f t="shared" si="1"/>
        <v>=&gt;</v>
      </c>
      <c r="D110" s="19" t="s">
        <v>8</v>
      </c>
      <c r="E110" s="103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">
        <v>111.0</v>
      </c>
      <c r="B111" s="105" t="s">
        <v>100</v>
      </c>
      <c r="C111" s="3" t="str">
        <f t="shared" si="1"/>
        <v>=&gt;</v>
      </c>
      <c r="D111" s="107" t="s">
        <v>103</v>
      </c>
      <c r="E111" s="108" t="s">
        <v>104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">
        <v>112.0</v>
      </c>
      <c r="B112" s="108" t="s">
        <v>104</v>
      </c>
      <c r="C112" s="3" t="str">
        <f t="shared" si="1"/>
        <v>=&gt;</v>
      </c>
      <c r="D112" s="19" t="s">
        <v>105</v>
      </c>
      <c r="E112" s="107" t="s">
        <v>103</v>
      </c>
      <c r="F112" s="108" t="s">
        <v>104</v>
      </c>
      <c r="G112" s="8"/>
      <c r="H112" s="8"/>
      <c r="I112" s="8"/>
      <c r="J112" s="8"/>
      <c r="K112" s="8"/>
      <c r="L112" s="8"/>
      <c r="M112" s="8"/>
      <c r="N112" s="8"/>
      <c r="O112" s="8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">
        <v>113.0</v>
      </c>
      <c r="B113" s="108" t="s">
        <v>104</v>
      </c>
      <c r="C113" s="3" t="str">
        <f t="shared" si="1"/>
        <v>=&gt;</v>
      </c>
      <c r="D113" s="19" t="s">
        <v>8</v>
      </c>
      <c r="E113" s="103"/>
      <c r="F113" s="103"/>
      <c r="G113" s="8"/>
      <c r="H113" s="8"/>
      <c r="I113" s="8"/>
      <c r="J113" s="8"/>
      <c r="K113" s="8"/>
      <c r="L113" s="8"/>
      <c r="M113" s="8"/>
      <c r="N113" s="8"/>
      <c r="O113" s="8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">
        <v>114.0</v>
      </c>
      <c r="B114" s="107" t="s">
        <v>103</v>
      </c>
      <c r="C114" s="3" t="str">
        <f t="shared" si="1"/>
        <v>=&gt;</v>
      </c>
      <c r="D114" s="109" t="s">
        <v>106</v>
      </c>
      <c r="E114" s="110" t="s">
        <v>107</v>
      </c>
      <c r="F114" s="103"/>
      <c r="G114" s="8"/>
      <c r="H114" s="8"/>
      <c r="I114" s="8"/>
      <c r="J114" s="8"/>
      <c r="K114" s="8"/>
      <c r="L114" s="8"/>
      <c r="M114" s="8"/>
      <c r="N114" s="8"/>
      <c r="O114" s="8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">
        <v>115.0</v>
      </c>
      <c r="B115" s="110" t="s">
        <v>107</v>
      </c>
      <c r="C115" s="3" t="str">
        <f t="shared" si="1"/>
        <v>=&gt;</v>
      </c>
      <c r="D115" s="19" t="s">
        <v>108</v>
      </c>
      <c r="E115" s="109" t="s">
        <v>106</v>
      </c>
      <c r="F115" s="110" t="s">
        <v>107</v>
      </c>
      <c r="G115" s="8"/>
      <c r="H115" s="8"/>
      <c r="I115" s="8"/>
      <c r="J115" s="8"/>
      <c r="K115" s="8"/>
      <c r="L115" s="8"/>
      <c r="M115" s="8"/>
      <c r="N115" s="8"/>
      <c r="O115" s="8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">
        <v>116.0</v>
      </c>
      <c r="B116" s="110" t="s">
        <v>107</v>
      </c>
      <c r="C116" s="3" t="str">
        <f t="shared" si="1"/>
        <v>=&gt;</v>
      </c>
      <c r="D116" s="19" t="s">
        <v>8</v>
      </c>
      <c r="E116" s="1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">
        <v>117.0</v>
      </c>
      <c r="B117" s="109" t="s">
        <v>106</v>
      </c>
      <c r="C117" s="3" t="str">
        <f t="shared" si="1"/>
        <v>=&gt;</v>
      </c>
      <c r="D117" s="19" t="s">
        <v>109</v>
      </c>
      <c r="E117" s="109" t="s">
        <v>106</v>
      </c>
      <c r="F117" s="103"/>
      <c r="G117" s="8"/>
      <c r="H117" s="8"/>
      <c r="I117" s="8"/>
      <c r="J117" s="8"/>
      <c r="K117" s="8"/>
      <c r="L117" s="8"/>
      <c r="M117" s="8"/>
      <c r="N117" s="8"/>
      <c r="O117" s="8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">
        <v>118.0</v>
      </c>
      <c r="B118" s="109" t="s">
        <v>106</v>
      </c>
      <c r="C118" s="3" t="str">
        <f t="shared" si="1"/>
        <v>=&gt;</v>
      </c>
      <c r="D118" s="111" t="s">
        <v>110</v>
      </c>
      <c r="E118" s="19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">
        <v>119.0</v>
      </c>
      <c r="B119" s="112" t="s">
        <v>110</v>
      </c>
      <c r="C119" s="3" t="str">
        <f t="shared" si="1"/>
        <v>=&gt;</v>
      </c>
      <c r="D119" s="113" t="s">
        <v>111</v>
      </c>
      <c r="E119" s="114" t="s">
        <v>112</v>
      </c>
      <c r="F119" s="113" t="s">
        <v>111</v>
      </c>
      <c r="G119" s="8"/>
      <c r="H119" s="8"/>
      <c r="I119" s="8"/>
      <c r="J119" s="8"/>
      <c r="K119" s="8"/>
      <c r="L119" s="8"/>
      <c r="M119" s="8"/>
      <c r="N119" s="8"/>
      <c r="O119" s="8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">
        <v>120.0</v>
      </c>
      <c r="B120" s="113" t="s">
        <v>111</v>
      </c>
      <c r="C120" s="3" t="str">
        <f t="shared" si="1"/>
        <v>=&gt;</v>
      </c>
      <c r="D120" s="115" t="s">
        <v>113</v>
      </c>
      <c r="E120" s="116" t="s">
        <v>114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">
        <v>121.0</v>
      </c>
      <c r="B121" s="117" t="s">
        <v>114</v>
      </c>
      <c r="C121" s="3" t="str">
        <f t="shared" si="1"/>
        <v>=&gt;</v>
      </c>
      <c r="D121" s="21" t="s">
        <v>115</v>
      </c>
      <c r="E121" s="115" t="s">
        <v>113</v>
      </c>
      <c r="F121" s="116" t="s">
        <v>114</v>
      </c>
      <c r="G121" s="8"/>
      <c r="H121" s="8"/>
      <c r="I121" s="8"/>
      <c r="J121" s="8"/>
      <c r="K121" s="8"/>
      <c r="L121" s="8"/>
      <c r="M121" s="8"/>
      <c r="N121" s="8"/>
      <c r="O121" s="8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">
        <v>122.0</v>
      </c>
      <c r="B122" s="117" t="s">
        <v>114</v>
      </c>
      <c r="C122" s="3" t="str">
        <f t="shared" si="1"/>
        <v>=&gt;</v>
      </c>
      <c r="D122" s="21" t="s">
        <v>116</v>
      </c>
      <c r="E122" s="115" t="s">
        <v>113</v>
      </c>
      <c r="F122" s="116" t="s">
        <v>114</v>
      </c>
      <c r="G122" s="8"/>
      <c r="H122" s="8"/>
      <c r="I122" s="8"/>
      <c r="J122" s="8"/>
      <c r="K122" s="8"/>
      <c r="L122" s="8"/>
      <c r="M122" s="8"/>
      <c r="N122" s="8"/>
      <c r="O122" s="8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">
        <v>123.0</v>
      </c>
      <c r="B123" s="117" t="s">
        <v>114</v>
      </c>
      <c r="C123" s="3" t="str">
        <f t="shared" si="1"/>
        <v>=&gt;</v>
      </c>
      <c r="D123" s="19" t="s">
        <v>8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">
        <v>124.0</v>
      </c>
      <c r="B124" s="118" t="s">
        <v>113</v>
      </c>
      <c r="C124" s="3" t="str">
        <f t="shared" si="1"/>
        <v>=&gt;</v>
      </c>
      <c r="D124" s="119" t="s">
        <v>117</v>
      </c>
      <c r="E124" s="120" t="s">
        <v>118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">
        <v>125.0</v>
      </c>
      <c r="B125" s="121" t="s">
        <v>118</v>
      </c>
      <c r="C125" s="3" t="str">
        <f t="shared" si="1"/>
        <v>=&gt;</v>
      </c>
      <c r="D125" s="21" t="s">
        <v>119</v>
      </c>
      <c r="E125" s="119" t="s">
        <v>117</v>
      </c>
      <c r="F125" s="120" t="s">
        <v>118</v>
      </c>
      <c r="G125" s="8"/>
      <c r="H125" s="8"/>
      <c r="I125" s="8"/>
      <c r="J125" s="8"/>
      <c r="K125" s="8"/>
      <c r="L125" s="8"/>
      <c r="M125" s="8"/>
      <c r="N125" s="8"/>
      <c r="O125" s="8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">
        <v>126.0</v>
      </c>
      <c r="B126" s="121" t="s">
        <v>118</v>
      </c>
      <c r="C126" s="3" t="str">
        <f t="shared" si="1"/>
        <v>=&gt;</v>
      </c>
      <c r="D126" s="21" t="s">
        <v>120</v>
      </c>
      <c r="E126" s="119" t="s">
        <v>117</v>
      </c>
      <c r="F126" s="120" t="s">
        <v>118</v>
      </c>
      <c r="G126" s="8"/>
      <c r="H126" s="8"/>
      <c r="I126" s="8"/>
      <c r="J126" s="8"/>
      <c r="K126" s="8"/>
      <c r="L126" s="8"/>
      <c r="M126" s="8"/>
      <c r="N126" s="8"/>
      <c r="O126" s="8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">
        <v>127.0</v>
      </c>
      <c r="B127" s="121" t="s">
        <v>118</v>
      </c>
      <c r="C127" s="3" t="str">
        <f t="shared" si="1"/>
        <v>=&gt;</v>
      </c>
      <c r="D127" s="21" t="s">
        <v>121</v>
      </c>
      <c r="E127" s="119" t="s">
        <v>117</v>
      </c>
      <c r="F127" s="120" t="s">
        <v>118</v>
      </c>
      <c r="G127" s="8"/>
      <c r="H127" s="8"/>
      <c r="I127" s="8"/>
      <c r="J127" s="8"/>
      <c r="K127" s="8"/>
      <c r="L127" s="8"/>
      <c r="M127" s="8"/>
      <c r="N127" s="8"/>
      <c r="O127" s="8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">
        <v>128.0</v>
      </c>
      <c r="B128" s="121" t="s">
        <v>118</v>
      </c>
      <c r="C128" s="3" t="str">
        <f t="shared" si="1"/>
        <v>=&gt;</v>
      </c>
      <c r="D128" s="19" t="s">
        <v>8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">
        <v>129.0</v>
      </c>
      <c r="B129" s="122" t="s">
        <v>117</v>
      </c>
      <c r="C129" s="3" t="str">
        <f t="shared" si="1"/>
        <v>=&gt;</v>
      </c>
      <c r="D129" s="123" t="s">
        <v>122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">
        <v>130.0</v>
      </c>
      <c r="B130" s="122" t="s">
        <v>117</v>
      </c>
      <c r="C130" s="3" t="str">
        <f t="shared" si="1"/>
        <v>=&gt;</v>
      </c>
      <c r="D130" s="21" t="s">
        <v>116</v>
      </c>
      <c r="E130" s="122" t="s">
        <v>117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">
        <v>131.0</v>
      </c>
      <c r="B131" s="122" t="s">
        <v>117</v>
      </c>
      <c r="C131" s="3" t="str">
        <f t="shared" si="1"/>
        <v>=&gt;</v>
      </c>
      <c r="D131" s="21" t="s">
        <v>62</v>
      </c>
      <c r="E131" s="124" t="s">
        <v>123</v>
      </c>
      <c r="F131" s="24"/>
      <c r="G131" s="19"/>
      <c r="H131" s="8"/>
      <c r="I131" s="8"/>
      <c r="J131" s="8"/>
      <c r="K131" s="8"/>
      <c r="L131" s="8"/>
      <c r="M131" s="8"/>
      <c r="N131" s="8"/>
      <c r="O131" s="8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">
        <v>132.0</v>
      </c>
      <c r="B132" s="124" t="s">
        <v>123</v>
      </c>
      <c r="C132" s="3" t="str">
        <f t="shared" si="1"/>
        <v>=&gt;</v>
      </c>
      <c r="D132" s="125" t="s">
        <v>13</v>
      </c>
      <c r="E132" s="24" t="s">
        <v>64</v>
      </c>
      <c r="F132" s="126" t="s">
        <v>117</v>
      </c>
      <c r="G132" s="19"/>
      <c r="H132" s="8"/>
      <c r="I132" s="8"/>
      <c r="J132" s="8"/>
      <c r="K132" s="8"/>
      <c r="L132" s="8"/>
      <c r="M132" s="8"/>
      <c r="N132" s="8"/>
      <c r="O132" s="8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">
        <v>133.0</v>
      </c>
      <c r="B133" s="124" t="s">
        <v>123</v>
      </c>
      <c r="C133" s="3" t="str">
        <f t="shared" si="1"/>
        <v>=&gt;</v>
      </c>
      <c r="D133" s="37" t="s">
        <v>28</v>
      </c>
      <c r="E133" s="21" t="s">
        <v>64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">
        <v>134.0</v>
      </c>
      <c r="B134" s="127" t="s">
        <v>122</v>
      </c>
      <c r="C134" s="3" t="str">
        <f t="shared" si="1"/>
        <v>=&gt;</v>
      </c>
      <c r="D134" s="19" t="s">
        <v>14</v>
      </c>
      <c r="E134" s="128" t="s">
        <v>124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">
        <v>135.0</v>
      </c>
      <c r="B135" s="127" t="s">
        <v>122</v>
      </c>
      <c r="C135" s="3" t="str">
        <f t="shared" si="1"/>
        <v>=&gt;</v>
      </c>
      <c r="D135" s="129" t="s">
        <v>40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">
        <v>136.0</v>
      </c>
      <c r="B136" s="127" t="s">
        <v>122</v>
      </c>
      <c r="C136" s="3" t="str">
        <f t="shared" si="1"/>
        <v>=&gt;</v>
      </c>
      <c r="D136" s="130" t="s">
        <v>85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">
        <v>137.0</v>
      </c>
      <c r="B137" s="128" t="s">
        <v>124</v>
      </c>
      <c r="C137" s="3" t="str">
        <f t="shared" si="1"/>
        <v>=&gt;</v>
      </c>
      <c r="D137" s="131" t="s">
        <v>125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">
        <v>138.0</v>
      </c>
      <c r="B138" s="128" t="s">
        <v>124</v>
      </c>
      <c r="C138" s="3" t="str">
        <f t="shared" si="1"/>
        <v>=&gt;</v>
      </c>
      <c r="D138" s="104" t="s">
        <v>91</v>
      </c>
      <c r="E138" s="21" t="s">
        <v>14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">
        <v>139.0</v>
      </c>
      <c r="B139" s="131" t="s">
        <v>125</v>
      </c>
      <c r="C139" s="3" t="str">
        <f t="shared" si="1"/>
        <v>=&gt;</v>
      </c>
      <c r="D139" s="104" t="s">
        <v>30</v>
      </c>
      <c r="E139" s="69" t="s">
        <v>31</v>
      </c>
      <c r="F139" s="21" t="s">
        <v>32</v>
      </c>
      <c r="G139" s="132" t="s">
        <v>126</v>
      </c>
      <c r="H139" s="8"/>
      <c r="I139" s="8"/>
      <c r="J139" s="8"/>
      <c r="K139" s="8"/>
      <c r="L139" s="8"/>
      <c r="M139" s="8"/>
      <c r="N139" s="8"/>
      <c r="O139" s="8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">
        <v>140.0</v>
      </c>
      <c r="B140" s="131" t="s">
        <v>125</v>
      </c>
      <c r="C140" s="3" t="str">
        <f t="shared" si="1"/>
        <v>=&gt;</v>
      </c>
      <c r="D140" s="104" t="s">
        <v>62</v>
      </c>
      <c r="E140" s="97" t="s">
        <v>90</v>
      </c>
      <c r="F140" s="21" t="s">
        <v>64</v>
      </c>
      <c r="G140" s="21"/>
      <c r="H140" s="8"/>
      <c r="I140" s="8"/>
      <c r="J140" s="8"/>
      <c r="K140" s="8"/>
      <c r="L140" s="8"/>
      <c r="M140" s="8"/>
      <c r="N140" s="8"/>
      <c r="O140" s="8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">
        <v>141.0</v>
      </c>
      <c r="B141" s="131" t="s">
        <v>125</v>
      </c>
      <c r="C141" s="3" t="str">
        <f t="shared" si="1"/>
        <v>=&gt;</v>
      </c>
      <c r="D141" s="19" t="s">
        <v>8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">
        <v>142.0</v>
      </c>
      <c r="B142" s="133" t="s">
        <v>126</v>
      </c>
      <c r="C142" s="3" t="str">
        <f t="shared" si="1"/>
        <v>=&gt;</v>
      </c>
      <c r="D142" s="104" t="s">
        <v>30</v>
      </c>
      <c r="E142" s="69" t="s">
        <v>31</v>
      </c>
      <c r="F142" s="21" t="s">
        <v>32</v>
      </c>
      <c r="G142" s="8"/>
      <c r="H142" s="8"/>
      <c r="I142" s="8"/>
      <c r="J142" s="8"/>
      <c r="K142" s="8"/>
      <c r="L142" s="8"/>
      <c r="M142" s="8"/>
      <c r="N142" s="8"/>
      <c r="O142" s="8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">
        <v>143.0</v>
      </c>
      <c r="B143" s="133" t="s">
        <v>126</v>
      </c>
      <c r="C143" s="3" t="str">
        <f t="shared" si="1"/>
        <v>=&gt;</v>
      </c>
      <c r="D143" s="19" t="s">
        <v>8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">
        <v>144.0</v>
      </c>
      <c r="B144" s="129" t="s">
        <v>40</v>
      </c>
      <c r="C144" s="3" t="str">
        <f t="shared" si="1"/>
        <v>=&gt;</v>
      </c>
      <c r="D144" s="134" t="s">
        <v>39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">
        <v>145.0</v>
      </c>
      <c r="B145" s="129" t="s">
        <v>40</v>
      </c>
      <c r="C145" s="3" t="str">
        <f t="shared" si="1"/>
        <v>=&gt;</v>
      </c>
      <c r="D145" s="24" t="s">
        <v>43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">
        <v>146.0</v>
      </c>
      <c r="B146" s="129" t="s">
        <v>40</v>
      </c>
      <c r="C146" s="3" t="str">
        <f t="shared" si="1"/>
        <v>=&gt;</v>
      </c>
      <c r="D146" s="24" t="s">
        <v>44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">
        <v>147.0</v>
      </c>
      <c r="B147" s="129" t="s">
        <v>40</v>
      </c>
      <c r="C147" s="3" t="str">
        <f t="shared" si="1"/>
        <v>=&gt;</v>
      </c>
      <c r="D147" s="24" t="s">
        <v>45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">
        <v>148.0</v>
      </c>
      <c r="B148" s="129" t="s">
        <v>40</v>
      </c>
      <c r="C148" s="3" t="str">
        <f t="shared" si="1"/>
        <v>=&gt;</v>
      </c>
      <c r="D148" s="24" t="s">
        <v>127</v>
      </c>
      <c r="E148" s="19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">
        <v>149.0</v>
      </c>
      <c r="B149" s="129" t="s">
        <v>40</v>
      </c>
      <c r="C149" s="3" t="str">
        <f t="shared" si="1"/>
        <v>=&gt;</v>
      </c>
      <c r="D149" s="24" t="s">
        <v>128</v>
      </c>
      <c r="E149" s="1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">
        <v>150.0</v>
      </c>
      <c r="B150" s="129" t="s">
        <v>40</v>
      </c>
      <c r="C150" s="3" t="str">
        <f t="shared" si="1"/>
        <v>=&gt;</v>
      </c>
      <c r="D150" s="24" t="s">
        <v>129</v>
      </c>
      <c r="E150" s="1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">
        <v>151.0</v>
      </c>
      <c r="B151" s="129" t="s">
        <v>40</v>
      </c>
      <c r="C151" s="3" t="str">
        <f t="shared" si="1"/>
        <v>=&gt;</v>
      </c>
      <c r="D151" s="24" t="s">
        <v>130</v>
      </c>
      <c r="E151" s="1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">
        <v>152.0</v>
      </c>
      <c r="B152" s="92" t="s">
        <v>85</v>
      </c>
      <c r="C152" s="3" t="str">
        <f t="shared" si="1"/>
        <v>=&gt;</v>
      </c>
      <c r="D152" s="134" t="s">
        <v>131</v>
      </c>
      <c r="E152" s="24" t="s">
        <v>62</v>
      </c>
      <c r="F152" s="37" t="s">
        <v>28</v>
      </c>
      <c r="G152" s="8" t="s">
        <v>64</v>
      </c>
      <c r="H152" s="8"/>
      <c r="I152" s="8"/>
      <c r="J152" s="8"/>
      <c r="K152" s="8"/>
      <c r="L152" s="8"/>
      <c r="M152" s="8"/>
      <c r="N152" s="8"/>
      <c r="O152" s="8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">
        <v>153.0</v>
      </c>
      <c r="B153" s="92" t="s">
        <v>85</v>
      </c>
      <c r="C153" s="3" t="str">
        <f t="shared" si="1"/>
        <v>=&gt;</v>
      </c>
      <c r="D153" s="134" t="s">
        <v>132</v>
      </c>
      <c r="E153" s="24" t="s">
        <v>62</v>
      </c>
      <c r="F153" s="37" t="s">
        <v>28</v>
      </c>
      <c r="G153" s="8" t="s">
        <v>64</v>
      </c>
      <c r="H153" s="8"/>
      <c r="I153" s="8"/>
      <c r="J153" s="8"/>
      <c r="K153" s="8"/>
      <c r="L153" s="8"/>
      <c r="M153" s="8"/>
      <c r="N153" s="8"/>
      <c r="O153" s="8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">
        <v>154.0</v>
      </c>
      <c r="B154" s="92" t="s">
        <v>85</v>
      </c>
      <c r="C154" s="3" t="str">
        <f t="shared" si="1"/>
        <v>=&gt;</v>
      </c>
      <c r="D154" s="134" t="s">
        <v>133</v>
      </c>
      <c r="E154" s="24" t="s">
        <v>62</v>
      </c>
      <c r="F154" s="37" t="s">
        <v>28</v>
      </c>
      <c r="G154" s="135" t="s">
        <v>38</v>
      </c>
      <c r="H154" s="37" t="s">
        <v>28</v>
      </c>
      <c r="I154" s="21" t="s">
        <v>64</v>
      </c>
      <c r="J154" s="8"/>
      <c r="K154" s="8"/>
      <c r="L154" s="8"/>
      <c r="M154" s="8"/>
      <c r="N154" s="8"/>
      <c r="O154" s="8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">
        <v>155.0</v>
      </c>
      <c r="B155" s="92" t="s">
        <v>85</v>
      </c>
      <c r="C155" s="3" t="str">
        <f t="shared" si="1"/>
        <v>=&gt;</v>
      </c>
      <c r="D155" s="134" t="s">
        <v>134</v>
      </c>
      <c r="E155" s="24" t="s">
        <v>62</v>
      </c>
      <c r="F155" s="37" t="s">
        <v>28</v>
      </c>
      <c r="G155" s="8" t="s">
        <v>64</v>
      </c>
      <c r="H155" s="8"/>
      <c r="I155" s="8"/>
      <c r="J155" s="8"/>
      <c r="K155" s="8"/>
      <c r="L155" s="8"/>
      <c r="M155" s="8"/>
      <c r="N155" s="8"/>
      <c r="O155" s="8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">
        <v>156.0</v>
      </c>
      <c r="B156" s="97" t="s">
        <v>90</v>
      </c>
      <c r="C156" s="3" t="str">
        <f t="shared" si="1"/>
        <v>=&gt;</v>
      </c>
      <c r="D156" s="37" t="s">
        <v>28</v>
      </c>
      <c r="E156" s="136" t="s">
        <v>135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">
        <v>157.0</v>
      </c>
      <c r="B157" s="97" t="s">
        <v>90</v>
      </c>
      <c r="C157" s="3" t="str">
        <f t="shared" si="1"/>
        <v>=&gt;</v>
      </c>
      <c r="D157" s="19" t="s">
        <v>8</v>
      </c>
      <c r="E157" s="1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">
        <v>158.0</v>
      </c>
      <c r="B158" s="136" t="s">
        <v>135</v>
      </c>
      <c r="C158" s="3" t="str">
        <f t="shared" si="1"/>
        <v>=&gt;</v>
      </c>
      <c r="D158" s="19" t="s">
        <v>38</v>
      </c>
      <c r="E158" s="97" t="s">
        <v>90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">
        <v>159.0</v>
      </c>
      <c r="B159" s="136" t="s">
        <v>135</v>
      </c>
      <c r="C159" s="3" t="str">
        <f t="shared" si="1"/>
        <v>=&gt;</v>
      </c>
      <c r="D159" s="19" t="s">
        <v>8</v>
      </c>
      <c r="E159" s="1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">
        <v>160.0</v>
      </c>
      <c r="B160" s="137" t="s">
        <v>82</v>
      </c>
      <c r="C160" s="3" t="str">
        <f t="shared" si="1"/>
        <v>=&gt;</v>
      </c>
      <c r="D160" s="138" t="s">
        <v>136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">
        <v>161.0</v>
      </c>
      <c r="B161" s="137" t="s">
        <v>82</v>
      </c>
      <c r="C161" s="3" t="str">
        <f t="shared" si="1"/>
        <v>=&gt;</v>
      </c>
      <c r="D161" s="139" t="s">
        <v>137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">
        <v>162.0</v>
      </c>
      <c r="B162" s="138" t="s">
        <v>136</v>
      </c>
      <c r="C162" s="3" t="str">
        <f t="shared" si="1"/>
        <v>=&gt;</v>
      </c>
      <c r="D162" s="21" t="s">
        <v>138</v>
      </c>
      <c r="E162" s="21" t="s">
        <v>62</v>
      </c>
      <c r="F162" s="140" t="s">
        <v>139</v>
      </c>
      <c r="G162" s="21" t="s">
        <v>64</v>
      </c>
      <c r="H162" s="21" t="s">
        <v>6</v>
      </c>
      <c r="I162" s="8"/>
      <c r="J162" s="8"/>
      <c r="K162" s="8"/>
      <c r="L162" s="8"/>
      <c r="M162" s="8"/>
      <c r="N162" s="8"/>
      <c r="O162" s="8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">
        <v>163.0</v>
      </c>
      <c r="B163" s="140" t="s">
        <v>139</v>
      </c>
      <c r="C163" s="3" t="str">
        <f t="shared" si="1"/>
        <v>=&gt;</v>
      </c>
      <c r="D163" s="21" t="s">
        <v>14</v>
      </c>
      <c r="E163" s="141" t="s">
        <v>140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">
        <v>164.0</v>
      </c>
      <c r="B164" s="141" t="s">
        <v>140</v>
      </c>
      <c r="C164" s="3" t="str">
        <f t="shared" si="1"/>
        <v>=&gt;</v>
      </c>
      <c r="D164" s="21" t="s">
        <v>30</v>
      </c>
      <c r="E164" s="69" t="s">
        <v>31</v>
      </c>
      <c r="F164" s="21" t="s">
        <v>32</v>
      </c>
      <c r="G164" s="132" t="s">
        <v>126</v>
      </c>
      <c r="H164" s="8"/>
      <c r="I164" s="8"/>
      <c r="J164" s="8"/>
      <c r="K164" s="8"/>
      <c r="L164" s="8"/>
      <c r="M164" s="8"/>
      <c r="N164" s="8"/>
      <c r="O164" s="8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">
        <v>165.0</v>
      </c>
      <c r="B165" s="141" t="s">
        <v>140</v>
      </c>
      <c r="C165" s="3" t="str">
        <f t="shared" si="1"/>
        <v>=&gt;</v>
      </c>
      <c r="D165" s="142" t="s">
        <v>91</v>
      </c>
      <c r="E165" s="14" t="s">
        <v>14</v>
      </c>
      <c r="F165" s="143"/>
      <c r="G165" s="143"/>
      <c r="H165" s="143"/>
      <c r="I165" s="8"/>
      <c r="J165" s="8"/>
      <c r="K165" s="8"/>
      <c r="L165" s="8"/>
      <c r="M165" s="8"/>
      <c r="N165" s="8"/>
      <c r="O165" s="8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">
        <v>166.0</v>
      </c>
      <c r="B166" s="141" t="s">
        <v>140</v>
      </c>
      <c r="C166" s="3" t="str">
        <f t="shared" si="1"/>
        <v>=&gt;</v>
      </c>
      <c r="D166" s="19" t="s">
        <v>8</v>
      </c>
      <c r="E166" s="143"/>
      <c r="F166" s="143"/>
      <c r="G166" s="143"/>
      <c r="H166" s="143"/>
      <c r="I166" s="8"/>
      <c r="J166" s="8"/>
      <c r="K166" s="8"/>
      <c r="L166" s="8"/>
      <c r="M166" s="8"/>
      <c r="N166" s="8"/>
      <c r="O166" s="8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">
        <v>167.0</v>
      </c>
      <c r="B167" s="139" t="s">
        <v>137</v>
      </c>
      <c r="C167" s="3" t="str">
        <f t="shared" si="1"/>
        <v>=&gt;</v>
      </c>
      <c r="D167" s="19" t="s">
        <v>141</v>
      </c>
      <c r="E167" s="19" t="s">
        <v>62</v>
      </c>
      <c r="F167" s="144" t="s">
        <v>142</v>
      </c>
      <c r="G167" s="145" t="s">
        <v>64</v>
      </c>
      <c r="H167" s="145" t="s">
        <v>6</v>
      </c>
      <c r="I167" s="8"/>
      <c r="J167" s="8"/>
      <c r="K167" s="8"/>
      <c r="L167" s="8"/>
      <c r="M167" s="8"/>
      <c r="N167" s="8"/>
      <c r="O167" s="8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">
        <v>168.0</v>
      </c>
      <c r="B168" s="139" t="s">
        <v>137</v>
      </c>
      <c r="C168" s="3" t="str">
        <f t="shared" si="1"/>
        <v>=&gt;</v>
      </c>
      <c r="D168" s="19" t="s">
        <v>143</v>
      </c>
      <c r="E168" s="19" t="s">
        <v>62</v>
      </c>
      <c r="F168" s="144" t="s">
        <v>142</v>
      </c>
      <c r="G168" s="145" t="s">
        <v>64</v>
      </c>
      <c r="H168" s="145" t="s">
        <v>6</v>
      </c>
      <c r="I168" s="8"/>
      <c r="J168" s="8"/>
      <c r="K168" s="8"/>
      <c r="L168" s="8"/>
      <c r="M168" s="8"/>
      <c r="N168" s="8"/>
      <c r="O168" s="8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">
        <v>169.0</v>
      </c>
      <c r="B169" s="146" t="s">
        <v>142</v>
      </c>
      <c r="C169" s="3" t="str">
        <f t="shared" si="1"/>
        <v>=&gt;</v>
      </c>
      <c r="D169" s="147" t="s">
        <v>28</v>
      </c>
      <c r="E169" s="148" t="s">
        <v>144</v>
      </c>
      <c r="F169" s="19"/>
      <c r="G169" s="143"/>
      <c r="H169" s="143"/>
      <c r="I169" s="8"/>
      <c r="J169" s="8"/>
      <c r="K169" s="8"/>
      <c r="L169" s="8"/>
      <c r="M169" s="8"/>
      <c r="N169" s="8"/>
      <c r="O169" s="8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">
        <v>170.0</v>
      </c>
      <c r="B170" s="149" t="s">
        <v>144</v>
      </c>
      <c r="C170" s="3" t="str">
        <f t="shared" si="1"/>
        <v>=&gt;</v>
      </c>
      <c r="D170" s="145" t="s">
        <v>38</v>
      </c>
      <c r="E170" s="150" t="s">
        <v>28</v>
      </c>
      <c r="F170" s="148" t="s">
        <v>144</v>
      </c>
      <c r="G170" s="143"/>
      <c r="H170" s="143"/>
      <c r="I170" s="8"/>
      <c r="J170" s="8"/>
      <c r="K170" s="8"/>
      <c r="L170" s="8"/>
      <c r="M170" s="8"/>
      <c r="N170" s="8"/>
      <c r="O170" s="8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">
        <v>171.0</v>
      </c>
      <c r="B171" s="149" t="s">
        <v>144</v>
      </c>
      <c r="C171" s="3" t="str">
        <f t="shared" si="1"/>
        <v>=&gt;</v>
      </c>
      <c r="D171" s="19" t="s">
        <v>8</v>
      </c>
      <c r="E171" s="143"/>
      <c r="F171" s="143"/>
      <c r="G171" s="143"/>
      <c r="H171" s="143"/>
      <c r="I171" s="8"/>
      <c r="J171" s="8"/>
      <c r="K171" s="8"/>
      <c r="L171" s="8"/>
      <c r="M171" s="8"/>
      <c r="N171" s="8"/>
      <c r="O171" s="8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">
        <v>172.0</v>
      </c>
      <c r="B172" s="151" t="s">
        <v>83</v>
      </c>
      <c r="C172" s="3" t="str">
        <f t="shared" si="1"/>
        <v>=&gt;</v>
      </c>
      <c r="D172" s="152" t="s">
        <v>145</v>
      </c>
      <c r="E172" s="153"/>
      <c r="F172" s="143"/>
      <c r="G172" s="143"/>
      <c r="H172" s="143"/>
      <c r="I172" s="8"/>
      <c r="J172" s="8"/>
      <c r="K172" s="8"/>
      <c r="L172" s="8"/>
      <c r="M172" s="8"/>
      <c r="N172" s="8"/>
      <c r="O172" s="8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">
        <v>173.0</v>
      </c>
      <c r="B173" s="151" t="s">
        <v>83</v>
      </c>
      <c r="C173" s="3" t="str">
        <f t="shared" si="1"/>
        <v>=&gt;</v>
      </c>
      <c r="D173" s="154" t="s">
        <v>146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">
        <v>174.0</v>
      </c>
      <c r="B174" s="155" t="s">
        <v>145</v>
      </c>
      <c r="C174" s="3" t="str">
        <f t="shared" si="1"/>
        <v>=&gt;</v>
      </c>
      <c r="D174" s="156" t="s">
        <v>147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">
        <v>175.0</v>
      </c>
      <c r="B175" s="155" t="s">
        <v>145</v>
      </c>
      <c r="C175" s="3" t="str">
        <f t="shared" si="1"/>
        <v>=&gt;</v>
      </c>
      <c r="D175" s="157" t="s">
        <v>148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">
        <v>176.0</v>
      </c>
      <c r="B176" s="156" t="s">
        <v>147</v>
      </c>
      <c r="C176" s="3" t="str">
        <f t="shared" si="1"/>
        <v>=&gt;</v>
      </c>
      <c r="D176" s="21" t="s">
        <v>149</v>
      </c>
      <c r="E176" s="21" t="s">
        <v>62</v>
      </c>
      <c r="F176" s="158" t="s">
        <v>150</v>
      </c>
      <c r="G176" s="21" t="s">
        <v>64</v>
      </c>
      <c r="H176" s="21" t="s">
        <v>17</v>
      </c>
      <c r="I176" s="159" t="s">
        <v>151</v>
      </c>
      <c r="J176" s="160" t="s">
        <v>152</v>
      </c>
      <c r="K176" s="21" t="s">
        <v>19</v>
      </c>
      <c r="L176" s="161" t="s">
        <v>153</v>
      </c>
      <c r="M176" s="8"/>
      <c r="N176" s="8"/>
      <c r="O176" s="8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">
        <v>177.0</v>
      </c>
      <c r="B177" s="162" t="s">
        <v>150</v>
      </c>
      <c r="C177" s="3" t="str">
        <f t="shared" si="1"/>
        <v>=&gt;</v>
      </c>
      <c r="D177" s="163" t="s">
        <v>154</v>
      </c>
      <c r="E177" s="164" t="s">
        <v>155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">
        <v>178.0</v>
      </c>
      <c r="B178" s="164" t="s">
        <v>155</v>
      </c>
      <c r="C178" s="3" t="str">
        <f t="shared" si="1"/>
        <v>=&gt;</v>
      </c>
      <c r="D178" s="14" t="s">
        <v>105</v>
      </c>
      <c r="E178" s="163" t="s">
        <v>154</v>
      </c>
      <c r="F178" s="164" t="s">
        <v>155</v>
      </c>
      <c r="G178" s="8"/>
      <c r="H178" s="8"/>
      <c r="I178" s="8"/>
      <c r="J178" s="8"/>
      <c r="K178" s="8"/>
      <c r="L178" s="8"/>
      <c r="M178" s="8"/>
      <c r="N178" s="8"/>
      <c r="O178" s="8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">
        <v>179.0</v>
      </c>
      <c r="B179" s="164" t="s">
        <v>155</v>
      </c>
      <c r="C179" s="3" t="str">
        <f t="shared" si="1"/>
        <v>=&gt;</v>
      </c>
      <c r="D179" s="19" t="s">
        <v>8</v>
      </c>
      <c r="E179" s="19"/>
      <c r="F179" s="19"/>
      <c r="G179" s="8"/>
      <c r="H179" s="8"/>
      <c r="I179" s="8"/>
      <c r="J179" s="8"/>
      <c r="K179" s="8"/>
      <c r="L179" s="8"/>
      <c r="M179" s="8"/>
      <c r="N179" s="8"/>
      <c r="O179" s="8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">
        <v>180.0</v>
      </c>
      <c r="B180" s="163" t="s">
        <v>154</v>
      </c>
      <c r="C180" s="3" t="str">
        <f t="shared" si="1"/>
        <v>=&gt;</v>
      </c>
      <c r="D180" s="165" t="s">
        <v>156</v>
      </c>
      <c r="E180" s="166" t="s">
        <v>157</v>
      </c>
      <c r="F180" s="19"/>
      <c r="G180" s="8"/>
      <c r="H180" s="8"/>
      <c r="I180" s="8"/>
      <c r="J180" s="8"/>
      <c r="K180" s="8"/>
      <c r="L180" s="8"/>
      <c r="M180" s="8"/>
      <c r="N180" s="8"/>
      <c r="O180" s="8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">
        <v>181.0</v>
      </c>
      <c r="B181" s="166" t="s">
        <v>157</v>
      </c>
      <c r="C181" s="3" t="str">
        <f t="shared" si="1"/>
        <v>=&gt;</v>
      </c>
      <c r="D181" s="21" t="s">
        <v>108</v>
      </c>
      <c r="E181" s="165" t="s">
        <v>156</v>
      </c>
      <c r="F181" s="166" t="s">
        <v>157</v>
      </c>
      <c r="G181" s="8"/>
      <c r="H181" s="8"/>
      <c r="I181" s="8"/>
      <c r="J181" s="8"/>
      <c r="K181" s="8"/>
      <c r="L181" s="8"/>
      <c r="M181" s="8"/>
      <c r="N181" s="8"/>
      <c r="O181" s="8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">
        <v>182.0</v>
      </c>
      <c r="B182" s="166" t="s">
        <v>157</v>
      </c>
      <c r="C182" s="3" t="str">
        <f t="shared" si="1"/>
        <v>=&gt;</v>
      </c>
      <c r="D182" s="19" t="s">
        <v>8</v>
      </c>
      <c r="E182" s="10"/>
      <c r="F182" s="19"/>
      <c r="G182" s="8"/>
      <c r="H182" s="8"/>
      <c r="I182" s="8"/>
      <c r="J182" s="8"/>
      <c r="K182" s="8"/>
      <c r="L182" s="8"/>
      <c r="M182" s="8"/>
      <c r="N182" s="8"/>
      <c r="O182" s="8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">
        <v>183.0</v>
      </c>
      <c r="B183" s="165" t="s">
        <v>156</v>
      </c>
      <c r="C183" s="3" t="str">
        <f t="shared" si="1"/>
        <v>=&gt;</v>
      </c>
      <c r="D183" s="21" t="s">
        <v>109</v>
      </c>
      <c r="E183" s="167" t="s">
        <v>156</v>
      </c>
      <c r="F183" s="19"/>
      <c r="G183" s="8"/>
      <c r="H183" s="8"/>
      <c r="I183" s="8"/>
      <c r="J183" s="8"/>
      <c r="K183" s="8"/>
      <c r="L183" s="8"/>
      <c r="M183" s="8"/>
      <c r="N183" s="8"/>
      <c r="O183" s="8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">
        <v>184.0</v>
      </c>
      <c r="B184" s="165" t="s">
        <v>156</v>
      </c>
      <c r="C184" s="3" t="str">
        <f t="shared" si="1"/>
        <v>=&gt;</v>
      </c>
      <c r="D184" s="168" t="s">
        <v>158</v>
      </c>
      <c r="E184" s="8"/>
      <c r="F184" s="8"/>
      <c r="G184" s="21" t="s">
        <v>159</v>
      </c>
      <c r="H184" s="8"/>
      <c r="I184" s="8"/>
      <c r="J184" s="8"/>
      <c r="K184" s="8"/>
      <c r="L184" s="8"/>
      <c r="M184" s="8"/>
      <c r="N184" s="8"/>
      <c r="O184" s="8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">
        <v>185.0</v>
      </c>
      <c r="B185" s="169" t="s">
        <v>158</v>
      </c>
      <c r="C185" s="3" t="str">
        <f t="shared" si="1"/>
        <v>=&gt;</v>
      </c>
      <c r="D185" s="10" t="s">
        <v>14</v>
      </c>
      <c r="E185" s="128" t="s">
        <v>124</v>
      </c>
      <c r="F185" s="121" t="s">
        <v>118</v>
      </c>
      <c r="G185" s="116" t="s">
        <v>114</v>
      </c>
      <c r="H185" s="170" t="s">
        <v>160</v>
      </c>
      <c r="I185" s="8"/>
      <c r="J185" s="8"/>
      <c r="K185" s="8"/>
      <c r="L185" s="8"/>
      <c r="M185" s="8"/>
      <c r="N185" s="8"/>
      <c r="O185" s="8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">
        <v>186.0</v>
      </c>
      <c r="B186" s="169" t="s">
        <v>158</v>
      </c>
      <c r="C186" s="3" t="str">
        <f t="shared" si="1"/>
        <v>=&gt;</v>
      </c>
      <c r="D186" s="10" t="s">
        <v>129</v>
      </c>
      <c r="E186" s="121" t="s">
        <v>118</v>
      </c>
      <c r="F186" s="116" t="s">
        <v>114</v>
      </c>
      <c r="G186" s="170" t="s">
        <v>160</v>
      </c>
      <c r="H186" s="8"/>
      <c r="I186" s="8"/>
      <c r="J186" s="8"/>
      <c r="K186" s="8"/>
      <c r="L186" s="8"/>
      <c r="M186" s="8"/>
      <c r="N186" s="8"/>
      <c r="O186" s="8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">
        <v>187.0</v>
      </c>
      <c r="B187" s="169" t="s">
        <v>158</v>
      </c>
      <c r="C187" s="3" t="str">
        <f t="shared" si="1"/>
        <v>=&gt;</v>
      </c>
      <c r="D187" s="10" t="s">
        <v>130</v>
      </c>
      <c r="E187" s="121" t="s">
        <v>118</v>
      </c>
      <c r="F187" s="116" t="s">
        <v>114</v>
      </c>
      <c r="G187" s="170" t="s">
        <v>160</v>
      </c>
      <c r="H187" s="8"/>
      <c r="I187" s="8"/>
      <c r="J187" s="8"/>
      <c r="K187" s="8"/>
      <c r="L187" s="8"/>
      <c r="M187" s="8"/>
      <c r="N187" s="8"/>
      <c r="O187" s="8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">
        <v>188.0</v>
      </c>
      <c r="B188" s="169" t="s">
        <v>158</v>
      </c>
      <c r="C188" s="3" t="str">
        <f t="shared" si="1"/>
        <v>=&gt;</v>
      </c>
      <c r="D188" s="10" t="s">
        <v>62</v>
      </c>
      <c r="E188" s="124" t="s">
        <v>123</v>
      </c>
      <c r="F188" s="121" t="s">
        <v>118</v>
      </c>
      <c r="G188" s="116" t="s">
        <v>114</v>
      </c>
      <c r="H188" s="170" t="s">
        <v>160</v>
      </c>
      <c r="I188" s="8"/>
      <c r="J188" s="8"/>
      <c r="K188" s="8"/>
      <c r="L188" s="8"/>
      <c r="M188" s="8"/>
      <c r="N188" s="8"/>
      <c r="O188" s="8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">
        <v>189.0</v>
      </c>
      <c r="B189" s="169" t="s">
        <v>158</v>
      </c>
      <c r="C189" s="3" t="str">
        <f t="shared" si="1"/>
        <v>=&gt;</v>
      </c>
      <c r="D189" s="171" t="s">
        <v>161</v>
      </c>
      <c r="E189" s="121" t="s">
        <v>118</v>
      </c>
      <c r="F189" s="116" t="s">
        <v>114</v>
      </c>
      <c r="G189" s="172" t="s">
        <v>112</v>
      </c>
      <c r="H189" s="173" t="s">
        <v>111</v>
      </c>
      <c r="I189" s="8"/>
      <c r="J189" s="8"/>
      <c r="K189" s="8"/>
      <c r="L189" s="8"/>
      <c r="M189" s="8"/>
      <c r="N189" s="8"/>
      <c r="O189" s="8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">
        <v>190.0</v>
      </c>
      <c r="B190" s="169" t="s">
        <v>158</v>
      </c>
      <c r="C190" s="3" t="str">
        <f t="shared" si="1"/>
        <v>=&gt;</v>
      </c>
      <c r="D190" s="174" t="s">
        <v>85</v>
      </c>
      <c r="E190" s="121" t="s">
        <v>118</v>
      </c>
      <c r="F190" s="116" t="s">
        <v>114</v>
      </c>
      <c r="G190" s="170" t="s">
        <v>160</v>
      </c>
      <c r="H190" s="8"/>
      <c r="I190" s="8"/>
      <c r="J190" s="8"/>
      <c r="K190" s="8"/>
      <c r="L190" s="8"/>
      <c r="M190" s="8"/>
      <c r="N190" s="8"/>
      <c r="O190" s="8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">
        <v>191.0</v>
      </c>
      <c r="B191" s="170" t="s">
        <v>160</v>
      </c>
      <c r="C191" s="3" t="str">
        <f t="shared" si="1"/>
        <v>=&gt;</v>
      </c>
      <c r="D191" s="175" t="s">
        <v>112</v>
      </c>
      <c r="E191" s="113" t="s">
        <v>111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">
        <v>192.0</v>
      </c>
      <c r="B192" s="170" t="s">
        <v>160</v>
      </c>
      <c r="C192" s="3" t="str">
        <f t="shared" si="1"/>
        <v>=&gt;</v>
      </c>
      <c r="D192" s="19" t="s">
        <v>8</v>
      </c>
      <c r="E192" s="10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">
        <v>193.0</v>
      </c>
      <c r="B193" s="171" t="s">
        <v>161</v>
      </c>
      <c r="C193" s="3" t="str">
        <f t="shared" si="1"/>
        <v>=&gt;</v>
      </c>
      <c r="D193" s="10" t="s">
        <v>41</v>
      </c>
      <c r="E193" s="176" t="s">
        <v>117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">
        <v>194.0</v>
      </c>
      <c r="B194" s="171" t="s">
        <v>161</v>
      </c>
      <c r="C194" s="3" t="str">
        <f t="shared" si="1"/>
        <v>=&gt;</v>
      </c>
      <c r="D194" s="134" t="s">
        <v>39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">
        <v>195.0</v>
      </c>
      <c r="B195" s="171" t="s">
        <v>161</v>
      </c>
      <c r="C195" s="3" t="str">
        <f t="shared" si="1"/>
        <v>=&gt;</v>
      </c>
      <c r="D195" s="24" t="s">
        <v>43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">
        <v>196.0</v>
      </c>
      <c r="B196" s="171" t="s">
        <v>161</v>
      </c>
      <c r="C196" s="3" t="str">
        <f t="shared" si="1"/>
        <v>=&gt;</v>
      </c>
      <c r="D196" s="24" t="s">
        <v>44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">
        <v>197.0</v>
      </c>
      <c r="B197" s="171" t="s">
        <v>161</v>
      </c>
      <c r="C197" s="3" t="str">
        <f t="shared" si="1"/>
        <v>=&gt;</v>
      </c>
      <c r="D197" s="24" t="s">
        <v>45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">
        <v>198.0</v>
      </c>
      <c r="B198" s="171" t="s">
        <v>161</v>
      </c>
      <c r="C198" s="3" t="str">
        <f t="shared" si="1"/>
        <v>=&gt;</v>
      </c>
      <c r="D198" s="24" t="s">
        <v>127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">
        <v>199.0</v>
      </c>
      <c r="B199" s="171" t="s">
        <v>161</v>
      </c>
      <c r="C199" s="3" t="str">
        <f t="shared" si="1"/>
        <v>=&gt;</v>
      </c>
      <c r="D199" s="24" t="s">
        <v>128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">
        <v>200.0</v>
      </c>
      <c r="B200" s="175" t="s">
        <v>112</v>
      </c>
      <c r="C200" s="3" t="str">
        <f t="shared" si="1"/>
        <v>=&gt;</v>
      </c>
      <c r="D200" s="10" t="s">
        <v>162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">
        <v>201.0</v>
      </c>
      <c r="B201" s="175" t="s">
        <v>112</v>
      </c>
      <c r="C201" s="3" t="str">
        <f t="shared" si="1"/>
        <v>=&gt;</v>
      </c>
      <c r="D201" s="10" t="s">
        <v>163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">
        <v>202.0</v>
      </c>
      <c r="B202" s="175" t="s">
        <v>112</v>
      </c>
      <c r="C202" s="3" t="str">
        <f t="shared" si="1"/>
        <v>=&gt;</v>
      </c>
      <c r="D202" s="10" t="s">
        <v>164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">
        <v>203.0</v>
      </c>
      <c r="B203" s="175" t="s">
        <v>112</v>
      </c>
      <c r="C203" s="3" t="str">
        <f t="shared" si="1"/>
        <v>=&gt;</v>
      </c>
      <c r="D203" s="10" t="s">
        <v>165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">
        <v>204.0</v>
      </c>
      <c r="B204" s="175" t="s">
        <v>112</v>
      </c>
      <c r="C204" s="3" t="str">
        <f t="shared" si="1"/>
        <v>=&gt;</v>
      </c>
      <c r="D204" s="10" t="s">
        <v>166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">
        <v>205.0</v>
      </c>
      <c r="B205" s="175" t="s">
        <v>112</v>
      </c>
      <c r="C205" s="3" t="str">
        <f t="shared" si="1"/>
        <v>=&gt;</v>
      </c>
      <c r="D205" s="10" t="s">
        <v>167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">
        <v>206.0</v>
      </c>
      <c r="B206" s="177" t="s">
        <v>151</v>
      </c>
      <c r="C206" s="3" t="str">
        <f t="shared" si="1"/>
        <v>=&gt;</v>
      </c>
      <c r="D206" s="78" t="s">
        <v>74</v>
      </c>
      <c r="E206" s="178" t="s">
        <v>168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">
        <v>207.0</v>
      </c>
      <c r="B207" s="178" t="s">
        <v>168</v>
      </c>
      <c r="C207" s="3" t="str">
        <f t="shared" si="1"/>
        <v>=&gt;</v>
      </c>
      <c r="D207" s="79" t="s">
        <v>75</v>
      </c>
      <c r="E207" s="179" t="s">
        <v>169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">
        <v>208.0</v>
      </c>
      <c r="B208" s="179" t="s">
        <v>169</v>
      </c>
      <c r="C208" s="3" t="str">
        <f t="shared" si="1"/>
        <v>=&gt;</v>
      </c>
      <c r="D208" s="19" t="s">
        <v>170</v>
      </c>
      <c r="E208" s="21" t="s">
        <v>6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">
        <v>209.0</v>
      </c>
      <c r="B209" s="179" t="s">
        <v>169</v>
      </c>
      <c r="C209" s="3" t="str">
        <f t="shared" si="1"/>
        <v>=&gt;</v>
      </c>
      <c r="D209" s="19" t="s">
        <v>8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">
        <v>210.0</v>
      </c>
      <c r="B210" s="180" t="s">
        <v>152</v>
      </c>
      <c r="C210" s="3" t="str">
        <f t="shared" si="1"/>
        <v>=&gt;</v>
      </c>
      <c r="D210" s="181" t="s">
        <v>66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">
        <v>211.0</v>
      </c>
      <c r="B211" s="180" t="s">
        <v>152</v>
      </c>
      <c r="C211" s="3" t="str">
        <f t="shared" si="1"/>
        <v>=&gt;</v>
      </c>
      <c r="D211" s="19" t="s">
        <v>8</v>
      </c>
      <c r="E211" s="1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">
        <v>212.0</v>
      </c>
      <c r="B212" s="182" t="s">
        <v>153</v>
      </c>
      <c r="C212" s="3" t="str">
        <f t="shared" si="1"/>
        <v>=&gt;</v>
      </c>
      <c r="D212" s="21" t="s">
        <v>171</v>
      </c>
      <c r="E212" s="183" t="s">
        <v>172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">
        <v>213.0</v>
      </c>
      <c r="B213" s="182" t="s">
        <v>153</v>
      </c>
      <c r="C213" s="3" t="str">
        <f t="shared" si="1"/>
        <v>=&gt;</v>
      </c>
      <c r="D213" s="19" t="s">
        <v>8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">
        <v>214.0</v>
      </c>
      <c r="B214" s="184" t="s">
        <v>172</v>
      </c>
      <c r="C214" s="3" t="str">
        <f t="shared" si="1"/>
        <v>=&gt;</v>
      </c>
      <c r="D214" s="185" t="s">
        <v>147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">
        <v>215.0</v>
      </c>
      <c r="B215" s="184" t="s">
        <v>172</v>
      </c>
      <c r="C215" s="3" t="str">
        <f t="shared" si="1"/>
        <v>=&gt;</v>
      </c>
      <c r="D215" s="21" t="s">
        <v>17</v>
      </c>
      <c r="E215" s="159" t="s">
        <v>151</v>
      </c>
      <c r="F215" s="160" t="s">
        <v>152</v>
      </c>
      <c r="G215" s="21" t="s">
        <v>19</v>
      </c>
      <c r="H215" s="8"/>
      <c r="I215" s="8"/>
      <c r="J215" s="8"/>
      <c r="K215" s="8"/>
      <c r="L215" s="8"/>
      <c r="M215" s="8"/>
      <c r="N215" s="8"/>
      <c r="O215" s="8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">
        <v>216.0</v>
      </c>
      <c r="B216" s="157" t="s">
        <v>148</v>
      </c>
      <c r="C216" s="3" t="str">
        <f t="shared" si="1"/>
        <v>=&gt;</v>
      </c>
      <c r="D216" s="21" t="s">
        <v>173</v>
      </c>
      <c r="E216" s="21" t="s">
        <v>62</v>
      </c>
      <c r="F216" s="186" t="s">
        <v>174</v>
      </c>
      <c r="G216" s="21" t="s">
        <v>64</v>
      </c>
      <c r="H216" s="21" t="s">
        <v>17</v>
      </c>
      <c r="I216" s="187" t="s">
        <v>175</v>
      </c>
      <c r="J216" s="188" t="s">
        <v>176</v>
      </c>
      <c r="K216" s="21" t="s">
        <v>19</v>
      </c>
      <c r="L216" s="8"/>
      <c r="M216" s="8"/>
      <c r="N216" s="8"/>
      <c r="O216" s="8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">
        <v>217.0</v>
      </c>
      <c r="B217" s="187" t="s">
        <v>175</v>
      </c>
      <c r="C217" s="3" t="str">
        <f t="shared" si="1"/>
        <v>=&gt;</v>
      </c>
      <c r="D217" s="189" t="s">
        <v>177</v>
      </c>
      <c r="E217" s="190" t="s">
        <v>175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">
        <v>218.0</v>
      </c>
      <c r="B218" s="187" t="s">
        <v>175</v>
      </c>
      <c r="C218" s="3" t="str">
        <f t="shared" si="1"/>
        <v>=&gt;</v>
      </c>
      <c r="D218" s="19" t="s">
        <v>8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">
        <v>219.0</v>
      </c>
      <c r="B219" s="191" t="s">
        <v>174</v>
      </c>
      <c r="C219" s="3" t="str">
        <f t="shared" si="1"/>
        <v>=&gt;</v>
      </c>
      <c r="D219" s="192" t="s">
        <v>100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">
        <v>220.0</v>
      </c>
      <c r="B220" s="189" t="s">
        <v>177</v>
      </c>
      <c r="C220" s="3" t="str">
        <f t="shared" si="1"/>
        <v>=&gt;</v>
      </c>
      <c r="D220" s="21" t="s">
        <v>178</v>
      </c>
      <c r="E220" s="193" t="s">
        <v>179</v>
      </c>
      <c r="F220" s="21" t="s">
        <v>180</v>
      </c>
      <c r="G220" s="159" t="s">
        <v>151</v>
      </c>
      <c r="H220" s="160" t="s">
        <v>152</v>
      </c>
      <c r="I220" s="19"/>
      <c r="J220" s="8"/>
      <c r="K220" s="8"/>
      <c r="L220" s="8"/>
      <c r="M220" s="8"/>
      <c r="N220" s="8"/>
      <c r="O220" s="8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">
        <v>221.0</v>
      </c>
      <c r="B221" s="193" t="s">
        <v>179</v>
      </c>
      <c r="C221" s="3" t="str">
        <f t="shared" si="1"/>
        <v>=&gt;</v>
      </c>
      <c r="D221" s="194" t="s">
        <v>181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">
        <v>222.0</v>
      </c>
      <c r="B222" s="194" t="s">
        <v>181</v>
      </c>
      <c r="C222" s="3" t="str">
        <f t="shared" si="1"/>
        <v>=&gt;</v>
      </c>
      <c r="D222" s="10" t="s">
        <v>127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">
        <v>223.0</v>
      </c>
      <c r="B223" s="194" t="s">
        <v>181</v>
      </c>
      <c r="C223" s="3" t="str">
        <f t="shared" si="1"/>
        <v>=&gt;</v>
      </c>
      <c r="D223" s="10" t="s">
        <v>129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">
        <v>224.0</v>
      </c>
      <c r="B224" s="194" t="s">
        <v>181</v>
      </c>
      <c r="C224" s="3" t="str">
        <f t="shared" si="1"/>
        <v>=&gt;</v>
      </c>
      <c r="D224" s="10" t="s">
        <v>130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">
        <v>225.0</v>
      </c>
      <c r="B225" s="194" t="s">
        <v>181</v>
      </c>
      <c r="C225" s="3" t="str">
        <f t="shared" si="1"/>
        <v>=&gt;</v>
      </c>
      <c r="D225" s="10" t="s">
        <v>39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">
        <v>226.0</v>
      </c>
      <c r="B226" s="194" t="s">
        <v>181</v>
      </c>
      <c r="C226" s="3" t="str">
        <f t="shared" si="1"/>
        <v>=&gt;</v>
      </c>
      <c r="D226" s="10" t="s">
        <v>43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">
        <v>227.0</v>
      </c>
      <c r="B227" s="194" t="s">
        <v>181</v>
      </c>
      <c r="C227" s="3" t="str">
        <f t="shared" si="1"/>
        <v>=&gt;</v>
      </c>
      <c r="D227" s="10" t="s">
        <v>41</v>
      </c>
      <c r="E227" s="195" t="s">
        <v>182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">
        <v>228.0</v>
      </c>
      <c r="B228" s="195" t="s">
        <v>182</v>
      </c>
      <c r="C228" s="3" t="str">
        <f t="shared" si="1"/>
        <v>=&gt;</v>
      </c>
      <c r="D228" s="10" t="s">
        <v>39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">
        <v>229.0</v>
      </c>
      <c r="B229" s="195" t="s">
        <v>182</v>
      </c>
      <c r="C229" s="3" t="str">
        <f t="shared" si="1"/>
        <v>=&gt;</v>
      </c>
      <c r="D229" s="10" t="s">
        <v>43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">
        <v>230.0</v>
      </c>
      <c r="B230" s="196" t="s">
        <v>176</v>
      </c>
      <c r="C230" s="3" t="str">
        <f t="shared" si="1"/>
        <v>=&gt;</v>
      </c>
      <c r="D230" s="21" t="s">
        <v>183</v>
      </c>
      <c r="E230" s="21" t="s">
        <v>180</v>
      </c>
      <c r="F230" s="159" t="s">
        <v>151</v>
      </c>
      <c r="G230" s="197" t="s">
        <v>152</v>
      </c>
      <c r="H230" s="8"/>
      <c r="I230" s="8"/>
      <c r="J230" s="8"/>
      <c r="K230" s="8"/>
      <c r="L230" s="8"/>
      <c r="M230" s="8"/>
      <c r="N230" s="8"/>
      <c r="O230" s="8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">
        <v>231.0</v>
      </c>
      <c r="B231" s="196" t="s">
        <v>176</v>
      </c>
      <c r="C231" s="3" t="str">
        <f t="shared" si="1"/>
        <v>=&gt;</v>
      </c>
      <c r="D231" s="19" t="s">
        <v>8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">
        <v>232.0</v>
      </c>
      <c r="B232" s="198" t="s">
        <v>146</v>
      </c>
      <c r="C232" s="3" t="str">
        <f t="shared" si="1"/>
        <v>=&gt;</v>
      </c>
      <c r="D232" s="199" t="s">
        <v>184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">
        <v>233.0</v>
      </c>
      <c r="B233" s="198" t="s">
        <v>146</v>
      </c>
      <c r="C233" s="3" t="str">
        <f t="shared" si="1"/>
        <v>=&gt;</v>
      </c>
      <c r="D233" s="200" t="s">
        <v>185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">
        <v>234.0</v>
      </c>
      <c r="B234" s="198" t="s">
        <v>146</v>
      </c>
      <c r="C234" s="3" t="str">
        <f t="shared" si="1"/>
        <v>=&gt;</v>
      </c>
      <c r="D234" s="201" t="s">
        <v>186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">
        <v>235.0</v>
      </c>
      <c r="B235" s="199" t="s">
        <v>184</v>
      </c>
      <c r="C235" s="3" t="str">
        <f t="shared" si="1"/>
        <v>=&gt;</v>
      </c>
      <c r="D235" s="19" t="s">
        <v>187</v>
      </c>
      <c r="E235" s="21" t="s">
        <v>62</v>
      </c>
      <c r="F235" s="202" t="s">
        <v>188</v>
      </c>
      <c r="G235" s="21" t="s">
        <v>6</v>
      </c>
      <c r="H235" s="203" t="s">
        <v>150</v>
      </c>
      <c r="I235" s="21" t="s">
        <v>6</v>
      </c>
      <c r="J235" s="204" t="s">
        <v>189</v>
      </c>
      <c r="K235" s="21" t="s">
        <v>64</v>
      </c>
      <c r="L235" s="21" t="s">
        <v>17</v>
      </c>
      <c r="M235" s="159" t="s">
        <v>151</v>
      </c>
      <c r="N235" s="160" t="s">
        <v>152</v>
      </c>
      <c r="O235" s="21" t="s">
        <v>19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">
        <v>236.0</v>
      </c>
      <c r="B236" s="205" t="s">
        <v>188</v>
      </c>
      <c r="C236" s="3" t="str">
        <f t="shared" si="1"/>
        <v>=&gt;</v>
      </c>
      <c r="D236" s="19" t="s">
        <v>79</v>
      </c>
      <c r="E236" s="19" t="s">
        <v>9</v>
      </c>
      <c r="F236" s="60" t="s">
        <v>13</v>
      </c>
      <c r="G236" s="19" t="s">
        <v>14</v>
      </c>
      <c r="H236" s="21" t="s">
        <v>16</v>
      </c>
      <c r="I236" s="34" t="s">
        <v>34</v>
      </c>
      <c r="J236" s="8"/>
      <c r="K236" s="8"/>
      <c r="L236" s="8"/>
      <c r="M236" s="8"/>
      <c r="N236" s="8"/>
      <c r="O236" s="8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">
        <v>237.0</v>
      </c>
      <c r="B237" s="205" t="s">
        <v>188</v>
      </c>
      <c r="C237" s="3" t="str">
        <f t="shared" si="1"/>
        <v>=&gt;</v>
      </c>
      <c r="D237" s="19" t="s">
        <v>14</v>
      </c>
      <c r="E237" s="21" t="s">
        <v>16</v>
      </c>
      <c r="F237" s="34" t="s">
        <v>34</v>
      </c>
      <c r="G237" s="8"/>
      <c r="H237" s="8"/>
      <c r="I237" s="8"/>
      <c r="J237" s="8"/>
      <c r="K237" s="8"/>
      <c r="L237" s="8"/>
      <c r="M237" s="8"/>
      <c r="N237" s="8"/>
      <c r="O237" s="8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">
        <v>238.0</v>
      </c>
      <c r="B238" s="205" t="s">
        <v>188</v>
      </c>
      <c r="C238" s="3" t="str">
        <f t="shared" si="1"/>
        <v>=&gt;</v>
      </c>
      <c r="D238" s="19" t="s">
        <v>8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">
        <v>239.0</v>
      </c>
      <c r="B239" s="206" t="s">
        <v>189</v>
      </c>
      <c r="C239" s="3" t="str">
        <f t="shared" si="1"/>
        <v>=&gt;</v>
      </c>
      <c r="D239" s="21" t="s">
        <v>14</v>
      </c>
      <c r="E239" s="207" t="s">
        <v>190</v>
      </c>
      <c r="F239" s="173" t="s">
        <v>111</v>
      </c>
      <c r="G239" s="8"/>
      <c r="H239" s="8"/>
      <c r="I239" s="8"/>
      <c r="J239" s="8"/>
      <c r="K239" s="8"/>
      <c r="L239" s="8"/>
      <c r="M239" s="8"/>
      <c r="N239" s="8"/>
      <c r="O239" s="8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">
        <v>240.0</v>
      </c>
      <c r="B240" s="206" t="s">
        <v>189</v>
      </c>
      <c r="C240" s="3" t="str">
        <f t="shared" si="1"/>
        <v>=&gt;</v>
      </c>
      <c r="D240" s="19" t="s">
        <v>8</v>
      </c>
      <c r="E240" s="19"/>
      <c r="F240" s="21"/>
      <c r="G240" s="8"/>
      <c r="H240" s="8"/>
      <c r="I240" s="8"/>
      <c r="J240" s="8"/>
      <c r="K240" s="8"/>
      <c r="L240" s="8"/>
      <c r="M240" s="8"/>
      <c r="N240" s="8"/>
      <c r="O240" s="8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">
        <v>241.0</v>
      </c>
      <c r="B241" s="208" t="s">
        <v>190</v>
      </c>
      <c r="C241" s="3" t="str">
        <f t="shared" si="1"/>
        <v>=&gt;</v>
      </c>
      <c r="D241" s="19" t="s">
        <v>95</v>
      </c>
      <c r="E241" s="19"/>
      <c r="F241" s="21"/>
      <c r="G241" s="8"/>
      <c r="H241" s="8"/>
      <c r="I241" s="8"/>
      <c r="J241" s="8"/>
      <c r="K241" s="8"/>
      <c r="L241" s="8"/>
      <c r="M241" s="8"/>
      <c r="N241" s="8"/>
      <c r="O241" s="8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">
        <v>242.0</v>
      </c>
      <c r="B242" s="208" t="s">
        <v>190</v>
      </c>
      <c r="C242" s="3" t="str">
        <f t="shared" si="1"/>
        <v>=&gt;</v>
      </c>
      <c r="D242" s="19" t="s">
        <v>191</v>
      </c>
      <c r="E242" s="21"/>
      <c r="F242" s="21"/>
      <c r="G242" s="8"/>
      <c r="H242" s="8"/>
      <c r="I242" s="8"/>
      <c r="J242" s="8"/>
      <c r="K242" s="8"/>
      <c r="L242" s="8"/>
      <c r="M242" s="8"/>
      <c r="N242" s="8"/>
      <c r="O242" s="8"/>
      <c r="P242" s="9"/>
      <c r="Q242" s="21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">
        <v>243.0</v>
      </c>
      <c r="B243" s="208" t="s">
        <v>190</v>
      </c>
      <c r="C243" s="3" t="str">
        <f t="shared" si="1"/>
        <v>=&gt;</v>
      </c>
      <c r="D243" s="21" t="s">
        <v>192</v>
      </c>
      <c r="E243" s="21"/>
      <c r="F243" s="21"/>
      <c r="G243" s="8"/>
      <c r="H243" s="8"/>
      <c r="I243" s="8"/>
      <c r="J243" s="8"/>
      <c r="K243" s="8"/>
      <c r="L243" s="8"/>
      <c r="M243" s="8"/>
      <c r="N243" s="8"/>
      <c r="O243" s="8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">
        <v>244.0</v>
      </c>
      <c r="B244" s="208" t="s">
        <v>190</v>
      </c>
      <c r="C244" s="3" t="str">
        <f t="shared" si="1"/>
        <v>=&gt;</v>
      </c>
      <c r="D244" s="21" t="s">
        <v>193</v>
      </c>
      <c r="E244" s="21"/>
      <c r="F244" s="21"/>
      <c r="G244" s="8"/>
      <c r="H244" s="8"/>
      <c r="I244" s="8"/>
      <c r="J244" s="8"/>
      <c r="K244" s="8"/>
      <c r="L244" s="8"/>
      <c r="M244" s="8"/>
      <c r="N244" s="8"/>
      <c r="O244" s="8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">
        <v>245.0</v>
      </c>
      <c r="B245" s="208" t="s">
        <v>190</v>
      </c>
      <c r="C245" s="3" t="str">
        <f t="shared" si="1"/>
        <v>=&gt;</v>
      </c>
      <c r="D245" s="21" t="s">
        <v>99</v>
      </c>
      <c r="E245" s="21"/>
      <c r="F245" s="21"/>
      <c r="G245" s="8"/>
      <c r="H245" s="8"/>
      <c r="I245" s="8"/>
      <c r="J245" s="8"/>
      <c r="K245" s="8"/>
      <c r="L245" s="8"/>
      <c r="M245" s="8"/>
      <c r="N245" s="8"/>
      <c r="O245" s="8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">
        <v>246.0</v>
      </c>
      <c r="B246" s="200" t="s">
        <v>185</v>
      </c>
      <c r="C246" s="3" t="str">
        <f t="shared" si="1"/>
        <v>=&gt;</v>
      </c>
      <c r="D246" s="19" t="s">
        <v>194</v>
      </c>
      <c r="E246" s="21" t="s">
        <v>62</v>
      </c>
      <c r="F246" s="203" t="s">
        <v>150</v>
      </c>
      <c r="G246" s="21" t="s">
        <v>64</v>
      </c>
      <c r="H246" s="21" t="s">
        <v>17</v>
      </c>
      <c r="I246" s="159" t="s">
        <v>151</v>
      </c>
      <c r="J246" s="160" t="s">
        <v>152</v>
      </c>
      <c r="K246" s="21" t="s">
        <v>19</v>
      </c>
      <c r="L246" s="8"/>
      <c r="M246" s="8"/>
      <c r="N246" s="8"/>
      <c r="O246" s="8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">
        <v>247.0</v>
      </c>
      <c r="B247" s="201" t="s">
        <v>186</v>
      </c>
      <c r="C247" s="3" t="str">
        <f t="shared" si="1"/>
        <v>=&gt;</v>
      </c>
      <c r="D247" s="19" t="s">
        <v>195</v>
      </c>
      <c r="E247" s="19" t="s">
        <v>17</v>
      </c>
      <c r="F247" s="209" t="s">
        <v>151</v>
      </c>
      <c r="G247" s="160" t="s">
        <v>152</v>
      </c>
      <c r="H247" s="21" t="s">
        <v>19</v>
      </c>
      <c r="I247" s="19" t="s">
        <v>194</v>
      </c>
      <c r="J247" s="21" t="s">
        <v>62</v>
      </c>
      <c r="K247" s="203" t="s">
        <v>150</v>
      </c>
      <c r="L247" s="21" t="s">
        <v>64</v>
      </c>
      <c r="M247" s="21" t="s">
        <v>6</v>
      </c>
      <c r="N247" s="21"/>
      <c r="O247" s="8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">
        <v>248.0</v>
      </c>
      <c r="B248" s="210" t="s">
        <v>66</v>
      </c>
      <c r="C248" s="3" t="str">
        <f t="shared" si="1"/>
        <v>=&gt;</v>
      </c>
      <c r="D248" s="19" t="s">
        <v>68</v>
      </c>
      <c r="E248" s="150" t="s">
        <v>28</v>
      </c>
      <c r="F248" s="21" t="s">
        <v>6</v>
      </c>
      <c r="G248" s="8"/>
      <c r="H248" s="8"/>
      <c r="I248" s="8"/>
      <c r="J248" s="8"/>
      <c r="K248" s="8"/>
      <c r="L248" s="8"/>
      <c r="M248" s="8"/>
      <c r="N248" s="8"/>
      <c r="O248" s="8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">
        <v>249.0</v>
      </c>
      <c r="B249" s="211" t="s">
        <v>3</v>
      </c>
      <c r="C249" s="3" t="str">
        <f t="shared" si="1"/>
        <v>=&gt;</v>
      </c>
      <c r="D249" s="19" t="s">
        <v>196</v>
      </c>
      <c r="E249" s="21" t="s">
        <v>197</v>
      </c>
      <c r="F249" s="21" t="s">
        <v>62</v>
      </c>
      <c r="G249" s="21" t="s">
        <v>64</v>
      </c>
      <c r="H249" s="21" t="s">
        <v>17</v>
      </c>
      <c r="I249" s="212" t="s">
        <v>198</v>
      </c>
      <c r="J249" s="21" t="s">
        <v>19</v>
      </c>
      <c r="K249" s="8"/>
      <c r="L249" s="8"/>
      <c r="M249" s="8"/>
      <c r="N249" s="8"/>
      <c r="O249" s="8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">
        <v>250.0</v>
      </c>
      <c r="B250" s="213" t="s">
        <v>198</v>
      </c>
      <c r="C250" s="3" t="str">
        <f t="shared" si="1"/>
        <v>=&gt;</v>
      </c>
      <c r="D250" s="77" t="s">
        <v>73</v>
      </c>
      <c r="E250" s="78" t="s">
        <v>74</v>
      </c>
      <c r="F250" s="79" t="s">
        <v>75</v>
      </c>
      <c r="G250" s="19" t="s">
        <v>68</v>
      </c>
      <c r="H250" s="19" t="s">
        <v>39</v>
      </c>
      <c r="I250" s="21" t="s">
        <v>6</v>
      </c>
      <c r="J250" s="8"/>
      <c r="K250" s="8"/>
      <c r="L250" s="8"/>
      <c r="M250" s="8"/>
      <c r="N250" s="8"/>
      <c r="O250" s="8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214"/>
      <c r="I251" s="40"/>
      <c r="J251" s="40"/>
      <c r="K251" s="40"/>
      <c r="L251" s="40"/>
      <c r="M251" s="40"/>
      <c r="N251" s="40"/>
      <c r="O251" s="40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215"/>
      <c r="I252" s="40"/>
      <c r="J252" s="40"/>
      <c r="K252" s="40"/>
      <c r="L252" s="40"/>
      <c r="M252" s="40"/>
      <c r="N252" s="40"/>
      <c r="O252" s="40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21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21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21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21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7" max="7" width="10.25"/>
    <col customWidth="1" min="8" max="8" width="8.25"/>
    <col customWidth="1" min="9" max="9" width="8.63"/>
    <col customWidth="1" min="10" max="10" width="7.25"/>
    <col customWidth="1" min="11" max="11" width="9.38"/>
    <col customWidth="1" min="12" max="13" width="8.25"/>
    <col customWidth="1" min="14" max="14" width="8.0"/>
    <col customWidth="1" min="15" max="15" width="8.63"/>
    <col customWidth="1" min="16" max="16" width="7.25"/>
    <col customWidth="1" min="17" max="17" width="7.75"/>
    <col customWidth="1" min="18" max="18" width="7.0"/>
    <col customWidth="1" min="19" max="19" width="7.5"/>
    <col customWidth="1" min="20" max="20" width="5.5"/>
    <col customWidth="1" min="21" max="21" width="7.13"/>
  </cols>
  <sheetData>
    <row r="1">
      <c r="A1" s="217">
        <v>1.0</v>
      </c>
      <c r="B1" s="218" t="s">
        <v>0</v>
      </c>
      <c r="C1" s="219" t="s">
        <v>199</v>
      </c>
      <c r="D1" s="220" t="str">
        <f t="shared" ref="D1:D117" si="1">"{ " &amp; TEXTJOIN(", ", TRUE, F1:AB1) &amp; " }"</f>
        <v>{ global , weave, func, int  }</v>
      </c>
      <c r="E1" s="218" t="s">
        <v>200</v>
      </c>
      <c r="F1" s="221" t="s">
        <v>4</v>
      </c>
      <c r="G1" s="221" t="s">
        <v>55</v>
      </c>
      <c r="H1" s="221" t="s">
        <v>59</v>
      </c>
      <c r="I1" s="221" t="s">
        <v>196</v>
      </c>
    </row>
    <row r="2">
      <c r="A2" s="217">
        <v>2.0</v>
      </c>
      <c r="B2" s="222" t="s">
        <v>1</v>
      </c>
      <c r="C2" s="219" t="s">
        <v>199</v>
      </c>
      <c r="D2" s="220" t="str">
        <f t="shared" si="1"/>
        <v>{ global , weave, λ }</v>
      </c>
      <c r="E2" s="222" t="s">
        <v>201</v>
      </c>
      <c r="F2" s="221" t="s">
        <v>4</v>
      </c>
      <c r="G2" s="221" t="s">
        <v>55</v>
      </c>
      <c r="H2" s="221" t="s">
        <v>8</v>
      </c>
    </row>
    <row r="3">
      <c r="A3" s="217">
        <v>3.0</v>
      </c>
      <c r="B3" s="223" t="s">
        <v>5</v>
      </c>
      <c r="C3" s="219" t="s">
        <v>199</v>
      </c>
      <c r="D3" s="220" t="str">
        <f t="shared" si="1"/>
        <v>{ var, const }</v>
      </c>
      <c r="E3" s="223" t="s">
        <v>202</v>
      </c>
      <c r="F3" s="221" t="s">
        <v>9</v>
      </c>
      <c r="G3" s="221" t="s">
        <v>11</v>
      </c>
    </row>
    <row r="4">
      <c r="A4" s="217">
        <v>4.0</v>
      </c>
      <c r="B4" s="224" t="s">
        <v>10</v>
      </c>
      <c r="C4" s="219" t="s">
        <v>199</v>
      </c>
      <c r="D4" s="220" t="str">
        <f t="shared" si="1"/>
        <v>{ int, long, float, double, char, string, bool, id }</v>
      </c>
      <c r="E4" s="224" t="s">
        <v>203</v>
      </c>
      <c r="F4" s="221" t="s">
        <v>21</v>
      </c>
      <c r="G4" s="221" t="s">
        <v>22</v>
      </c>
      <c r="H4" s="221" t="s">
        <v>23</v>
      </c>
      <c r="I4" s="221" t="s">
        <v>24</v>
      </c>
      <c r="J4" s="221" t="s">
        <v>25</v>
      </c>
      <c r="K4" s="221" t="s">
        <v>26</v>
      </c>
      <c r="L4" s="221" t="s">
        <v>27</v>
      </c>
      <c r="M4" s="221" t="s">
        <v>14</v>
      </c>
    </row>
    <row r="5">
      <c r="A5" s="217">
        <v>5.0</v>
      </c>
      <c r="B5" s="225" t="s">
        <v>12</v>
      </c>
      <c r="C5" s="219" t="s">
        <v>199</v>
      </c>
      <c r="D5" s="220" t="str">
        <f t="shared" si="1"/>
        <v>{ int, long, float, double, char, string, bool, id }</v>
      </c>
      <c r="E5" s="225" t="s">
        <v>204</v>
      </c>
      <c r="F5" s="221" t="s">
        <v>21</v>
      </c>
      <c r="G5" s="221" t="s">
        <v>22</v>
      </c>
      <c r="H5" s="221" t="s">
        <v>23</v>
      </c>
      <c r="I5" s="221" t="s">
        <v>24</v>
      </c>
      <c r="J5" s="221" t="s">
        <v>25</v>
      </c>
      <c r="K5" s="221" t="s">
        <v>26</v>
      </c>
      <c r="L5" s="221" t="s">
        <v>27</v>
      </c>
      <c r="M5" s="221" t="s">
        <v>14</v>
      </c>
    </row>
    <row r="6">
      <c r="A6" s="217">
        <v>6.0</v>
      </c>
      <c r="B6" s="226" t="s">
        <v>13</v>
      </c>
      <c r="C6" s="219" t="s">
        <v>199</v>
      </c>
      <c r="D6" s="220" t="str">
        <f t="shared" si="1"/>
        <v>{ int, long, float, double, char, string, bool }</v>
      </c>
      <c r="E6" s="226" t="s">
        <v>205</v>
      </c>
      <c r="F6" s="221" t="s">
        <v>21</v>
      </c>
      <c r="G6" s="221" t="s">
        <v>22</v>
      </c>
      <c r="H6" s="221" t="s">
        <v>23</v>
      </c>
      <c r="I6" s="221" t="s">
        <v>24</v>
      </c>
      <c r="J6" s="221" t="s">
        <v>25</v>
      </c>
      <c r="K6" s="221" t="s">
        <v>26</v>
      </c>
      <c r="L6" s="221" t="s">
        <v>27</v>
      </c>
    </row>
    <row r="7">
      <c r="A7" s="217">
        <v>7.0</v>
      </c>
      <c r="B7" s="227" t="s">
        <v>15</v>
      </c>
      <c r="C7" s="219" t="s">
        <v>199</v>
      </c>
      <c r="D7" s="220" t="str">
        <f t="shared" si="1"/>
        <v>{  =, [ }</v>
      </c>
      <c r="E7" s="227" t="s">
        <v>206</v>
      </c>
      <c r="F7" s="221" t="s">
        <v>16</v>
      </c>
      <c r="G7" s="221" t="s">
        <v>30</v>
      </c>
    </row>
    <row r="8">
      <c r="A8" s="217">
        <v>8.0</v>
      </c>
      <c r="B8" s="228" t="s">
        <v>20</v>
      </c>
      <c r="C8" s="219" t="s">
        <v>199</v>
      </c>
      <c r="D8" s="220" t="str">
        <f t="shared" si="1"/>
        <v>{  =, [ }</v>
      </c>
      <c r="E8" s="228" t="s">
        <v>207</v>
      </c>
      <c r="F8" s="221" t="s">
        <v>16</v>
      </c>
      <c r="G8" s="221" t="s">
        <v>30</v>
      </c>
    </row>
    <row r="9">
      <c r="A9" s="217">
        <v>9.0</v>
      </c>
      <c r="B9" s="229" t="s">
        <v>28</v>
      </c>
      <c r="C9" s="219" t="s">
        <v>199</v>
      </c>
      <c r="D9" s="220" t="str">
        <f t="shared" si="1"/>
        <v>{ !, id, intlit, longlit, floatlit, doublelit, charlit, stringlit,  true,  false, abs, len, pow, sqrt,  -, ( }</v>
      </c>
      <c r="E9" s="229" t="s">
        <v>208</v>
      </c>
      <c r="F9" s="221" t="s">
        <v>109</v>
      </c>
      <c r="G9" s="221" t="s">
        <v>14</v>
      </c>
      <c r="H9" s="221" t="s">
        <v>39</v>
      </c>
      <c r="I9" s="221" t="s">
        <v>43</v>
      </c>
      <c r="J9" s="221" t="s">
        <v>44</v>
      </c>
      <c r="K9" s="221" t="s">
        <v>45</v>
      </c>
      <c r="L9" s="221" t="s">
        <v>127</v>
      </c>
      <c r="M9" s="221" t="s">
        <v>128</v>
      </c>
      <c r="N9" s="221" t="s">
        <v>129</v>
      </c>
      <c r="O9" s="221" t="s">
        <v>130</v>
      </c>
      <c r="P9" s="221" t="s">
        <v>131</v>
      </c>
      <c r="Q9" s="221" t="s">
        <v>132</v>
      </c>
      <c r="R9" s="221" t="s">
        <v>133</v>
      </c>
      <c r="S9" s="221" t="s">
        <v>134</v>
      </c>
      <c r="T9" s="221" t="s">
        <v>116</v>
      </c>
      <c r="U9" s="221" t="s">
        <v>62</v>
      </c>
      <c r="V9" s="230"/>
      <c r="W9" s="230"/>
      <c r="X9" s="230"/>
    </row>
    <row r="10">
      <c r="A10" s="217">
        <v>10.0</v>
      </c>
      <c r="B10" s="231" t="s">
        <v>29</v>
      </c>
      <c r="C10" s="219" t="s">
        <v>199</v>
      </c>
      <c r="D10" s="220" t="str">
        <f t="shared" si="1"/>
        <v>{ ,, λ }</v>
      </c>
      <c r="E10" s="231" t="s">
        <v>209</v>
      </c>
      <c r="F10" s="221" t="s">
        <v>38</v>
      </c>
      <c r="G10" s="221" t="s">
        <v>8</v>
      </c>
    </row>
    <row r="11">
      <c r="A11" s="217">
        <v>11.0</v>
      </c>
      <c r="B11" s="232" t="s">
        <v>35</v>
      </c>
      <c r="C11" s="219" t="s">
        <v>199</v>
      </c>
      <c r="D11" s="220" t="str">
        <f t="shared" si="1"/>
        <v>{ ,, λ }</v>
      </c>
      <c r="E11" s="232" t="s">
        <v>210</v>
      </c>
      <c r="F11" s="221" t="s">
        <v>38</v>
      </c>
      <c r="G11" s="221" t="s">
        <v>8</v>
      </c>
    </row>
    <row r="12">
      <c r="A12" s="217">
        <v>12.0</v>
      </c>
      <c r="B12" s="233" t="s">
        <v>31</v>
      </c>
      <c r="C12" s="219" t="s">
        <v>199</v>
      </c>
      <c r="D12" s="220" t="str">
        <f t="shared" si="1"/>
        <v>{ intlit, id }</v>
      </c>
      <c r="E12" s="233" t="s">
        <v>211</v>
      </c>
      <c r="F12" s="221" t="s">
        <v>39</v>
      </c>
      <c r="G12" s="221" t="s">
        <v>14</v>
      </c>
      <c r="H12" s="230"/>
      <c r="I12" s="230"/>
      <c r="J12" s="230"/>
      <c r="K12" s="230"/>
      <c r="L12" s="230"/>
      <c r="M12" s="230"/>
      <c r="N12" s="230"/>
    </row>
    <row r="13">
      <c r="A13" s="217">
        <v>13.0</v>
      </c>
      <c r="B13" s="234" t="s">
        <v>34</v>
      </c>
      <c r="C13" s="219" t="s">
        <v>199</v>
      </c>
      <c r="D13" s="220" t="str">
        <f t="shared" si="1"/>
        <v>{ intlit, longlit, floatlit, doublelit, charlit, stringlit,  true,  false, - }</v>
      </c>
      <c r="E13" s="234" t="s">
        <v>212</v>
      </c>
      <c r="F13" s="221" t="s">
        <v>39</v>
      </c>
      <c r="G13" s="221" t="s">
        <v>43</v>
      </c>
      <c r="H13" s="221" t="s">
        <v>44</v>
      </c>
      <c r="I13" s="221" t="s">
        <v>45</v>
      </c>
      <c r="J13" s="221" t="s">
        <v>127</v>
      </c>
      <c r="K13" s="221" t="s">
        <v>128</v>
      </c>
      <c r="L13" s="221" t="s">
        <v>129</v>
      </c>
      <c r="M13" s="221" t="s">
        <v>130</v>
      </c>
      <c r="N13" s="221" t="s">
        <v>41</v>
      </c>
    </row>
    <row r="14">
      <c r="A14" s="217">
        <v>14.0</v>
      </c>
      <c r="B14" s="235" t="s">
        <v>42</v>
      </c>
      <c r="C14" s="219" t="s">
        <v>199</v>
      </c>
      <c r="D14" s="220" t="str">
        <f t="shared" si="1"/>
        <v>{ intlit, longlit, floatlit, doublelit }</v>
      </c>
      <c r="E14" s="235" t="s">
        <v>213</v>
      </c>
      <c r="F14" s="221" t="s">
        <v>39</v>
      </c>
      <c r="G14" s="221" t="s">
        <v>43</v>
      </c>
      <c r="H14" s="221" t="s">
        <v>44</v>
      </c>
      <c r="I14" s="221" t="s">
        <v>45</v>
      </c>
      <c r="J14" s="230"/>
      <c r="K14" s="230"/>
      <c r="L14" s="230"/>
      <c r="M14" s="230"/>
      <c r="N14" s="230"/>
    </row>
    <row r="15">
      <c r="A15" s="217">
        <v>15.0</v>
      </c>
      <c r="B15" s="236" t="s">
        <v>33</v>
      </c>
      <c r="C15" s="219" t="s">
        <v>199</v>
      </c>
      <c r="D15" s="220" t="str">
        <f t="shared" si="1"/>
        <v>{  =, [, λ }</v>
      </c>
      <c r="E15" s="236" t="s">
        <v>214</v>
      </c>
      <c r="F15" s="221" t="s">
        <v>16</v>
      </c>
      <c r="G15" s="221" t="s">
        <v>30</v>
      </c>
      <c r="H15" s="221" t="s">
        <v>8</v>
      </c>
      <c r="I15" s="230"/>
      <c r="J15" s="230"/>
      <c r="K15" s="230"/>
      <c r="L15" s="230"/>
      <c r="M15" s="230"/>
      <c r="N15" s="230"/>
    </row>
    <row r="16">
      <c r="A16" s="217">
        <v>16.0</v>
      </c>
      <c r="B16" s="237" t="s">
        <v>46</v>
      </c>
      <c r="C16" s="219" t="s">
        <v>199</v>
      </c>
      <c r="D16" s="220" t="str">
        <f t="shared" si="1"/>
        <v>{ intlit, longlit, floatlit, doublelit, charlit, stringlit,  true,  false, id }</v>
      </c>
      <c r="E16" s="237" t="s">
        <v>215</v>
      </c>
      <c r="F16" s="221" t="s">
        <v>39</v>
      </c>
      <c r="G16" s="221" t="s">
        <v>43</v>
      </c>
      <c r="H16" s="221" t="s">
        <v>44</v>
      </c>
      <c r="I16" s="221" t="s">
        <v>45</v>
      </c>
      <c r="J16" s="221" t="s">
        <v>127</v>
      </c>
      <c r="K16" s="221" t="s">
        <v>128</v>
      </c>
      <c r="L16" s="221" t="s">
        <v>129</v>
      </c>
      <c r="M16" s="221" t="s">
        <v>130</v>
      </c>
      <c r="N16" s="221" t="s">
        <v>14</v>
      </c>
    </row>
    <row r="17">
      <c r="A17" s="217">
        <v>17.0</v>
      </c>
      <c r="B17" s="238" t="s">
        <v>48</v>
      </c>
      <c r="C17" s="219" t="s">
        <v>199</v>
      </c>
      <c r="D17" s="220" t="str">
        <f t="shared" si="1"/>
        <v>{ intlit, longlit, floatlit, doublelit, charlit, stringlit,  true,  false, id }</v>
      </c>
      <c r="E17" s="238" t="s">
        <v>216</v>
      </c>
      <c r="F17" s="221" t="s">
        <v>39</v>
      </c>
      <c r="G17" s="221" t="s">
        <v>43</v>
      </c>
      <c r="H17" s="221" t="s">
        <v>44</v>
      </c>
      <c r="I17" s="221" t="s">
        <v>45</v>
      </c>
      <c r="J17" s="221" t="s">
        <v>127</v>
      </c>
      <c r="K17" s="221" t="s">
        <v>128</v>
      </c>
      <c r="L17" s="221" t="s">
        <v>129</v>
      </c>
      <c r="M17" s="221" t="s">
        <v>130</v>
      </c>
      <c r="N17" s="221" t="s">
        <v>14</v>
      </c>
    </row>
    <row r="18">
      <c r="A18" s="217">
        <v>18.0</v>
      </c>
      <c r="B18" s="239" t="s">
        <v>49</v>
      </c>
      <c r="C18" s="219" t="s">
        <v>199</v>
      </c>
      <c r="D18" s="220" t="str">
        <f t="shared" si="1"/>
        <v>{ ,, λ }</v>
      </c>
      <c r="E18" s="239" t="s">
        <v>217</v>
      </c>
      <c r="F18" s="221" t="s">
        <v>38</v>
      </c>
      <c r="G18" s="221" t="s">
        <v>8</v>
      </c>
    </row>
    <row r="19">
      <c r="A19" s="217">
        <v>19.0</v>
      </c>
      <c r="B19" s="240" t="s">
        <v>47</v>
      </c>
      <c r="C19" s="219" t="s">
        <v>199</v>
      </c>
      <c r="D19" s="220" t="str">
        <f t="shared" si="1"/>
        <v>{  =, λ }</v>
      </c>
      <c r="E19" s="240" t="s">
        <v>218</v>
      </c>
      <c r="F19" s="221" t="s">
        <v>16</v>
      </c>
      <c r="G19" s="221" t="s">
        <v>8</v>
      </c>
    </row>
    <row r="20">
      <c r="A20" s="217">
        <v>20.0</v>
      </c>
      <c r="B20" s="241" t="s">
        <v>50</v>
      </c>
      <c r="C20" s="219" t="s">
        <v>199</v>
      </c>
      <c r="D20" s="220" t="str">
        <f t="shared" si="1"/>
        <v>{  = }</v>
      </c>
      <c r="E20" s="241" t="s">
        <v>219</v>
      </c>
      <c r="F20" s="221" t="s">
        <v>16</v>
      </c>
      <c r="G20" s="230"/>
    </row>
    <row r="21">
      <c r="A21" s="217">
        <v>21.0</v>
      </c>
      <c r="B21" s="242" t="s">
        <v>51</v>
      </c>
      <c r="C21" s="219" t="s">
        <v>199</v>
      </c>
      <c r="D21" s="220" t="str">
        <f t="shared" si="1"/>
        <v>{ { }</v>
      </c>
      <c r="E21" s="242" t="s">
        <v>220</v>
      </c>
      <c r="F21" s="221" t="s">
        <v>17</v>
      </c>
      <c r="G21" s="230"/>
      <c r="H21" s="230"/>
      <c r="I21" s="230"/>
      <c r="J21" s="230"/>
      <c r="K21" s="230"/>
      <c r="L21" s="230"/>
      <c r="M21" s="230"/>
      <c r="N21" s="230"/>
    </row>
    <row r="22">
      <c r="A22" s="217">
        <v>22.0</v>
      </c>
      <c r="B22" s="243" t="s">
        <v>52</v>
      </c>
      <c r="C22" s="219" t="s">
        <v>199</v>
      </c>
      <c r="D22" s="220" t="str">
        <f t="shared" si="1"/>
        <v>{ ,, λ }</v>
      </c>
      <c r="E22" s="243" t="s">
        <v>221</v>
      </c>
      <c r="F22" s="221" t="s">
        <v>38</v>
      </c>
      <c r="G22" s="221" t="s">
        <v>8</v>
      </c>
      <c r="H22" s="230"/>
      <c r="I22" s="230"/>
      <c r="J22" s="230"/>
      <c r="K22" s="230"/>
      <c r="L22" s="230"/>
      <c r="M22" s="230"/>
      <c r="N22" s="230"/>
    </row>
    <row r="23">
      <c r="A23" s="217">
        <v>23.0</v>
      </c>
      <c r="B23" s="244" t="s">
        <v>36</v>
      </c>
      <c r="C23" s="219" t="s">
        <v>199</v>
      </c>
      <c r="D23" s="220" t="str">
        <f t="shared" si="1"/>
        <v>{  =, [ }</v>
      </c>
      <c r="E23" s="244" t="s">
        <v>222</v>
      </c>
      <c r="F23" s="221" t="s">
        <v>16</v>
      </c>
      <c r="G23" s="221" t="s">
        <v>30</v>
      </c>
      <c r="H23" s="230"/>
      <c r="I23" s="230"/>
      <c r="J23" s="230"/>
      <c r="K23" s="230"/>
      <c r="L23" s="230"/>
      <c r="M23" s="230"/>
      <c r="N23" s="230"/>
      <c r="O23" s="230"/>
    </row>
    <row r="24">
      <c r="A24" s="217">
        <v>24.0</v>
      </c>
      <c r="B24" s="245" t="s">
        <v>18</v>
      </c>
      <c r="C24" s="219" t="s">
        <v>199</v>
      </c>
      <c r="D24" s="220" t="str">
        <f t="shared" si="1"/>
        <v>{ intlit, longlit, floatlit, doublelit, charlit, stringlit,  true,  false, -, id }</v>
      </c>
      <c r="E24" s="245" t="s">
        <v>223</v>
      </c>
      <c r="F24" s="221" t="s">
        <v>39</v>
      </c>
      <c r="G24" s="221" t="s">
        <v>43</v>
      </c>
      <c r="H24" s="221" t="s">
        <v>44</v>
      </c>
      <c r="I24" s="221" t="s">
        <v>45</v>
      </c>
      <c r="J24" s="221" t="s">
        <v>127</v>
      </c>
      <c r="K24" s="221" t="s">
        <v>128</v>
      </c>
      <c r="L24" s="221" t="s">
        <v>129</v>
      </c>
      <c r="M24" s="221" t="s">
        <v>130</v>
      </c>
      <c r="N24" s="221" t="s">
        <v>41</v>
      </c>
      <c r="O24" s="221" t="s">
        <v>14</v>
      </c>
    </row>
    <row r="25">
      <c r="A25" s="217">
        <v>25.0</v>
      </c>
      <c r="B25" s="246" t="s">
        <v>53</v>
      </c>
      <c r="C25" s="219" t="s">
        <v>199</v>
      </c>
      <c r="D25" s="220" t="str">
        <f t="shared" si="1"/>
        <v>{ intlit, longlit, floatlit, doublelit, charlit, stringlit,  true,  false, -, id }</v>
      </c>
      <c r="E25" s="246" t="s">
        <v>224</v>
      </c>
      <c r="F25" s="221" t="s">
        <v>39</v>
      </c>
      <c r="G25" s="221" t="s">
        <v>43</v>
      </c>
      <c r="H25" s="221" t="s">
        <v>44</v>
      </c>
      <c r="I25" s="221" t="s">
        <v>45</v>
      </c>
      <c r="J25" s="221" t="s">
        <v>127</v>
      </c>
      <c r="K25" s="221" t="s">
        <v>128</v>
      </c>
      <c r="L25" s="221" t="s">
        <v>129</v>
      </c>
      <c r="M25" s="221" t="s">
        <v>130</v>
      </c>
      <c r="N25" s="221" t="s">
        <v>41</v>
      </c>
      <c r="O25" s="221" t="s">
        <v>14</v>
      </c>
    </row>
    <row r="26">
      <c r="A26" s="217">
        <v>26.0</v>
      </c>
      <c r="B26" s="247" t="s">
        <v>54</v>
      </c>
      <c r="C26" s="219" t="s">
        <v>199</v>
      </c>
      <c r="D26" s="220" t="str">
        <f t="shared" si="1"/>
        <v>{ ,, λ }</v>
      </c>
      <c r="E26" s="247" t="s">
        <v>225</v>
      </c>
      <c r="F26" s="221" t="s">
        <v>38</v>
      </c>
      <c r="G26" s="221" t="s">
        <v>8</v>
      </c>
      <c r="H26" s="230"/>
      <c r="I26" s="230"/>
      <c r="J26" s="230"/>
      <c r="K26" s="230"/>
      <c r="L26" s="230"/>
    </row>
    <row r="27">
      <c r="A27" s="217">
        <v>27.0</v>
      </c>
      <c r="B27" s="248" t="s">
        <v>7</v>
      </c>
      <c r="C27" s="219" t="s">
        <v>199</v>
      </c>
      <c r="D27" s="220" t="str">
        <f t="shared" si="1"/>
        <v>{ weave }</v>
      </c>
      <c r="E27" s="248" t="s">
        <v>226</v>
      </c>
      <c r="F27" s="221" t="s">
        <v>55</v>
      </c>
      <c r="G27" s="230"/>
      <c r="H27" s="230"/>
      <c r="I27" s="230"/>
      <c r="J27" s="230"/>
      <c r="K27" s="230"/>
      <c r="L27" s="230"/>
      <c r="M27" s="230"/>
    </row>
    <row r="28">
      <c r="A28" s="217">
        <v>28.0</v>
      </c>
      <c r="B28" s="249" t="s">
        <v>56</v>
      </c>
      <c r="C28" s="219" t="s">
        <v>199</v>
      </c>
      <c r="D28" s="220" t="str">
        <f t="shared" si="1"/>
        <v>{ int, long, float, double, char, string, bool, λ }</v>
      </c>
      <c r="E28" s="249" t="s">
        <v>227</v>
      </c>
      <c r="F28" s="221" t="s">
        <v>21</v>
      </c>
      <c r="G28" s="221" t="s">
        <v>22</v>
      </c>
      <c r="H28" s="221" t="s">
        <v>23</v>
      </c>
      <c r="I28" s="221" t="s">
        <v>24</v>
      </c>
      <c r="J28" s="221" t="s">
        <v>25</v>
      </c>
      <c r="K28" s="221" t="s">
        <v>26</v>
      </c>
      <c r="L28" s="221" t="s">
        <v>27</v>
      </c>
      <c r="M28" s="221" t="s">
        <v>8</v>
      </c>
    </row>
    <row r="29">
      <c r="A29" s="217">
        <v>29.0</v>
      </c>
      <c r="B29" s="250" t="s">
        <v>57</v>
      </c>
      <c r="C29" s="219" t="s">
        <v>199</v>
      </c>
      <c r="D29" s="220" t="str">
        <f t="shared" si="1"/>
        <v>{ int, long, float, double, char, string, bool }</v>
      </c>
      <c r="E29" s="250" t="s">
        <v>228</v>
      </c>
      <c r="F29" s="221" t="s">
        <v>21</v>
      </c>
      <c r="G29" s="221" t="s">
        <v>22</v>
      </c>
      <c r="H29" s="221" t="s">
        <v>23</v>
      </c>
      <c r="I29" s="221" t="s">
        <v>24</v>
      </c>
      <c r="J29" s="221" t="s">
        <v>25</v>
      </c>
      <c r="K29" s="221" t="s">
        <v>26</v>
      </c>
      <c r="L29" s="221" t="s">
        <v>27</v>
      </c>
      <c r="M29" s="230"/>
    </row>
    <row r="30">
      <c r="A30" s="217">
        <v>30.0</v>
      </c>
      <c r="B30" s="251" t="s">
        <v>2</v>
      </c>
      <c r="C30" s="219" t="s">
        <v>199</v>
      </c>
      <c r="D30" s="220" t="str">
        <f t="shared" si="1"/>
        <v>{ func, λ }</v>
      </c>
      <c r="E30" s="251" t="s">
        <v>229</v>
      </c>
      <c r="F30" s="221" t="s">
        <v>59</v>
      </c>
      <c r="G30" s="221" t="s">
        <v>8</v>
      </c>
    </row>
    <row r="31">
      <c r="A31" s="217">
        <v>31.0</v>
      </c>
      <c r="B31" s="252" t="s">
        <v>58</v>
      </c>
      <c r="C31" s="219" t="s">
        <v>199</v>
      </c>
      <c r="D31" s="220" t="str">
        <f t="shared" si="1"/>
        <v>{ func }</v>
      </c>
      <c r="E31" s="252" t="s">
        <v>230</v>
      </c>
      <c r="F31" s="221" t="s">
        <v>59</v>
      </c>
      <c r="G31" s="230"/>
      <c r="H31" s="230"/>
      <c r="I31" s="230"/>
      <c r="J31" s="230"/>
      <c r="K31" s="230"/>
      <c r="L31" s="230"/>
      <c r="M31" s="230"/>
    </row>
    <row r="32">
      <c r="A32" s="217">
        <v>32.0</v>
      </c>
      <c r="B32" s="253" t="s">
        <v>60</v>
      </c>
      <c r="C32" s="219" t="s">
        <v>199</v>
      </c>
      <c r="D32" s="220" t="str">
        <f t="shared" si="1"/>
        <v>{ int, long, float, double, char, string, bool, void }</v>
      </c>
      <c r="E32" s="253" t="s">
        <v>231</v>
      </c>
      <c r="F32" s="221" t="s">
        <v>21</v>
      </c>
      <c r="G32" s="221" t="s">
        <v>22</v>
      </c>
      <c r="H32" s="221" t="s">
        <v>23</v>
      </c>
      <c r="I32" s="221" t="s">
        <v>24</v>
      </c>
      <c r="J32" s="221" t="s">
        <v>25</v>
      </c>
      <c r="K32" s="221" t="s">
        <v>26</v>
      </c>
      <c r="L32" s="221" t="s">
        <v>27</v>
      </c>
      <c r="M32" s="221" t="s">
        <v>67</v>
      </c>
    </row>
    <row r="33">
      <c r="A33" s="217">
        <v>33.0</v>
      </c>
      <c r="B33" s="254" t="s">
        <v>61</v>
      </c>
      <c r="C33" s="219" t="s">
        <v>199</v>
      </c>
      <c r="D33" s="220" t="str">
        <f t="shared" si="1"/>
        <v>{ [, λ }</v>
      </c>
      <c r="E33" s="254" t="s">
        <v>232</v>
      </c>
      <c r="F33" s="221" t="s">
        <v>30</v>
      </c>
      <c r="G33" s="221" t="s">
        <v>8</v>
      </c>
    </row>
    <row r="34">
      <c r="A34" s="217">
        <v>34.0</v>
      </c>
      <c r="B34" s="255" t="s">
        <v>69</v>
      </c>
      <c r="C34" s="219" t="s">
        <v>199</v>
      </c>
      <c r="D34" s="220" t="str">
        <f t="shared" si="1"/>
        <v>{ [, λ }</v>
      </c>
      <c r="E34" s="255" t="s">
        <v>233</v>
      </c>
      <c r="F34" s="221" t="s">
        <v>30</v>
      </c>
      <c r="G34" s="221" t="s">
        <v>8</v>
      </c>
      <c r="H34" s="230"/>
      <c r="I34" s="230"/>
      <c r="J34" s="230"/>
      <c r="K34" s="230"/>
      <c r="L34" s="230"/>
      <c r="M34" s="230"/>
    </row>
    <row r="35">
      <c r="A35" s="217">
        <v>35.0</v>
      </c>
      <c r="B35" s="256" t="s">
        <v>63</v>
      </c>
      <c r="C35" s="219" t="s">
        <v>199</v>
      </c>
      <c r="D35" s="220" t="str">
        <f t="shared" si="1"/>
        <v>{ int, long, float, double, char, string, bool, λ }</v>
      </c>
      <c r="E35" s="256" t="s">
        <v>234</v>
      </c>
      <c r="F35" s="221" t="s">
        <v>21</v>
      </c>
      <c r="G35" s="221" t="s">
        <v>22</v>
      </c>
      <c r="H35" s="221" t="s">
        <v>23</v>
      </c>
      <c r="I35" s="221" t="s">
        <v>24</v>
      </c>
      <c r="J35" s="221" t="s">
        <v>25</v>
      </c>
      <c r="K35" s="221" t="s">
        <v>26</v>
      </c>
      <c r="L35" s="221" t="s">
        <v>27</v>
      </c>
      <c r="M35" s="221" t="s">
        <v>8</v>
      </c>
    </row>
    <row r="36">
      <c r="A36" s="217">
        <v>36.0</v>
      </c>
      <c r="B36" s="257" t="s">
        <v>71</v>
      </c>
      <c r="C36" s="219" t="s">
        <v>199</v>
      </c>
      <c r="D36" s="220" t="str">
        <f t="shared" si="1"/>
        <v>{ ,, λ }</v>
      </c>
      <c r="E36" s="257" t="s">
        <v>235</v>
      </c>
      <c r="F36" s="221" t="s">
        <v>38</v>
      </c>
      <c r="G36" s="221" t="s">
        <v>8</v>
      </c>
    </row>
    <row r="37">
      <c r="A37" s="217">
        <v>37.0</v>
      </c>
      <c r="B37" s="258" t="s">
        <v>70</v>
      </c>
      <c r="C37" s="219" t="s">
        <v>199</v>
      </c>
      <c r="D37" s="220" t="str">
        <f t="shared" si="1"/>
        <v>{ [, λ }</v>
      </c>
      <c r="E37" s="258" t="s">
        <v>236</v>
      </c>
      <c r="F37" s="221" t="s">
        <v>30</v>
      </c>
      <c r="G37" s="221" t="s">
        <v>8</v>
      </c>
      <c r="H37" s="230"/>
      <c r="I37" s="230"/>
      <c r="J37" s="230"/>
      <c r="K37" s="230"/>
      <c r="L37" s="230"/>
      <c r="M37" s="230"/>
      <c r="N37" s="230"/>
      <c r="O37" s="230"/>
      <c r="P37" s="230"/>
      <c r="Q37" s="230"/>
    </row>
    <row r="38">
      <c r="A38" s="217">
        <v>38.0</v>
      </c>
      <c r="B38" s="259" t="s">
        <v>72</v>
      </c>
      <c r="C38" s="219" t="s">
        <v>199</v>
      </c>
      <c r="D38" s="220" t="str">
        <f t="shared" si="1"/>
        <v>{ [, λ }</v>
      </c>
      <c r="E38" s="259" t="s">
        <v>237</v>
      </c>
      <c r="F38" s="221" t="s">
        <v>30</v>
      </c>
      <c r="G38" s="221" t="s">
        <v>8</v>
      </c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</row>
    <row r="39">
      <c r="A39" s="217">
        <v>39.0</v>
      </c>
      <c r="B39" s="260" t="s">
        <v>65</v>
      </c>
      <c r="C39" s="219" t="s">
        <v>199</v>
      </c>
      <c r="D39" s="220" t="str">
        <f t="shared" si="1"/>
        <v>{ using, local, id , abs, len, pow, sqrt, trap, thread, threadln, if, switch, for, while, do, λ }</v>
      </c>
      <c r="E39" s="260" t="s">
        <v>238</v>
      </c>
      <c r="F39" s="221" t="s">
        <v>77</v>
      </c>
      <c r="G39" s="221" t="s">
        <v>79</v>
      </c>
      <c r="H39" s="221" t="s">
        <v>86</v>
      </c>
      <c r="I39" s="221" t="s">
        <v>131</v>
      </c>
      <c r="J39" s="221" t="s">
        <v>132</v>
      </c>
      <c r="K39" s="221" t="s">
        <v>133</v>
      </c>
      <c r="L39" s="221" t="s">
        <v>134</v>
      </c>
      <c r="M39" s="221" t="s">
        <v>138</v>
      </c>
      <c r="N39" s="221" t="s">
        <v>141</v>
      </c>
      <c r="O39" s="221" t="s">
        <v>143</v>
      </c>
      <c r="P39" s="221" t="s">
        <v>149</v>
      </c>
      <c r="Q39" s="221" t="s">
        <v>173</v>
      </c>
      <c r="R39" s="221" t="s">
        <v>187</v>
      </c>
      <c r="S39" s="221" t="s">
        <v>194</v>
      </c>
      <c r="T39" s="221" t="s">
        <v>195</v>
      </c>
      <c r="U39" s="221" t="s">
        <v>8</v>
      </c>
    </row>
    <row r="40">
      <c r="A40" s="217">
        <v>40.0</v>
      </c>
      <c r="B40" s="261" t="s">
        <v>73</v>
      </c>
      <c r="C40" s="219" t="s">
        <v>199</v>
      </c>
      <c r="D40" s="220" t="str">
        <f t="shared" si="1"/>
        <v>{ using, λ }</v>
      </c>
      <c r="E40" s="261" t="s">
        <v>239</v>
      </c>
      <c r="F40" s="221" t="s">
        <v>77</v>
      </c>
      <c r="G40" s="221" t="s">
        <v>8</v>
      </c>
    </row>
    <row r="41">
      <c r="A41" s="217">
        <v>41.0</v>
      </c>
      <c r="B41" s="262" t="s">
        <v>76</v>
      </c>
      <c r="C41" s="219" t="s">
        <v>199</v>
      </c>
      <c r="D41" s="220" t="str">
        <f t="shared" si="1"/>
        <v>{ using }</v>
      </c>
      <c r="E41" s="262" t="s">
        <v>240</v>
      </c>
      <c r="F41" s="221" t="s">
        <v>77</v>
      </c>
      <c r="G41" s="230"/>
    </row>
    <row r="42">
      <c r="A42" s="217">
        <v>42.0</v>
      </c>
      <c r="B42" s="263" t="s">
        <v>78</v>
      </c>
      <c r="C42" s="219" t="s">
        <v>199</v>
      </c>
      <c r="D42" s="220" t="str">
        <f t="shared" si="1"/>
        <v>{ ,, λ }</v>
      </c>
      <c r="E42" s="263" t="s">
        <v>241</v>
      </c>
      <c r="F42" s="221" t="s">
        <v>38</v>
      </c>
      <c r="G42" s="221" t="s">
        <v>8</v>
      </c>
      <c r="H42" s="230"/>
      <c r="I42" s="230"/>
      <c r="J42" s="230"/>
      <c r="K42" s="230"/>
      <c r="L42" s="230"/>
      <c r="M42" s="230"/>
      <c r="N42" s="230"/>
      <c r="O42" s="230"/>
    </row>
    <row r="43">
      <c r="A43" s="217">
        <v>43.0</v>
      </c>
      <c r="B43" s="264" t="s">
        <v>74</v>
      </c>
      <c r="C43" s="219" t="s">
        <v>199</v>
      </c>
      <c r="D43" s="220" t="str">
        <f t="shared" si="1"/>
        <v>{ local, λ }</v>
      </c>
      <c r="E43" s="264" t="s">
        <v>242</v>
      </c>
      <c r="F43" s="221" t="s">
        <v>79</v>
      </c>
      <c r="G43" s="221" t="s">
        <v>8</v>
      </c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</row>
    <row r="44">
      <c r="A44" s="217">
        <v>44.0</v>
      </c>
      <c r="B44" s="265" t="s">
        <v>75</v>
      </c>
      <c r="C44" s="219" t="s">
        <v>199</v>
      </c>
      <c r="D44" s="220" t="str">
        <f t="shared" si="1"/>
        <v>{ id , abs, len, pow, sqrt, trap, thread, threadln, if, switch, for, while, do, λ }</v>
      </c>
      <c r="E44" s="265" t="s">
        <v>243</v>
      </c>
      <c r="F44" s="221" t="s">
        <v>86</v>
      </c>
      <c r="G44" s="221" t="s">
        <v>131</v>
      </c>
      <c r="H44" s="221" t="s">
        <v>132</v>
      </c>
      <c r="I44" s="221" t="s">
        <v>133</v>
      </c>
      <c r="J44" s="221" t="s">
        <v>134</v>
      </c>
      <c r="K44" s="221" t="s">
        <v>138</v>
      </c>
      <c r="L44" s="221" t="s">
        <v>141</v>
      </c>
      <c r="M44" s="221" t="s">
        <v>143</v>
      </c>
      <c r="N44" s="221" t="s">
        <v>149</v>
      </c>
      <c r="O44" s="221" t="s">
        <v>173</v>
      </c>
      <c r="P44" s="221" t="s">
        <v>187</v>
      </c>
      <c r="Q44" s="221" t="s">
        <v>194</v>
      </c>
      <c r="R44" s="221" t="s">
        <v>195</v>
      </c>
      <c r="S44" s="221" t="s">
        <v>8</v>
      </c>
    </row>
    <row r="45">
      <c r="A45" s="217">
        <v>45.0</v>
      </c>
      <c r="B45" s="266" t="s">
        <v>80</v>
      </c>
      <c r="C45" s="219" t="s">
        <v>199</v>
      </c>
      <c r="D45" s="220" t="str">
        <f t="shared" si="1"/>
        <v>{ id , abs, len, pow, sqrt, trap, thread, threadln, if, switch, for, while, do }</v>
      </c>
      <c r="E45" s="266" t="s">
        <v>244</v>
      </c>
      <c r="F45" s="221" t="s">
        <v>86</v>
      </c>
      <c r="G45" s="221" t="s">
        <v>131</v>
      </c>
      <c r="H45" s="221" t="s">
        <v>132</v>
      </c>
      <c r="I45" s="221" t="s">
        <v>133</v>
      </c>
      <c r="J45" s="221" t="s">
        <v>134</v>
      </c>
      <c r="K45" s="221" t="s">
        <v>138</v>
      </c>
      <c r="L45" s="221" t="s">
        <v>141</v>
      </c>
      <c r="M45" s="221" t="s">
        <v>143</v>
      </c>
      <c r="N45" s="221" t="s">
        <v>149</v>
      </c>
      <c r="O45" s="221" t="s">
        <v>173</v>
      </c>
      <c r="P45" s="221" t="s">
        <v>187</v>
      </c>
      <c r="Q45" s="221" t="s">
        <v>194</v>
      </c>
      <c r="R45" s="221" t="s">
        <v>195</v>
      </c>
    </row>
    <row r="46">
      <c r="A46" s="217">
        <v>46.0</v>
      </c>
      <c r="B46" s="267" t="s">
        <v>81</v>
      </c>
      <c r="C46" s="219" t="s">
        <v>199</v>
      </c>
      <c r="D46" s="220" t="str">
        <f t="shared" si="1"/>
        <v>{ id , abs, len, pow, sqrt }</v>
      </c>
      <c r="E46" s="267" t="s">
        <v>245</v>
      </c>
      <c r="F46" s="221" t="s">
        <v>86</v>
      </c>
      <c r="G46" s="221" t="s">
        <v>131</v>
      </c>
      <c r="H46" s="221" t="s">
        <v>132</v>
      </c>
      <c r="I46" s="221" t="s">
        <v>133</v>
      </c>
      <c r="J46" s="221" t="s">
        <v>134</v>
      </c>
    </row>
    <row r="47">
      <c r="A47" s="217">
        <v>47.0</v>
      </c>
      <c r="B47" s="268" t="s">
        <v>84</v>
      </c>
      <c r="C47" s="219" t="s">
        <v>199</v>
      </c>
      <c r="D47" s="220" t="str">
        <f t="shared" si="1"/>
        <v>{ id  }</v>
      </c>
      <c r="E47" s="268" t="s">
        <v>246</v>
      </c>
      <c r="F47" s="221" t="s">
        <v>86</v>
      </c>
      <c r="G47" s="230"/>
      <c r="H47" s="230"/>
      <c r="I47" s="230"/>
      <c r="J47" s="230"/>
      <c r="K47" s="230"/>
      <c r="L47" s="230"/>
      <c r="M47" s="230"/>
      <c r="N47" s="230"/>
    </row>
    <row r="48">
      <c r="A48" s="217">
        <v>48.0</v>
      </c>
      <c r="B48" s="269" t="s">
        <v>87</v>
      </c>
      <c r="C48" s="219" t="s">
        <v>199</v>
      </c>
      <c r="D48" s="220" t="str">
        <f t="shared" si="1"/>
        <v>{ ., [,  = ,  +=, -=, *=, /=, %=, ( }</v>
      </c>
      <c r="E48" s="269" t="s">
        <v>247</v>
      </c>
      <c r="F48" s="221" t="s">
        <v>91</v>
      </c>
      <c r="G48" s="221" t="s">
        <v>30</v>
      </c>
      <c r="H48" s="221" t="s">
        <v>94</v>
      </c>
      <c r="I48" s="221" t="s">
        <v>95</v>
      </c>
      <c r="J48" s="221" t="s">
        <v>96</v>
      </c>
      <c r="K48" s="221" t="s">
        <v>97</v>
      </c>
      <c r="L48" s="221" t="s">
        <v>98</v>
      </c>
      <c r="M48" s="221" t="s">
        <v>99</v>
      </c>
      <c r="N48" s="221" t="s">
        <v>62</v>
      </c>
    </row>
    <row r="49">
      <c r="A49" s="217">
        <v>49.0</v>
      </c>
      <c r="B49" s="270" t="s">
        <v>88</v>
      </c>
      <c r="C49" s="219" t="s">
        <v>199</v>
      </c>
      <c r="D49" s="220" t="str">
        <f t="shared" si="1"/>
        <v>{ ., [, λ }</v>
      </c>
      <c r="E49" s="270" t="s">
        <v>248</v>
      </c>
      <c r="F49" s="221" t="s">
        <v>91</v>
      </c>
      <c r="G49" s="221" t="s">
        <v>30</v>
      </c>
      <c r="H49" s="221" t="s">
        <v>8</v>
      </c>
      <c r="I49" s="230"/>
      <c r="J49" s="230"/>
      <c r="K49" s="230"/>
    </row>
    <row r="50">
      <c r="A50" s="217">
        <v>50.0</v>
      </c>
      <c r="B50" s="271" t="s">
        <v>93</v>
      </c>
      <c r="C50" s="219" t="s">
        <v>199</v>
      </c>
      <c r="D50" s="220" t="str">
        <f t="shared" si="1"/>
        <v>{ [, λ }</v>
      </c>
      <c r="E50" s="271" t="s">
        <v>249</v>
      </c>
      <c r="F50" s="221" t="s">
        <v>30</v>
      </c>
      <c r="G50" s="221" t="s">
        <v>8</v>
      </c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</row>
    <row r="51">
      <c r="A51" s="217">
        <v>51.0</v>
      </c>
      <c r="B51" s="272" t="s">
        <v>89</v>
      </c>
      <c r="C51" s="219" t="s">
        <v>199</v>
      </c>
      <c r="D51" s="220" t="str">
        <f t="shared" si="1"/>
        <v>{  = ,  +=, -=, *=, /=, %= }</v>
      </c>
      <c r="E51" s="272" t="s">
        <v>250</v>
      </c>
      <c r="F51" s="221" t="s">
        <v>94</v>
      </c>
      <c r="G51" s="221" t="s">
        <v>95</v>
      </c>
      <c r="H51" s="221" t="s">
        <v>96</v>
      </c>
      <c r="I51" s="221" t="s">
        <v>97</v>
      </c>
      <c r="J51" s="221" t="s">
        <v>98</v>
      </c>
      <c r="K51" s="221" t="s">
        <v>99</v>
      </c>
    </row>
    <row r="52">
      <c r="A52" s="217">
        <v>52.0</v>
      </c>
      <c r="B52" s="273" t="s">
        <v>92</v>
      </c>
      <c r="C52" s="219" t="s">
        <v>199</v>
      </c>
      <c r="D52" s="220" t="str">
        <f t="shared" si="1"/>
        <v>{ intlit, id }</v>
      </c>
      <c r="E52" s="273" t="s">
        <v>251</v>
      </c>
      <c r="F52" s="221" t="s">
        <v>39</v>
      </c>
      <c r="G52" s="221" t="s">
        <v>14</v>
      </c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</row>
    <row r="53">
      <c r="A53" s="217">
        <v>53.0</v>
      </c>
      <c r="B53" s="274" t="s">
        <v>37</v>
      </c>
      <c r="C53" s="219" t="s">
        <v>199</v>
      </c>
      <c r="D53" s="220" t="str">
        <f t="shared" si="1"/>
        <v>{ !, id, intlit, longlit, floatlit, doublelit, charlit, stringlit,  true,  false, abs, len, pow, sqrt,  -, ( }</v>
      </c>
      <c r="E53" s="274" t="s">
        <v>252</v>
      </c>
      <c r="F53" s="221" t="s">
        <v>109</v>
      </c>
      <c r="G53" s="221" t="s">
        <v>14</v>
      </c>
      <c r="H53" s="221" t="s">
        <v>39</v>
      </c>
      <c r="I53" s="221" t="s">
        <v>43</v>
      </c>
      <c r="J53" s="221" t="s">
        <v>44</v>
      </c>
      <c r="K53" s="221" t="s">
        <v>45</v>
      </c>
      <c r="L53" s="221" t="s">
        <v>127</v>
      </c>
      <c r="M53" s="221" t="s">
        <v>128</v>
      </c>
      <c r="N53" s="221" t="s">
        <v>129</v>
      </c>
      <c r="O53" s="221" t="s">
        <v>130</v>
      </c>
      <c r="P53" s="221" t="s">
        <v>131</v>
      </c>
      <c r="Q53" s="221" t="s">
        <v>132</v>
      </c>
      <c r="R53" s="221" t="s">
        <v>133</v>
      </c>
      <c r="S53" s="221" t="s">
        <v>134</v>
      </c>
      <c r="T53" s="221" t="s">
        <v>116</v>
      </c>
      <c r="U53" s="221" t="s">
        <v>62</v>
      </c>
    </row>
    <row r="54">
      <c r="A54" s="217">
        <v>54.0</v>
      </c>
      <c r="B54" s="275" t="s">
        <v>101</v>
      </c>
      <c r="C54" s="219" t="s">
        <v>199</v>
      </c>
      <c r="D54" s="220" t="str">
        <f t="shared" si="1"/>
        <v>{ .., λ }</v>
      </c>
      <c r="E54" s="275" t="s">
        <v>253</v>
      </c>
      <c r="F54" s="221" t="s">
        <v>102</v>
      </c>
      <c r="G54" s="221" t="s">
        <v>8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</row>
    <row r="55">
      <c r="A55" s="217">
        <v>55.0</v>
      </c>
      <c r="B55" s="276" t="s">
        <v>100</v>
      </c>
      <c r="C55" s="219" t="s">
        <v>199</v>
      </c>
      <c r="D55" s="220" t="str">
        <f t="shared" si="1"/>
        <v>{ !, id, intlit, longlit, floatlit, doublelit, charlit, stringlit,  true,  false, abs, len, pow, sqrt,  -, ( }</v>
      </c>
      <c r="E55" s="276" t="s">
        <v>254</v>
      </c>
      <c r="F55" s="221" t="s">
        <v>109</v>
      </c>
      <c r="G55" s="221" t="s">
        <v>14</v>
      </c>
      <c r="H55" s="221" t="s">
        <v>39</v>
      </c>
      <c r="I55" s="221" t="s">
        <v>43</v>
      </c>
      <c r="J55" s="221" t="s">
        <v>44</v>
      </c>
      <c r="K55" s="221" t="s">
        <v>45</v>
      </c>
      <c r="L55" s="221" t="s">
        <v>127</v>
      </c>
      <c r="M55" s="221" t="s">
        <v>128</v>
      </c>
      <c r="N55" s="221" t="s">
        <v>129</v>
      </c>
      <c r="O55" s="221" t="s">
        <v>130</v>
      </c>
      <c r="P55" s="221" t="s">
        <v>131</v>
      </c>
      <c r="Q55" s="221" t="s">
        <v>132</v>
      </c>
      <c r="R55" s="221" t="s">
        <v>133</v>
      </c>
      <c r="S55" s="221" t="s">
        <v>134</v>
      </c>
      <c r="T55" s="221" t="s">
        <v>116</v>
      </c>
      <c r="U55" s="221" t="s">
        <v>62</v>
      </c>
    </row>
    <row r="56">
      <c r="A56" s="217">
        <v>56.0</v>
      </c>
      <c r="B56" s="277" t="s">
        <v>104</v>
      </c>
      <c r="C56" s="219" t="s">
        <v>199</v>
      </c>
      <c r="D56" s="220" t="str">
        <f t="shared" si="1"/>
        <v>{ ||, λ }</v>
      </c>
      <c r="E56" s="277" t="s">
        <v>255</v>
      </c>
      <c r="F56" s="221" t="s">
        <v>105</v>
      </c>
      <c r="G56" s="221" t="s">
        <v>8</v>
      </c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</row>
    <row r="57">
      <c r="A57" s="217">
        <v>57.0</v>
      </c>
      <c r="B57" s="278" t="s">
        <v>103</v>
      </c>
      <c r="C57" s="219" t="s">
        <v>199</v>
      </c>
      <c r="D57" s="220" t="str">
        <f t="shared" si="1"/>
        <v>{ !, id, intlit, longlit, floatlit, doublelit, charlit, stringlit,  true,  false, abs, len, pow, sqrt,  -, ( }</v>
      </c>
      <c r="E57" s="278" t="s">
        <v>256</v>
      </c>
      <c r="F57" s="221" t="s">
        <v>109</v>
      </c>
      <c r="G57" s="221" t="s">
        <v>14</v>
      </c>
      <c r="H57" s="221" t="s">
        <v>39</v>
      </c>
      <c r="I57" s="221" t="s">
        <v>43</v>
      </c>
      <c r="J57" s="221" t="s">
        <v>44</v>
      </c>
      <c r="K57" s="221" t="s">
        <v>45</v>
      </c>
      <c r="L57" s="221" t="s">
        <v>127</v>
      </c>
      <c r="M57" s="221" t="s">
        <v>128</v>
      </c>
      <c r="N57" s="221" t="s">
        <v>129</v>
      </c>
      <c r="O57" s="221" t="s">
        <v>130</v>
      </c>
      <c r="P57" s="221" t="s">
        <v>131</v>
      </c>
      <c r="Q57" s="221" t="s">
        <v>132</v>
      </c>
      <c r="R57" s="221" t="s">
        <v>133</v>
      </c>
      <c r="S57" s="221" t="s">
        <v>134</v>
      </c>
      <c r="T57" s="221" t="s">
        <v>116</v>
      </c>
      <c r="U57" s="221" t="s">
        <v>62</v>
      </c>
      <c r="V57" s="230"/>
    </row>
    <row r="58">
      <c r="A58" s="217">
        <v>58.0</v>
      </c>
      <c r="B58" s="279" t="s">
        <v>107</v>
      </c>
      <c r="C58" s="219" t="s">
        <v>199</v>
      </c>
      <c r="D58" s="220" t="str">
        <f t="shared" si="1"/>
        <v>{ &amp;&amp;, λ }</v>
      </c>
      <c r="E58" s="279" t="s">
        <v>257</v>
      </c>
      <c r="F58" s="221" t="s">
        <v>108</v>
      </c>
      <c r="G58" s="221" t="s">
        <v>8</v>
      </c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</row>
    <row r="59">
      <c r="A59" s="217">
        <v>59.0</v>
      </c>
      <c r="B59" s="280" t="s">
        <v>106</v>
      </c>
      <c r="C59" s="219" t="s">
        <v>199</v>
      </c>
      <c r="D59" s="220" t="str">
        <f t="shared" si="1"/>
        <v>{ !, id, intlit, longlit, floatlit, doublelit, charlit, stringlit,  true,  false, abs, len, pow, sqrt,  -, ( }</v>
      </c>
      <c r="E59" s="280" t="s">
        <v>258</v>
      </c>
      <c r="F59" s="221" t="s">
        <v>109</v>
      </c>
      <c r="G59" s="221" t="s">
        <v>14</v>
      </c>
      <c r="H59" s="221" t="s">
        <v>39</v>
      </c>
      <c r="I59" s="221" t="s">
        <v>43</v>
      </c>
      <c r="J59" s="221" t="s">
        <v>44</v>
      </c>
      <c r="K59" s="221" t="s">
        <v>45</v>
      </c>
      <c r="L59" s="221" t="s">
        <v>127</v>
      </c>
      <c r="M59" s="221" t="s">
        <v>128</v>
      </c>
      <c r="N59" s="221" t="s">
        <v>129</v>
      </c>
      <c r="O59" s="221" t="s">
        <v>130</v>
      </c>
      <c r="P59" s="221" t="s">
        <v>131</v>
      </c>
      <c r="Q59" s="221" t="s">
        <v>132</v>
      </c>
      <c r="R59" s="221" t="s">
        <v>133</v>
      </c>
      <c r="S59" s="221" t="s">
        <v>134</v>
      </c>
      <c r="T59" s="221" t="s">
        <v>116</v>
      </c>
      <c r="U59" s="221" t="s">
        <v>62</v>
      </c>
      <c r="V59" s="230"/>
    </row>
    <row r="60">
      <c r="A60" s="217">
        <v>60.0</v>
      </c>
      <c r="B60" s="281" t="s">
        <v>110</v>
      </c>
      <c r="C60" s="219" t="s">
        <v>199</v>
      </c>
      <c r="D60" s="220" t="str">
        <f t="shared" si="1"/>
        <v>{ id, intlit, longlit, floatlit, doublelit, charlit, stringlit,  true,  false, abs, len, pow, sqrt,  -, ( }</v>
      </c>
      <c r="E60" s="281" t="s">
        <v>259</v>
      </c>
      <c r="F60" s="221" t="s">
        <v>14</v>
      </c>
      <c r="G60" s="221" t="s">
        <v>39</v>
      </c>
      <c r="H60" s="221" t="s">
        <v>43</v>
      </c>
      <c r="I60" s="221" t="s">
        <v>44</v>
      </c>
      <c r="J60" s="221" t="s">
        <v>45</v>
      </c>
      <c r="K60" s="221" t="s">
        <v>127</v>
      </c>
      <c r="L60" s="221" t="s">
        <v>128</v>
      </c>
      <c r="M60" s="221" t="s">
        <v>129</v>
      </c>
      <c r="N60" s="221" t="s">
        <v>130</v>
      </c>
      <c r="O60" s="221" t="s">
        <v>131</v>
      </c>
      <c r="P60" s="221" t="s">
        <v>132</v>
      </c>
      <c r="Q60" s="221" t="s">
        <v>133</v>
      </c>
      <c r="R60" s="221" t="s">
        <v>134</v>
      </c>
      <c r="S60" s="221" t="s">
        <v>116</v>
      </c>
      <c r="T60" s="221" t="s">
        <v>62</v>
      </c>
    </row>
    <row r="61">
      <c r="A61" s="217">
        <v>61.0</v>
      </c>
      <c r="B61" s="282" t="s">
        <v>111</v>
      </c>
      <c r="C61" s="219" t="s">
        <v>199</v>
      </c>
      <c r="D61" s="220" t="str">
        <f t="shared" si="1"/>
        <v>{ id, intlit, longlit, floatlit, doublelit, charlit, stringlit,  true,  false, abs, len, pow, sqrt,  -, ( }</v>
      </c>
      <c r="E61" s="282" t="s">
        <v>260</v>
      </c>
      <c r="F61" s="221" t="s">
        <v>14</v>
      </c>
      <c r="G61" s="221" t="s">
        <v>39</v>
      </c>
      <c r="H61" s="221" t="s">
        <v>43</v>
      </c>
      <c r="I61" s="221" t="s">
        <v>44</v>
      </c>
      <c r="J61" s="221" t="s">
        <v>45</v>
      </c>
      <c r="K61" s="221" t="s">
        <v>127</v>
      </c>
      <c r="L61" s="221" t="s">
        <v>128</v>
      </c>
      <c r="M61" s="221" t="s">
        <v>129</v>
      </c>
      <c r="N61" s="221" t="s">
        <v>130</v>
      </c>
      <c r="O61" s="221" t="s">
        <v>131</v>
      </c>
      <c r="P61" s="221" t="s">
        <v>132</v>
      </c>
      <c r="Q61" s="221" t="s">
        <v>133</v>
      </c>
      <c r="R61" s="221" t="s">
        <v>134</v>
      </c>
      <c r="S61" s="221" t="s">
        <v>116</v>
      </c>
      <c r="T61" s="221" t="s">
        <v>62</v>
      </c>
      <c r="U61" s="230"/>
      <c r="V61" s="230"/>
    </row>
    <row r="62">
      <c r="A62" s="217">
        <v>62.0</v>
      </c>
      <c r="B62" s="283" t="s">
        <v>114</v>
      </c>
      <c r="C62" s="219" t="s">
        <v>199</v>
      </c>
      <c r="D62" s="220" t="str">
        <f t="shared" si="1"/>
        <v>{  +,  -, λ }</v>
      </c>
      <c r="E62" s="283" t="s">
        <v>261</v>
      </c>
      <c r="F62" s="221" t="s">
        <v>115</v>
      </c>
      <c r="G62" s="221" t="s">
        <v>116</v>
      </c>
      <c r="H62" s="221" t="s">
        <v>8</v>
      </c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</row>
    <row r="63">
      <c r="A63" s="217">
        <v>63.0</v>
      </c>
      <c r="B63" s="284" t="s">
        <v>113</v>
      </c>
      <c r="C63" s="219" t="s">
        <v>199</v>
      </c>
      <c r="D63" s="220" t="str">
        <f t="shared" si="1"/>
        <v>{ id, intlit, longlit, floatlit, doublelit, charlit, stringlit,  true,  false, abs, len, pow, sqrt,  -, ( }</v>
      </c>
      <c r="E63" s="284" t="s">
        <v>262</v>
      </c>
      <c r="F63" s="221" t="s">
        <v>14</v>
      </c>
      <c r="G63" s="221" t="s">
        <v>39</v>
      </c>
      <c r="H63" s="221" t="s">
        <v>43</v>
      </c>
      <c r="I63" s="221" t="s">
        <v>44</v>
      </c>
      <c r="J63" s="221" t="s">
        <v>45</v>
      </c>
      <c r="K63" s="221" t="s">
        <v>127</v>
      </c>
      <c r="L63" s="221" t="s">
        <v>128</v>
      </c>
      <c r="M63" s="221" t="s">
        <v>129</v>
      </c>
      <c r="N63" s="221" t="s">
        <v>130</v>
      </c>
      <c r="O63" s="221" t="s">
        <v>131</v>
      </c>
      <c r="P63" s="221" t="s">
        <v>132</v>
      </c>
      <c r="Q63" s="221" t="s">
        <v>133</v>
      </c>
      <c r="R63" s="221" t="s">
        <v>134</v>
      </c>
      <c r="S63" s="221" t="s">
        <v>116</v>
      </c>
      <c r="T63" s="221" t="s">
        <v>62</v>
      </c>
      <c r="U63" s="230"/>
      <c r="V63" s="230"/>
    </row>
    <row r="64">
      <c r="A64" s="217">
        <v>64.0</v>
      </c>
      <c r="B64" s="285" t="s">
        <v>118</v>
      </c>
      <c r="C64" s="219" t="s">
        <v>199</v>
      </c>
      <c r="D64" s="220" t="str">
        <f t="shared" si="1"/>
        <v>{  *, /, %, λ }</v>
      </c>
      <c r="E64" s="285" t="s">
        <v>263</v>
      </c>
      <c r="F64" s="221" t="s">
        <v>119</v>
      </c>
      <c r="G64" s="221" t="s">
        <v>120</v>
      </c>
      <c r="H64" s="221" t="s">
        <v>121</v>
      </c>
      <c r="I64" s="221" t="s">
        <v>8</v>
      </c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</row>
    <row r="65">
      <c r="A65" s="217">
        <v>65.0</v>
      </c>
      <c r="B65" s="286" t="s">
        <v>117</v>
      </c>
      <c r="C65" s="219" t="s">
        <v>199</v>
      </c>
      <c r="D65" s="220" t="str">
        <f t="shared" si="1"/>
        <v>{ id, intlit, longlit, floatlit, doublelit, charlit, stringlit,  true,  false, abs, len, pow, sqrt,  -, ( }</v>
      </c>
      <c r="E65" s="286" t="s">
        <v>264</v>
      </c>
      <c r="F65" s="221" t="s">
        <v>14</v>
      </c>
      <c r="G65" s="221" t="s">
        <v>39</v>
      </c>
      <c r="H65" s="221" t="s">
        <v>43</v>
      </c>
      <c r="I65" s="221" t="s">
        <v>44</v>
      </c>
      <c r="J65" s="221" t="s">
        <v>45</v>
      </c>
      <c r="K65" s="221" t="s">
        <v>127</v>
      </c>
      <c r="L65" s="221" t="s">
        <v>128</v>
      </c>
      <c r="M65" s="221" t="s">
        <v>129</v>
      </c>
      <c r="N65" s="221" t="s">
        <v>130</v>
      </c>
      <c r="O65" s="221" t="s">
        <v>131</v>
      </c>
      <c r="P65" s="221" t="s">
        <v>132</v>
      </c>
      <c r="Q65" s="221" t="s">
        <v>133</v>
      </c>
      <c r="R65" s="221" t="s">
        <v>134</v>
      </c>
      <c r="S65" s="221" t="s">
        <v>116</v>
      </c>
      <c r="T65" s="221" t="s">
        <v>62</v>
      </c>
      <c r="U65" s="230"/>
      <c r="V65" s="230"/>
      <c r="W65" s="230"/>
      <c r="X65" s="230"/>
      <c r="Y65" s="230"/>
      <c r="Z65" s="230"/>
      <c r="AA65" s="230"/>
      <c r="AB65" s="230"/>
    </row>
    <row r="66">
      <c r="A66" s="217">
        <v>66.0</v>
      </c>
      <c r="B66" s="287" t="s">
        <v>123</v>
      </c>
      <c r="C66" s="219" t="s">
        <v>199</v>
      </c>
      <c r="D66" s="220" t="str">
        <f t="shared" si="1"/>
        <v>{ int, long, float, double, char, string, bool, !, id, intlit, longlit, floatlit, doublelit, charlit, stringlit,  true,  false, abs, len, pow, sqrt,  -, ( }</v>
      </c>
      <c r="E66" s="287" t="s">
        <v>265</v>
      </c>
      <c r="F66" s="221" t="s">
        <v>21</v>
      </c>
      <c r="G66" s="221" t="s">
        <v>22</v>
      </c>
      <c r="H66" s="221" t="s">
        <v>23</v>
      </c>
      <c r="I66" s="221" t="s">
        <v>24</v>
      </c>
      <c r="J66" s="221" t="s">
        <v>25</v>
      </c>
      <c r="K66" s="221" t="s">
        <v>26</v>
      </c>
      <c r="L66" s="221" t="s">
        <v>27</v>
      </c>
      <c r="M66" s="221" t="s">
        <v>109</v>
      </c>
      <c r="N66" s="221" t="s">
        <v>14</v>
      </c>
      <c r="O66" s="221" t="s">
        <v>39</v>
      </c>
      <c r="P66" s="221" t="s">
        <v>43</v>
      </c>
      <c r="Q66" s="221" t="s">
        <v>44</v>
      </c>
      <c r="R66" s="221" t="s">
        <v>45</v>
      </c>
      <c r="S66" s="221" t="s">
        <v>127</v>
      </c>
      <c r="T66" s="221" t="s">
        <v>128</v>
      </c>
      <c r="U66" s="221" t="s">
        <v>129</v>
      </c>
      <c r="V66" s="221" t="s">
        <v>130</v>
      </c>
      <c r="W66" s="221" t="s">
        <v>131</v>
      </c>
      <c r="X66" s="221" t="s">
        <v>132</v>
      </c>
      <c r="Y66" s="221" t="s">
        <v>133</v>
      </c>
      <c r="Z66" s="221" t="s">
        <v>134</v>
      </c>
      <c r="AA66" s="221" t="s">
        <v>116</v>
      </c>
      <c r="AB66" s="221" t="s">
        <v>62</v>
      </c>
    </row>
    <row r="67">
      <c r="A67" s="217">
        <v>67.0</v>
      </c>
      <c r="B67" s="288" t="s">
        <v>122</v>
      </c>
      <c r="C67" s="219" t="s">
        <v>199</v>
      </c>
      <c r="D67" s="220" t="str">
        <f t="shared" si="1"/>
        <v>{ id, intlit, longlit, floatlit, doublelit, charlit, stringlit,  true,  false, abs, len, pow, sqrt }</v>
      </c>
      <c r="E67" s="288" t="s">
        <v>266</v>
      </c>
      <c r="F67" s="221" t="s">
        <v>14</v>
      </c>
      <c r="G67" s="221" t="s">
        <v>39</v>
      </c>
      <c r="H67" s="221" t="s">
        <v>43</v>
      </c>
      <c r="I67" s="221" t="s">
        <v>44</v>
      </c>
      <c r="J67" s="221" t="s">
        <v>45</v>
      </c>
      <c r="K67" s="221" t="s">
        <v>127</v>
      </c>
      <c r="L67" s="221" t="s">
        <v>128</v>
      </c>
      <c r="M67" s="221" t="s">
        <v>129</v>
      </c>
      <c r="N67" s="221" t="s">
        <v>130</v>
      </c>
      <c r="O67" s="221" t="s">
        <v>131</v>
      </c>
      <c r="P67" s="221" t="s">
        <v>132</v>
      </c>
      <c r="Q67" s="221" t="s">
        <v>133</v>
      </c>
      <c r="R67" s="221" t="s">
        <v>134</v>
      </c>
      <c r="S67" s="230"/>
      <c r="T67" s="230"/>
      <c r="U67" s="230"/>
      <c r="V67" s="230"/>
      <c r="W67" s="230"/>
      <c r="X67" s="230"/>
    </row>
    <row r="68">
      <c r="A68" s="217">
        <v>68.0</v>
      </c>
      <c r="B68" s="289" t="s">
        <v>124</v>
      </c>
      <c r="C68" s="219" t="s">
        <v>199</v>
      </c>
      <c r="D68" s="220" t="str">
        <f t="shared" si="1"/>
        <v>{ [, (, λ, . }</v>
      </c>
      <c r="E68" s="289" t="s">
        <v>267</v>
      </c>
      <c r="F68" s="221" t="s">
        <v>30</v>
      </c>
      <c r="G68" s="221" t="s">
        <v>62</v>
      </c>
      <c r="H68" s="221" t="s">
        <v>8</v>
      </c>
      <c r="I68" s="221" t="s">
        <v>91</v>
      </c>
      <c r="J68" s="230"/>
      <c r="K68" s="230"/>
      <c r="L68" s="230"/>
      <c r="M68" s="230"/>
      <c r="N68" s="230"/>
    </row>
    <row r="69">
      <c r="A69" s="217">
        <v>69.0</v>
      </c>
      <c r="B69" s="290" t="s">
        <v>125</v>
      </c>
      <c r="C69" s="219" t="s">
        <v>199</v>
      </c>
      <c r="D69" s="220" t="str">
        <f t="shared" si="1"/>
        <v>{ [, (, λ }</v>
      </c>
      <c r="E69" s="290" t="s">
        <v>268</v>
      </c>
      <c r="F69" s="221" t="s">
        <v>30</v>
      </c>
      <c r="G69" s="221" t="s">
        <v>62</v>
      </c>
      <c r="H69" s="221" t="s">
        <v>8</v>
      </c>
      <c r="I69" s="230"/>
      <c r="J69" s="230"/>
      <c r="K69" s="230"/>
      <c r="L69" s="230"/>
      <c r="M69" s="230"/>
    </row>
    <row r="70">
      <c r="A70" s="217">
        <v>70.0</v>
      </c>
      <c r="B70" s="291" t="s">
        <v>126</v>
      </c>
      <c r="C70" s="219" t="s">
        <v>199</v>
      </c>
      <c r="D70" s="220" t="str">
        <f t="shared" si="1"/>
        <v>{ [, λ }</v>
      </c>
      <c r="E70" s="291" t="s">
        <v>269</v>
      </c>
      <c r="F70" s="221" t="s">
        <v>30</v>
      </c>
      <c r="G70" s="221" t="s">
        <v>8</v>
      </c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</row>
    <row r="71">
      <c r="A71" s="217">
        <v>71.0</v>
      </c>
      <c r="B71" s="292" t="s">
        <v>40</v>
      </c>
      <c r="C71" s="219" t="s">
        <v>199</v>
      </c>
      <c r="D71" s="220" t="str">
        <f t="shared" si="1"/>
        <v>{ intlit, longlit, floatlit, doublelit, charlit, stringlit,  true,  false }</v>
      </c>
      <c r="E71" s="292" t="s">
        <v>270</v>
      </c>
      <c r="F71" s="221" t="s">
        <v>39</v>
      </c>
      <c r="G71" s="221" t="s">
        <v>43</v>
      </c>
      <c r="H71" s="221" t="s">
        <v>44</v>
      </c>
      <c r="I71" s="221" t="s">
        <v>45</v>
      </c>
      <c r="J71" s="221" t="s">
        <v>127</v>
      </c>
      <c r="K71" s="221" t="s">
        <v>128</v>
      </c>
      <c r="L71" s="221" t="s">
        <v>129</v>
      </c>
      <c r="M71" s="221" t="s">
        <v>130</v>
      </c>
      <c r="N71" s="230"/>
      <c r="O71" s="230"/>
      <c r="P71" s="230"/>
      <c r="Q71" s="230"/>
      <c r="R71" s="230"/>
    </row>
    <row r="72">
      <c r="A72" s="217">
        <v>72.0</v>
      </c>
      <c r="B72" s="293" t="s">
        <v>85</v>
      </c>
      <c r="C72" s="219" t="s">
        <v>199</v>
      </c>
      <c r="D72" s="220" t="str">
        <f t="shared" si="1"/>
        <v>{ abs, len, pow, sqrt }</v>
      </c>
      <c r="E72" s="293" t="s">
        <v>271</v>
      </c>
      <c r="F72" s="221" t="s">
        <v>131</v>
      </c>
      <c r="G72" s="221" t="s">
        <v>132</v>
      </c>
      <c r="H72" s="221" t="s">
        <v>133</v>
      </c>
      <c r="I72" s="221" t="s">
        <v>134</v>
      </c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</row>
    <row r="73">
      <c r="A73" s="217">
        <v>73.0</v>
      </c>
      <c r="B73" s="294" t="s">
        <v>90</v>
      </c>
      <c r="C73" s="219" t="s">
        <v>199</v>
      </c>
      <c r="D73" s="220" t="str">
        <f t="shared" si="1"/>
        <v>{ !, id, intlit, longlit, floatlit, doublelit, charlit, stringlit,  true,  false, abs, len, pow, sqrt,  -, (, λ }</v>
      </c>
      <c r="E73" s="294" t="s">
        <v>272</v>
      </c>
      <c r="F73" s="221" t="s">
        <v>109</v>
      </c>
      <c r="G73" s="221" t="s">
        <v>14</v>
      </c>
      <c r="H73" s="221" t="s">
        <v>39</v>
      </c>
      <c r="I73" s="221" t="s">
        <v>43</v>
      </c>
      <c r="J73" s="221" t="s">
        <v>44</v>
      </c>
      <c r="K73" s="221" t="s">
        <v>45</v>
      </c>
      <c r="L73" s="221" t="s">
        <v>127</v>
      </c>
      <c r="M73" s="221" t="s">
        <v>128</v>
      </c>
      <c r="N73" s="221" t="s">
        <v>129</v>
      </c>
      <c r="O73" s="221" t="s">
        <v>130</v>
      </c>
      <c r="P73" s="221" t="s">
        <v>131</v>
      </c>
      <c r="Q73" s="221" t="s">
        <v>132</v>
      </c>
      <c r="R73" s="221" t="s">
        <v>133</v>
      </c>
      <c r="S73" s="221" t="s">
        <v>134</v>
      </c>
      <c r="T73" s="221" t="s">
        <v>116</v>
      </c>
      <c r="U73" s="221" t="s">
        <v>62</v>
      </c>
      <c r="V73" s="221" t="s">
        <v>8</v>
      </c>
    </row>
    <row r="74">
      <c r="A74" s="217">
        <v>74.0</v>
      </c>
      <c r="B74" s="295" t="s">
        <v>135</v>
      </c>
      <c r="C74" s="219" t="s">
        <v>199</v>
      </c>
      <c r="D74" s="220" t="str">
        <f t="shared" si="1"/>
        <v>{ ,, λ }</v>
      </c>
      <c r="E74" s="295" t="s">
        <v>273</v>
      </c>
      <c r="F74" s="221" t="s">
        <v>38</v>
      </c>
      <c r="G74" s="221" t="s">
        <v>8</v>
      </c>
      <c r="H74" s="230"/>
    </row>
    <row r="75">
      <c r="A75" s="217">
        <v>75.0</v>
      </c>
      <c r="B75" s="296" t="s">
        <v>82</v>
      </c>
      <c r="C75" s="219" t="s">
        <v>199</v>
      </c>
      <c r="D75" s="220" t="str">
        <f t="shared" si="1"/>
        <v>{ trap, thread, threadln }</v>
      </c>
      <c r="E75" s="296" t="s">
        <v>274</v>
      </c>
      <c r="F75" s="221" t="s">
        <v>138</v>
      </c>
      <c r="G75" s="221" t="s">
        <v>141</v>
      </c>
      <c r="H75" s="221" t="s">
        <v>143</v>
      </c>
    </row>
    <row r="76">
      <c r="A76" s="217">
        <v>76.0</v>
      </c>
      <c r="B76" s="297" t="s">
        <v>136</v>
      </c>
      <c r="C76" s="219" t="s">
        <v>199</v>
      </c>
      <c r="D76" s="220" t="str">
        <f t="shared" si="1"/>
        <v>{ trap }</v>
      </c>
      <c r="E76" s="297" t="s">
        <v>275</v>
      </c>
      <c r="F76" s="221" t="s">
        <v>138</v>
      </c>
      <c r="G76" s="230"/>
      <c r="H76" s="230"/>
    </row>
    <row r="77">
      <c r="A77" s="217">
        <v>77.0</v>
      </c>
      <c r="B77" s="298" t="s">
        <v>139</v>
      </c>
      <c r="C77" s="219" t="s">
        <v>199</v>
      </c>
      <c r="D77" s="220" t="str">
        <f t="shared" si="1"/>
        <v>{ id }</v>
      </c>
      <c r="E77" s="298" t="s">
        <v>276</v>
      </c>
      <c r="F77" s="221" t="s">
        <v>14</v>
      </c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</row>
    <row r="78">
      <c r="A78" s="217">
        <v>78.0</v>
      </c>
      <c r="B78" s="299" t="s">
        <v>140</v>
      </c>
      <c r="C78" s="219" t="s">
        <v>199</v>
      </c>
      <c r="D78" s="220" t="str">
        <f t="shared" si="1"/>
        <v>{ [, ., λ }</v>
      </c>
      <c r="E78" s="299" t="s">
        <v>277</v>
      </c>
      <c r="F78" s="221" t="s">
        <v>30</v>
      </c>
      <c r="G78" s="221" t="s">
        <v>91</v>
      </c>
      <c r="H78" s="221" t="s">
        <v>8</v>
      </c>
      <c r="I78" s="230"/>
      <c r="J78" s="230"/>
      <c r="K78" s="230"/>
      <c r="L78" s="230"/>
      <c r="M78" s="230"/>
      <c r="N78" s="230"/>
      <c r="O78" s="230"/>
      <c r="P78" s="230"/>
      <c r="Q78" s="230"/>
    </row>
    <row r="79">
      <c r="A79" s="217">
        <v>79.0</v>
      </c>
      <c r="B79" s="300" t="s">
        <v>137</v>
      </c>
      <c r="C79" s="219" t="s">
        <v>199</v>
      </c>
      <c r="D79" s="220" t="str">
        <f t="shared" si="1"/>
        <v>{ thread, threadln }</v>
      </c>
      <c r="E79" s="300" t="s">
        <v>278</v>
      </c>
      <c r="F79" s="221" t="s">
        <v>141</v>
      </c>
      <c r="G79" s="221" t="s">
        <v>143</v>
      </c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</row>
    <row r="80">
      <c r="A80" s="217">
        <v>80.0</v>
      </c>
      <c r="B80" s="301" t="s">
        <v>142</v>
      </c>
      <c r="C80" s="219" t="s">
        <v>199</v>
      </c>
      <c r="D80" s="220" t="str">
        <f t="shared" si="1"/>
        <v>{ !, id, intlit, longlit, floatlit, doublelit, charlit, stringlit,  true,  false, abs, len, pow, sqrt,  -, ( }</v>
      </c>
      <c r="E80" s="301" t="s">
        <v>279</v>
      </c>
      <c r="F80" s="221" t="s">
        <v>109</v>
      </c>
      <c r="G80" s="221" t="s">
        <v>14</v>
      </c>
      <c r="H80" s="221" t="s">
        <v>39</v>
      </c>
      <c r="I80" s="221" t="s">
        <v>43</v>
      </c>
      <c r="J80" s="221" t="s">
        <v>44</v>
      </c>
      <c r="K80" s="221" t="s">
        <v>45</v>
      </c>
      <c r="L80" s="221" t="s">
        <v>127</v>
      </c>
      <c r="M80" s="221" t="s">
        <v>128</v>
      </c>
      <c r="N80" s="221" t="s">
        <v>129</v>
      </c>
      <c r="O80" s="221" t="s">
        <v>130</v>
      </c>
      <c r="P80" s="221" t="s">
        <v>131</v>
      </c>
      <c r="Q80" s="221" t="s">
        <v>132</v>
      </c>
      <c r="R80" s="221" t="s">
        <v>133</v>
      </c>
      <c r="S80" s="221" t="s">
        <v>134</v>
      </c>
      <c r="T80" s="221" t="s">
        <v>116</v>
      </c>
      <c r="U80" s="221" t="s">
        <v>62</v>
      </c>
    </row>
    <row r="81">
      <c r="A81" s="217">
        <v>81.0</v>
      </c>
      <c r="B81" s="302" t="s">
        <v>144</v>
      </c>
      <c r="C81" s="219" t="s">
        <v>199</v>
      </c>
      <c r="D81" s="220" t="str">
        <f t="shared" si="1"/>
        <v>{ ,, λ }</v>
      </c>
      <c r="E81" s="302" t="s">
        <v>280</v>
      </c>
      <c r="F81" s="221" t="s">
        <v>38</v>
      </c>
      <c r="G81" s="221" t="s">
        <v>8</v>
      </c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</row>
    <row r="82">
      <c r="A82" s="217">
        <v>82.0</v>
      </c>
      <c r="B82" s="303" t="s">
        <v>83</v>
      </c>
      <c r="C82" s="219" t="s">
        <v>199</v>
      </c>
      <c r="D82" s="220" t="str">
        <f t="shared" si="1"/>
        <v>{ if, switch, for, while, do }</v>
      </c>
      <c r="E82" s="303" t="s">
        <v>281</v>
      </c>
      <c r="F82" s="221" t="s">
        <v>149</v>
      </c>
      <c r="G82" s="221" t="s">
        <v>173</v>
      </c>
      <c r="H82" s="221" t="s">
        <v>187</v>
      </c>
      <c r="I82" s="221" t="s">
        <v>194</v>
      </c>
      <c r="J82" s="221" t="s">
        <v>195</v>
      </c>
      <c r="K82" s="230"/>
      <c r="L82" s="230"/>
      <c r="M82" s="230"/>
      <c r="N82" s="230"/>
      <c r="O82" s="230"/>
      <c r="P82" s="230"/>
      <c r="Q82" s="230"/>
    </row>
    <row r="83">
      <c r="A83" s="217">
        <v>83.0</v>
      </c>
      <c r="B83" s="304" t="s">
        <v>145</v>
      </c>
      <c r="C83" s="219" t="s">
        <v>199</v>
      </c>
      <c r="D83" s="220" t="str">
        <f t="shared" si="1"/>
        <v>{ if, switch }</v>
      </c>
      <c r="E83" s="304" t="s">
        <v>282</v>
      </c>
      <c r="F83" s="221" t="s">
        <v>149</v>
      </c>
      <c r="G83" s="221" t="s">
        <v>173</v>
      </c>
      <c r="H83" s="230"/>
      <c r="I83" s="230"/>
      <c r="J83" s="230"/>
      <c r="K83" s="230"/>
      <c r="L83" s="230"/>
      <c r="M83" s="230"/>
      <c r="N83" s="230"/>
      <c r="O83" s="230"/>
      <c r="P83" s="230"/>
      <c r="Q83" s="230"/>
    </row>
    <row r="84">
      <c r="A84" s="217">
        <v>84.0</v>
      </c>
      <c r="B84" s="305" t="s">
        <v>147</v>
      </c>
      <c r="C84" s="219" t="s">
        <v>199</v>
      </c>
      <c r="D84" s="220" t="str">
        <f t="shared" si="1"/>
        <v>{ if }</v>
      </c>
      <c r="E84" s="305" t="s">
        <v>283</v>
      </c>
      <c r="F84" s="221" t="s">
        <v>149</v>
      </c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</row>
    <row r="85">
      <c r="A85" s="217">
        <v>85.0</v>
      </c>
      <c r="B85" s="306" t="s">
        <v>150</v>
      </c>
      <c r="C85" s="219" t="s">
        <v>199</v>
      </c>
      <c r="D85" s="220" t="str">
        <f t="shared" si="1"/>
        <v>{ !, id,  true,  false, (, -, intlit, longlit, floatlit, doublelit, charlit, stringlit, abs, len, pow, sqrt }</v>
      </c>
      <c r="E85" s="306" t="s">
        <v>284</v>
      </c>
      <c r="F85" s="221" t="s">
        <v>109</v>
      </c>
      <c r="G85" s="221" t="s">
        <v>14</v>
      </c>
      <c r="H85" s="221" t="s">
        <v>129</v>
      </c>
      <c r="I85" s="221" t="s">
        <v>130</v>
      </c>
      <c r="J85" s="221" t="s">
        <v>62</v>
      </c>
      <c r="K85" s="221" t="s">
        <v>41</v>
      </c>
      <c r="L85" s="221" t="s">
        <v>39</v>
      </c>
      <c r="M85" s="221" t="s">
        <v>43</v>
      </c>
      <c r="N85" s="221" t="s">
        <v>44</v>
      </c>
      <c r="O85" s="221" t="s">
        <v>45</v>
      </c>
      <c r="P85" s="221" t="s">
        <v>127</v>
      </c>
      <c r="Q85" s="221" t="s">
        <v>128</v>
      </c>
      <c r="R85" s="221" t="s">
        <v>131</v>
      </c>
      <c r="S85" s="221" t="s">
        <v>132</v>
      </c>
      <c r="T85" s="221" t="s">
        <v>133</v>
      </c>
      <c r="U85" s="221" t="s">
        <v>134</v>
      </c>
    </row>
    <row r="86">
      <c r="A86" s="217">
        <v>86.0</v>
      </c>
      <c r="B86" s="307" t="s">
        <v>155</v>
      </c>
      <c r="C86" s="219" t="s">
        <v>199</v>
      </c>
      <c r="D86" s="220" t="str">
        <f t="shared" si="1"/>
        <v>{ ||, λ }</v>
      </c>
      <c r="E86" s="307" t="s">
        <v>285</v>
      </c>
      <c r="F86" s="221" t="s">
        <v>105</v>
      </c>
      <c r="G86" s="221" t="s">
        <v>8</v>
      </c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</row>
    <row r="87">
      <c r="A87" s="217">
        <v>87.0</v>
      </c>
      <c r="B87" s="308" t="s">
        <v>154</v>
      </c>
      <c r="C87" s="219" t="s">
        <v>199</v>
      </c>
      <c r="D87" s="220" t="str">
        <f t="shared" si="1"/>
        <v>{ !, id,  true,  false, (, -, intlit, longlit, floatlit, doublelit, charlit, stringlit, abs, len, pow, sqrt }</v>
      </c>
      <c r="E87" s="308" t="s">
        <v>286</v>
      </c>
      <c r="F87" s="221" t="s">
        <v>109</v>
      </c>
      <c r="G87" s="221" t="s">
        <v>14</v>
      </c>
      <c r="H87" s="221" t="s">
        <v>129</v>
      </c>
      <c r="I87" s="221" t="s">
        <v>130</v>
      </c>
      <c r="J87" s="221" t="s">
        <v>62</v>
      </c>
      <c r="K87" s="221" t="s">
        <v>41</v>
      </c>
      <c r="L87" s="221" t="s">
        <v>39</v>
      </c>
      <c r="M87" s="221" t="s">
        <v>43</v>
      </c>
      <c r="N87" s="221" t="s">
        <v>44</v>
      </c>
      <c r="O87" s="221" t="s">
        <v>45</v>
      </c>
      <c r="P87" s="221" t="s">
        <v>127</v>
      </c>
      <c r="Q87" s="221" t="s">
        <v>128</v>
      </c>
      <c r="R87" s="221" t="s">
        <v>131</v>
      </c>
      <c r="S87" s="221" t="s">
        <v>132</v>
      </c>
      <c r="T87" s="221" t="s">
        <v>133</v>
      </c>
      <c r="U87" s="221" t="s">
        <v>134</v>
      </c>
    </row>
    <row r="88">
      <c r="A88" s="217">
        <v>88.0</v>
      </c>
      <c r="B88" s="309" t="s">
        <v>157</v>
      </c>
      <c r="C88" s="219" t="s">
        <v>199</v>
      </c>
      <c r="D88" s="220" t="str">
        <f t="shared" si="1"/>
        <v>{ &amp;&amp;, λ }</v>
      </c>
      <c r="E88" s="309" t="s">
        <v>287</v>
      </c>
      <c r="F88" s="221" t="s">
        <v>108</v>
      </c>
      <c r="G88" s="221" t="s">
        <v>8</v>
      </c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A89" s="217">
        <v>89.0</v>
      </c>
      <c r="B89" s="310" t="s">
        <v>156</v>
      </c>
      <c r="C89" s="219" t="s">
        <v>199</v>
      </c>
      <c r="D89" s="220" t="str">
        <f t="shared" si="1"/>
        <v>{ !, id,  true,  false, (, -, intlit, longlit, floatlit, doublelit, charlit, stringlit, abs, len, pow, sqrt }</v>
      </c>
      <c r="E89" s="310" t="s">
        <v>288</v>
      </c>
      <c r="F89" s="221" t="s">
        <v>109</v>
      </c>
      <c r="G89" s="221" t="s">
        <v>14</v>
      </c>
      <c r="H89" s="221" t="s">
        <v>129</v>
      </c>
      <c r="I89" s="221" t="s">
        <v>130</v>
      </c>
      <c r="J89" s="221" t="s">
        <v>62</v>
      </c>
      <c r="K89" s="221" t="s">
        <v>41</v>
      </c>
      <c r="L89" s="221" t="s">
        <v>39</v>
      </c>
      <c r="M89" s="221" t="s">
        <v>43</v>
      </c>
      <c r="N89" s="221" t="s">
        <v>44</v>
      </c>
      <c r="O89" s="221" t="s">
        <v>45</v>
      </c>
      <c r="P89" s="221" t="s">
        <v>127</v>
      </c>
      <c r="Q89" s="221" t="s">
        <v>128</v>
      </c>
      <c r="R89" s="221" t="s">
        <v>131</v>
      </c>
      <c r="S89" s="221" t="s">
        <v>132</v>
      </c>
      <c r="T89" s="221" t="s">
        <v>133</v>
      </c>
      <c r="U89" s="221" t="s">
        <v>134</v>
      </c>
    </row>
    <row r="90">
      <c r="A90" s="217">
        <v>90.0</v>
      </c>
      <c r="B90" s="311" t="s">
        <v>158</v>
      </c>
      <c r="C90" s="219" t="s">
        <v>199</v>
      </c>
      <c r="D90" s="220" t="str">
        <f t="shared" si="1"/>
        <v>{ id,  true,  false, (, -, intlit, longlit, floatlit, doublelit, charlit, stringlit, abs, len, pow, sqrt }</v>
      </c>
      <c r="E90" s="311" t="s">
        <v>289</v>
      </c>
      <c r="F90" s="221" t="s">
        <v>14</v>
      </c>
      <c r="G90" s="221" t="s">
        <v>129</v>
      </c>
      <c r="H90" s="221" t="s">
        <v>130</v>
      </c>
      <c r="I90" s="221" t="s">
        <v>62</v>
      </c>
      <c r="J90" s="221" t="s">
        <v>41</v>
      </c>
      <c r="K90" s="221" t="s">
        <v>39</v>
      </c>
      <c r="L90" s="221" t="s">
        <v>43</v>
      </c>
      <c r="M90" s="221" t="s">
        <v>44</v>
      </c>
      <c r="N90" s="221" t="s">
        <v>45</v>
      </c>
      <c r="O90" s="221" t="s">
        <v>127</v>
      </c>
      <c r="P90" s="221" t="s">
        <v>128</v>
      </c>
      <c r="Q90" s="221" t="s">
        <v>131</v>
      </c>
      <c r="R90" s="221" t="s">
        <v>132</v>
      </c>
      <c r="S90" s="221" t="s">
        <v>133</v>
      </c>
      <c r="T90" s="221" t="s">
        <v>134</v>
      </c>
      <c r="U90" s="230"/>
      <c r="V90" s="230"/>
      <c r="W90" s="230"/>
    </row>
    <row r="91">
      <c r="A91" s="217">
        <v>91.0</v>
      </c>
      <c r="B91" s="312" t="s">
        <v>160</v>
      </c>
      <c r="C91" s="219" t="s">
        <v>199</v>
      </c>
      <c r="D91" s="220" t="str">
        <f t="shared" si="1"/>
        <v>{  ==, !=, &gt;, &lt;, &gt;=, &lt;=, λ }</v>
      </c>
      <c r="E91" s="312" t="s">
        <v>290</v>
      </c>
      <c r="F91" s="221" t="s">
        <v>162</v>
      </c>
      <c r="G91" s="221" t="s">
        <v>163</v>
      </c>
      <c r="H91" s="221" t="s">
        <v>164</v>
      </c>
      <c r="I91" s="221" t="s">
        <v>165</v>
      </c>
      <c r="J91" s="221" t="s">
        <v>166</v>
      </c>
      <c r="K91" s="221" t="s">
        <v>167</v>
      </c>
      <c r="L91" s="221" t="s">
        <v>8</v>
      </c>
      <c r="M91" s="230"/>
      <c r="N91" s="230"/>
      <c r="O91" s="230"/>
      <c r="P91" s="230"/>
    </row>
    <row r="92">
      <c r="A92" s="217">
        <v>92.0</v>
      </c>
      <c r="B92" s="313" t="s">
        <v>161</v>
      </c>
      <c r="C92" s="219" t="s">
        <v>199</v>
      </c>
      <c r="D92" s="220" t="str">
        <f t="shared" si="1"/>
        <v>{ -, intlit, longlit, floatlit, doublelit, charlit, stringlit }</v>
      </c>
      <c r="E92" s="313" t="s">
        <v>291</v>
      </c>
      <c r="F92" s="221" t="s">
        <v>41</v>
      </c>
      <c r="G92" s="221" t="s">
        <v>39</v>
      </c>
      <c r="H92" s="221" t="s">
        <v>43</v>
      </c>
      <c r="I92" s="221" t="s">
        <v>44</v>
      </c>
      <c r="J92" s="221" t="s">
        <v>45</v>
      </c>
      <c r="K92" s="221" t="s">
        <v>127</v>
      </c>
      <c r="L92" s="221" t="s">
        <v>128</v>
      </c>
      <c r="M92" s="230"/>
      <c r="N92" s="230"/>
      <c r="O92" s="230"/>
      <c r="P92" s="230"/>
      <c r="Q92" s="230"/>
    </row>
    <row r="93">
      <c r="A93" s="217">
        <v>93.0</v>
      </c>
      <c r="B93" s="314" t="s">
        <v>112</v>
      </c>
      <c r="C93" s="219" t="s">
        <v>199</v>
      </c>
      <c r="D93" s="220" t="str">
        <f t="shared" si="1"/>
        <v>{  ==, !=, &gt;, &lt;, &gt;=, &lt;= }</v>
      </c>
      <c r="E93" s="314" t="s">
        <v>292</v>
      </c>
      <c r="F93" s="221" t="s">
        <v>162</v>
      </c>
      <c r="G93" s="221" t="s">
        <v>163</v>
      </c>
      <c r="H93" s="221" t="s">
        <v>164</v>
      </c>
      <c r="I93" s="221" t="s">
        <v>165</v>
      </c>
      <c r="J93" s="221" t="s">
        <v>166</v>
      </c>
      <c r="K93" s="221" t="s">
        <v>167</v>
      </c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A94" s="217">
        <v>94.0</v>
      </c>
      <c r="B94" s="315" t="s">
        <v>151</v>
      </c>
      <c r="C94" s="219" t="s">
        <v>199</v>
      </c>
      <c r="D94" s="220" t="str">
        <f t="shared" si="1"/>
        <v>{ local, id , abs, len, pow, sqrt, trap, thread, threadln, if, switch, for, while, do, break, λ }</v>
      </c>
      <c r="E94" s="315" t="s">
        <v>293</v>
      </c>
      <c r="F94" s="221" t="s">
        <v>79</v>
      </c>
      <c r="G94" s="221" t="s">
        <v>86</v>
      </c>
      <c r="H94" s="221" t="s">
        <v>131</v>
      </c>
      <c r="I94" s="221" t="s">
        <v>132</v>
      </c>
      <c r="J94" s="221" t="s">
        <v>133</v>
      </c>
      <c r="K94" s="221" t="s">
        <v>134</v>
      </c>
      <c r="L94" s="221" t="s">
        <v>138</v>
      </c>
      <c r="M94" s="221" t="s">
        <v>141</v>
      </c>
      <c r="N94" s="221" t="s">
        <v>143</v>
      </c>
      <c r="O94" s="221" t="s">
        <v>149</v>
      </c>
      <c r="P94" s="221" t="s">
        <v>173</v>
      </c>
      <c r="Q94" s="221" t="s">
        <v>187</v>
      </c>
      <c r="R94" s="221" t="s">
        <v>194</v>
      </c>
      <c r="S94" s="221" t="s">
        <v>195</v>
      </c>
      <c r="T94" s="221" t="s">
        <v>170</v>
      </c>
      <c r="U94" s="221" t="s">
        <v>8</v>
      </c>
    </row>
    <row r="95">
      <c r="A95" s="217">
        <v>95.0</v>
      </c>
      <c r="B95" s="316" t="s">
        <v>168</v>
      </c>
      <c r="C95" s="219" t="s">
        <v>199</v>
      </c>
      <c r="D95" s="220" t="str">
        <f t="shared" si="1"/>
        <v>{ id , abs, len, pow, sqrt, trap, thread, threadln, if, switch, for, while, do, break, λ }</v>
      </c>
      <c r="E95" s="316" t="s">
        <v>294</v>
      </c>
      <c r="F95" s="221" t="s">
        <v>86</v>
      </c>
      <c r="G95" s="221" t="s">
        <v>131</v>
      </c>
      <c r="H95" s="221" t="s">
        <v>132</v>
      </c>
      <c r="I95" s="221" t="s">
        <v>133</v>
      </c>
      <c r="J95" s="221" t="s">
        <v>134</v>
      </c>
      <c r="K95" s="221" t="s">
        <v>138</v>
      </c>
      <c r="L95" s="221" t="s">
        <v>141</v>
      </c>
      <c r="M95" s="221" t="s">
        <v>143</v>
      </c>
      <c r="N95" s="221" t="s">
        <v>149</v>
      </c>
      <c r="O95" s="221" t="s">
        <v>173</v>
      </c>
      <c r="P95" s="221" t="s">
        <v>187</v>
      </c>
      <c r="Q95" s="221" t="s">
        <v>194</v>
      </c>
      <c r="R95" s="221" t="s">
        <v>195</v>
      </c>
      <c r="S95" s="221" t="s">
        <v>170</v>
      </c>
      <c r="T95" s="221" t="s">
        <v>8</v>
      </c>
    </row>
    <row r="96">
      <c r="A96" s="217">
        <v>96.0</v>
      </c>
      <c r="B96" s="317" t="s">
        <v>169</v>
      </c>
      <c r="C96" s="219" t="s">
        <v>199</v>
      </c>
      <c r="D96" s="220" t="str">
        <f t="shared" si="1"/>
        <v>{ break, λ }</v>
      </c>
      <c r="E96" s="317" t="s">
        <v>295</v>
      </c>
      <c r="F96" s="221" t="s">
        <v>170</v>
      </c>
      <c r="G96" s="221" t="s">
        <v>8</v>
      </c>
      <c r="H96" s="230"/>
      <c r="I96" s="230"/>
      <c r="J96" s="230"/>
      <c r="K96" s="230"/>
      <c r="L96" s="230"/>
      <c r="M96" s="230"/>
      <c r="N96" s="230"/>
      <c r="O96" s="230"/>
      <c r="P96" s="230"/>
    </row>
    <row r="97">
      <c r="A97" s="217">
        <v>97.0</v>
      </c>
      <c r="B97" s="318" t="s">
        <v>152</v>
      </c>
      <c r="C97" s="219" t="s">
        <v>199</v>
      </c>
      <c r="D97" s="220" t="str">
        <f t="shared" si="1"/>
        <v>{ return, λ }</v>
      </c>
      <c r="E97" s="318" t="s">
        <v>296</v>
      </c>
      <c r="F97" s="221" t="s">
        <v>68</v>
      </c>
      <c r="G97" s="221" t="s">
        <v>8</v>
      </c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</row>
    <row r="98">
      <c r="A98" s="217">
        <v>98.0</v>
      </c>
      <c r="B98" s="319" t="s">
        <v>153</v>
      </c>
      <c r="C98" s="219" t="s">
        <v>199</v>
      </c>
      <c r="D98" s="220" t="str">
        <f t="shared" si="1"/>
        <v>{ else, λ }</v>
      </c>
      <c r="E98" s="319" t="s">
        <v>297</v>
      </c>
      <c r="F98" s="221" t="s">
        <v>171</v>
      </c>
      <c r="G98" s="221" t="s">
        <v>8</v>
      </c>
    </row>
    <row r="99">
      <c r="A99" s="217">
        <v>99.0</v>
      </c>
      <c r="B99" s="320" t="s">
        <v>172</v>
      </c>
      <c r="C99" s="219" t="s">
        <v>199</v>
      </c>
      <c r="D99" s="220" t="str">
        <f t="shared" si="1"/>
        <v>{ if, { }</v>
      </c>
      <c r="E99" s="320" t="s">
        <v>298</v>
      </c>
      <c r="F99" s="221" t="s">
        <v>149</v>
      </c>
      <c r="G99" s="221" t="s">
        <v>17</v>
      </c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</row>
    <row r="100">
      <c r="A100" s="217">
        <v>100.0</v>
      </c>
      <c r="B100" s="321" t="s">
        <v>148</v>
      </c>
      <c r="C100" s="219" t="s">
        <v>199</v>
      </c>
      <c r="D100" s="220" t="str">
        <f t="shared" si="1"/>
        <v>{ switch }</v>
      </c>
      <c r="E100" s="321" t="s">
        <v>299</v>
      </c>
      <c r="F100" s="221" t="s">
        <v>173</v>
      </c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</row>
    <row r="101">
      <c r="A101" s="217">
        <v>101.0</v>
      </c>
      <c r="B101" s="322" t="s">
        <v>175</v>
      </c>
      <c r="C101" s="219" t="s">
        <v>199</v>
      </c>
      <c r="D101" s="220" t="str">
        <f t="shared" si="1"/>
        <v>{ case, λ }</v>
      </c>
      <c r="E101" s="322" t="s">
        <v>300</v>
      </c>
      <c r="F101" s="221" t="s">
        <v>178</v>
      </c>
      <c r="G101" s="221" t="s">
        <v>8</v>
      </c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</row>
    <row r="102">
      <c r="A102" s="217">
        <v>102.0</v>
      </c>
      <c r="B102" s="323" t="s">
        <v>174</v>
      </c>
      <c r="C102" s="219" t="s">
        <v>199</v>
      </c>
      <c r="D102" s="220" t="str">
        <f t="shared" si="1"/>
        <v>{ !, id, intlit, longlit, floatlit, doublelit, charlit, stringlit,  true,  false, abs, len, pow, sqrt,  -, ( }</v>
      </c>
      <c r="E102" s="323" t="s">
        <v>301</v>
      </c>
      <c r="F102" s="221" t="s">
        <v>109</v>
      </c>
      <c r="G102" s="221" t="s">
        <v>14</v>
      </c>
      <c r="H102" s="221" t="s">
        <v>39</v>
      </c>
      <c r="I102" s="221" t="s">
        <v>43</v>
      </c>
      <c r="J102" s="221" t="s">
        <v>44</v>
      </c>
      <c r="K102" s="221" t="s">
        <v>45</v>
      </c>
      <c r="L102" s="221" t="s">
        <v>127</v>
      </c>
      <c r="M102" s="221" t="s">
        <v>128</v>
      </c>
      <c r="N102" s="221" t="s">
        <v>129</v>
      </c>
      <c r="O102" s="221" t="s">
        <v>130</v>
      </c>
      <c r="P102" s="221" t="s">
        <v>131</v>
      </c>
      <c r="Q102" s="221" t="s">
        <v>132</v>
      </c>
      <c r="R102" s="221" t="s">
        <v>133</v>
      </c>
      <c r="S102" s="221" t="s">
        <v>134</v>
      </c>
      <c r="T102" s="221" t="s">
        <v>116</v>
      </c>
      <c r="U102" s="221" t="s">
        <v>62</v>
      </c>
    </row>
    <row r="103">
      <c r="A103" s="217">
        <v>103.0</v>
      </c>
      <c r="B103" s="324" t="s">
        <v>177</v>
      </c>
      <c r="C103" s="219" t="s">
        <v>199</v>
      </c>
      <c r="D103" s="220" t="str">
        <f t="shared" si="1"/>
        <v>{ case }</v>
      </c>
      <c r="E103" s="324" t="s">
        <v>302</v>
      </c>
      <c r="F103" s="221" t="s">
        <v>178</v>
      </c>
      <c r="G103" s="230"/>
      <c r="H103" s="230"/>
      <c r="I103" s="230"/>
      <c r="J103" s="230"/>
      <c r="K103" s="230"/>
    </row>
    <row r="104">
      <c r="A104" s="217">
        <v>104.0</v>
      </c>
      <c r="B104" s="325" t="s">
        <v>179</v>
      </c>
      <c r="C104" s="219" t="s">
        <v>199</v>
      </c>
      <c r="D104" s="220" t="str">
        <f t="shared" si="1"/>
        <v>{ charlit,  true,  false, intlit, longlit, - }</v>
      </c>
      <c r="E104" s="325" t="s">
        <v>303</v>
      </c>
      <c r="F104" s="221" t="s">
        <v>127</v>
      </c>
      <c r="G104" s="221" t="s">
        <v>129</v>
      </c>
      <c r="H104" s="221" t="s">
        <v>130</v>
      </c>
      <c r="I104" s="221" t="s">
        <v>39</v>
      </c>
      <c r="J104" s="221" t="s">
        <v>43</v>
      </c>
      <c r="K104" s="221" t="s">
        <v>41</v>
      </c>
    </row>
    <row r="105">
      <c r="A105" s="217">
        <v>105.0</v>
      </c>
      <c r="B105" s="326" t="s">
        <v>181</v>
      </c>
      <c r="C105" s="219" t="s">
        <v>199</v>
      </c>
      <c r="D105" s="220" t="str">
        <f t="shared" si="1"/>
        <v>{ charlit,  true,  false, intlit, longlit, - }</v>
      </c>
      <c r="E105" s="326" t="s">
        <v>304</v>
      </c>
      <c r="F105" s="221" t="s">
        <v>127</v>
      </c>
      <c r="G105" s="221" t="s">
        <v>129</v>
      </c>
      <c r="H105" s="221" t="s">
        <v>130</v>
      </c>
      <c r="I105" s="221" t="s">
        <v>39</v>
      </c>
      <c r="J105" s="221" t="s">
        <v>43</v>
      </c>
      <c r="K105" s="221" t="s">
        <v>41</v>
      </c>
    </row>
    <row r="106">
      <c r="A106" s="217">
        <v>106.0</v>
      </c>
      <c r="B106" s="327" t="s">
        <v>182</v>
      </c>
      <c r="C106" s="219" t="s">
        <v>199</v>
      </c>
      <c r="D106" s="220" t="str">
        <f t="shared" si="1"/>
        <v>{ intlit, longlit }</v>
      </c>
      <c r="E106" s="327" t="s">
        <v>305</v>
      </c>
      <c r="F106" s="221" t="s">
        <v>39</v>
      </c>
      <c r="G106" s="221" t="s">
        <v>43</v>
      </c>
      <c r="H106" s="230"/>
    </row>
    <row r="107">
      <c r="A107" s="217">
        <v>107.0</v>
      </c>
      <c r="B107" s="328" t="s">
        <v>176</v>
      </c>
      <c r="C107" s="219" t="s">
        <v>199</v>
      </c>
      <c r="D107" s="220" t="str">
        <f t="shared" si="1"/>
        <v>{ default, λ }</v>
      </c>
      <c r="E107" s="328" t="s">
        <v>306</v>
      </c>
      <c r="F107" s="221" t="s">
        <v>183</v>
      </c>
      <c r="G107" s="221" t="s">
        <v>8</v>
      </c>
      <c r="H107" s="230"/>
      <c r="I107" s="230"/>
      <c r="J107" s="230"/>
    </row>
    <row r="108">
      <c r="A108" s="217">
        <v>108.0</v>
      </c>
      <c r="B108" s="329" t="s">
        <v>146</v>
      </c>
      <c r="C108" s="219" t="s">
        <v>199</v>
      </c>
      <c r="D108" s="220" t="str">
        <f t="shared" si="1"/>
        <v>{ for, while, do }</v>
      </c>
      <c r="E108" s="329" t="s">
        <v>307</v>
      </c>
      <c r="F108" s="221" t="s">
        <v>187</v>
      </c>
      <c r="G108" s="221" t="s">
        <v>194</v>
      </c>
      <c r="H108" s="221" t="s">
        <v>195</v>
      </c>
      <c r="I108" s="230"/>
      <c r="J108" s="230"/>
    </row>
    <row r="109">
      <c r="A109" s="217">
        <v>109.0</v>
      </c>
      <c r="B109" s="330" t="s">
        <v>184</v>
      </c>
      <c r="C109" s="219" t="s">
        <v>199</v>
      </c>
      <c r="D109" s="220" t="str">
        <f t="shared" si="1"/>
        <v>{ for }</v>
      </c>
      <c r="E109" s="330" t="s">
        <v>308</v>
      </c>
      <c r="F109" s="221" t="s">
        <v>187</v>
      </c>
      <c r="G109" s="230"/>
      <c r="H109" s="230"/>
      <c r="I109" s="230"/>
      <c r="J109" s="230"/>
    </row>
    <row r="110">
      <c r="A110" s="217">
        <v>110.0</v>
      </c>
      <c r="B110" s="331" t="s">
        <v>188</v>
      </c>
      <c r="C110" s="219" t="s">
        <v>199</v>
      </c>
      <c r="D110" s="220" t="str">
        <f t="shared" si="1"/>
        <v>{ local, id, λ }</v>
      </c>
      <c r="E110" s="331" t="s">
        <v>309</v>
      </c>
      <c r="F110" s="221" t="s">
        <v>79</v>
      </c>
      <c r="G110" s="221" t="s">
        <v>14</v>
      </c>
      <c r="H110" s="221" t="s">
        <v>8</v>
      </c>
      <c r="I110" s="230"/>
      <c r="J110" s="230"/>
    </row>
    <row r="111">
      <c r="A111" s="217">
        <v>111.0</v>
      </c>
      <c r="B111" s="332" t="s">
        <v>189</v>
      </c>
      <c r="C111" s="219" t="s">
        <v>199</v>
      </c>
      <c r="D111" s="220" t="str">
        <f t="shared" si="1"/>
        <v>{ id, λ }</v>
      </c>
      <c r="E111" s="332" t="s">
        <v>310</v>
      </c>
      <c r="F111" s="221" t="s">
        <v>14</v>
      </c>
      <c r="G111" s="221" t="s">
        <v>8</v>
      </c>
      <c r="H111" s="230"/>
      <c r="I111" s="230"/>
      <c r="J111" s="230"/>
    </row>
    <row r="112">
      <c r="A112" s="217">
        <v>112.0</v>
      </c>
      <c r="B112" s="333" t="s">
        <v>190</v>
      </c>
      <c r="C112" s="219" t="s">
        <v>199</v>
      </c>
      <c r="D112" s="220" t="str">
        <f t="shared" si="1"/>
        <v>{  +=,  -=,  *=,  /=, %= }</v>
      </c>
      <c r="E112" s="333" t="s">
        <v>311</v>
      </c>
      <c r="F112" s="221" t="s">
        <v>95</v>
      </c>
      <c r="G112" s="221" t="s">
        <v>191</v>
      </c>
      <c r="H112" s="221" t="s">
        <v>192</v>
      </c>
      <c r="I112" s="221" t="s">
        <v>193</v>
      </c>
      <c r="J112" s="221" t="s">
        <v>99</v>
      </c>
      <c r="K112" s="230"/>
      <c r="L112" s="230"/>
      <c r="M112" s="230"/>
      <c r="N112" s="230"/>
      <c r="O112" s="230"/>
      <c r="P112" s="230"/>
      <c r="Q112" s="230"/>
    </row>
    <row r="113">
      <c r="A113" s="217">
        <v>113.0</v>
      </c>
      <c r="B113" s="334" t="s">
        <v>185</v>
      </c>
      <c r="C113" s="219" t="s">
        <v>199</v>
      </c>
      <c r="D113" s="220" t="str">
        <f t="shared" si="1"/>
        <v>{ while }</v>
      </c>
      <c r="E113" s="334" t="s">
        <v>312</v>
      </c>
      <c r="F113" s="221" t="s">
        <v>194</v>
      </c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</row>
    <row r="114">
      <c r="A114" s="217">
        <v>114.0</v>
      </c>
      <c r="B114" s="335" t="s">
        <v>186</v>
      </c>
      <c r="C114" s="219" t="s">
        <v>199</v>
      </c>
      <c r="D114" s="220" t="str">
        <f t="shared" si="1"/>
        <v>{ do }</v>
      </c>
      <c r="E114" s="335" t="s">
        <v>313</v>
      </c>
      <c r="F114" s="221" t="s">
        <v>195</v>
      </c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</row>
    <row r="115">
      <c r="A115" s="217">
        <v>115.0</v>
      </c>
      <c r="B115" s="336" t="s">
        <v>66</v>
      </c>
      <c r="C115" s="219" t="s">
        <v>199</v>
      </c>
      <c r="D115" s="220" t="str">
        <f t="shared" si="1"/>
        <v>{ return }</v>
      </c>
      <c r="E115" s="336" t="s">
        <v>314</v>
      </c>
      <c r="F115" s="221" t="s">
        <v>68</v>
      </c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</row>
    <row r="116">
      <c r="A116" s="217">
        <v>116.0</v>
      </c>
      <c r="B116" s="337" t="s">
        <v>3</v>
      </c>
      <c r="C116" s="219" t="s">
        <v>199</v>
      </c>
      <c r="D116" s="220" t="str">
        <f t="shared" si="1"/>
        <v>{ int  }</v>
      </c>
      <c r="E116" s="337" t="s">
        <v>315</v>
      </c>
      <c r="F116" s="221" t="s">
        <v>196</v>
      </c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A117" s="217">
        <v>117.0</v>
      </c>
      <c r="B117" s="338" t="s">
        <v>198</v>
      </c>
      <c r="C117" s="219" t="s">
        <v>199</v>
      </c>
      <c r="D117" s="220" t="str">
        <f t="shared" si="1"/>
        <v>{ using, local, id , abs, len, pow, sqrt, trap, thread, threadln, if, switch, for, while, do, return }</v>
      </c>
      <c r="E117" s="338" t="s">
        <v>316</v>
      </c>
      <c r="F117" s="221" t="s">
        <v>77</v>
      </c>
      <c r="G117" s="221" t="s">
        <v>79</v>
      </c>
      <c r="H117" s="221" t="s">
        <v>86</v>
      </c>
      <c r="I117" s="221" t="s">
        <v>131</v>
      </c>
      <c r="J117" s="221" t="s">
        <v>132</v>
      </c>
      <c r="K117" s="221" t="s">
        <v>133</v>
      </c>
      <c r="L117" s="221" t="s">
        <v>134</v>
      </c>
      <c r="M117" s="221" t="s">
        <v>138</v>
      </c>
      <c r="N117" s="221" t="s">
        <v>141</v>
      </c>
      <c r="O117" s="221" t="s">
        <v>143</v>
      </c>
      <c r="P117" s="221" t="s">
        <v>149</v>
      </c>
      <c r="Q117" s="221" t="s">
        <v>173</v>
      </c>
      <c r="R117" s="221" t="s">
        <v>187</v>
      </c>
      <c r="S117" s="221" t="s">
        <v>194</v>
      </c>
      <c r="T117" s="221" t="s">
        <v>195</v>
      </c>
      <c r="U117" s="221" t="s">
        <v>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</cols>
  <sheetData>
    <row r="1">
      <c r="A1" s="217">
        <v>1.0</v>
      </c>
      <c r="B1" s="218" t="s">
        <v>0</v>
      </c>
      <c r="C1" s="219" t="s">
        <v>199</v>
      </c>
      <c r="D1" s="220" t="str">
        <f t="shared" ref="D1:D117" si="1">"{ " &amp; TEXTJOIN(", ", TRUE, F1:Z1) &amp; " }"</f>
        <v>{  }</v>
      </c>
      <c r="E1" s="218" t="s">
        <v>317</v>
      </c>
    </row>
    <row r="2">
      <c r="A2" s="217">
        <v>2.0</v>
      </c>
      <c r="B2" s="222" t="s">
        <v>1</v>
      </c>
      <c r="C2" s="219" t="s">
        <v>199</v>
      </c>
      <c r="D2" s="220" t="str">
        <f t="shared" si="1"/>
        <v>{ func, int  }</v>
      </c>
      <c r="E2" s="222" t="s">
        <v>318</v>
      </c>
      <c r="F2" s="339" t="s">
        <v>59</v>
      </c>
      <c r="G2" s="339" t="s">
        <v>196</v>
      </c>
    </row>
    <row r="3">
      <c r="A3" s="217">
        <v>3.0</v>
      </c>
      <c r="B3" s="223" t="s">
        <v>5</v>
      </c>
      <c r="C3" s="219" t="s">
        <v>199</v>
      </c>
      <c r="D3" s="220" t="str">
        <f t="shared" si="1"/>
        <v>{ ; }</v>
      </c>
      <c r="E3" s="223" t="s">
        <v>319</v>
      </c>
      <c r="F3" s="339" t="s">
        <v>6</v>
      </c>
    </row>
    <row r="4">
      <c r="A4" s="217">
        <v>4.0</v>
      </c>
      <c r="B4" s="224" t="s">
        <v>10</v>
      </c>
      <c r="C4" s="219" t="s">
        <v>199</v>
      </c>
      <c r="D4" s="220" t="str">
        <f t="shared" si="1"/>
        <v>{ ; }</v>
      </c>
      <c r="E4" s="224" t="s">
        <v>320</v>
      </c>
      <c r="F4" s="339" t="s">
        <v>6</v>
      </c>
    </row>
    <row r="5">
      <c r="A5" s="217">
        <v>5.0</v>
      </c>
      <c r="B5" s="225" t="s">
        <v>12</v>
      </c>
      <c r="C5" s="219" t="s">
        <v>199</v>
      </c>
      <c r="D5" s="220" t="str">
        <f t="shared" si="1"/>
        <v>{ ; }</v>
      </c>
      <c r="E5" s="225" t="s">
        <v>321</v>
      </c>
      <c r="F5" s="339" t="s">
        <v>6</v>
      </c>
    </row>
    <row r="6">
      <c r="A6" s="217">
        <v>6.0</v>
      </c>
      <c r="B6" s="226" t="s">
        <v>13</v>
      </c>
      <c r="C6" s="219" t="s">
        <v>199</v>
      </c>
      <c r="D6" s="220" t="str">
        <f t="shared" si="1"/>
        <v>{ id, [, ) }</v>
      </c>
      <c r="E6" s="226" t="s">
        <v>322</v>
      </c>
      <c r="F6" s="339" t="s">
        <v>14</v>
      </c>
      <c r="G6" s="339" t="s">
        <v>30</v>
      </c>
      <c r="H6" s="339" t="s">
        <v>64</v>
      </c>
    </row>
    <row r="7">
      <c r="A7" s="217">
        <v>7.0</v>
      </c>
      <c r="B7" s="227" t="s">
        <v>15</v>
      </c>
      <c r="C7" s="219" t="s">
        <v>199</v>
      </c>
      <c r="D7" s="220" t="str">
        <f t="shared" si="1"/>
        <v>{ ; }</v>
      </c>
      <c r="E7" s="227" t="s">
        <v>323</v>
      </c>
      <c r="F7" s="339" t="s">
        <v>6</v>
      </c>
    </row>
    <row r="8">
      <c r="A8" s="217">
        <v>8.0</v>
      </c>
      <c r="B8" s="228" t="s">
        <v>20</v>
      </c>
      <c r="C8" s="219" t="s">
        <v>199</v>
      </c>
      <c r="D8" s="220" t="str">
        <f t="shared" si="1"/>
        <v>{ ; }</v>
      </c>
      <c r="E8" s="228" t="s">
        <v>324</v>
      </c>
      <c r="F8" s="339" t="s">
        <v>6</v>
      </c>
    </row>
    <row r="9">
      <c r="A9" s="217">
        <v>9.0</v>
      </c>
      <c r="B9" s="229" t="s">
        <v>28</v>
      </c>
      <c r="C9" s="219" t="s">
        <v>199</v>
      </c>
      <c r="D9" s="220" t="str">
        <f t="shared" si="1"/>
        <v>{ ,, ;, ) }</v>
      </c>
      <c r="E9" s="229" t="s">
        <v>325</v>
      </c>
      <c r="F9" s="339" t="s">
        <v>38</v>
      </c>
      <c r="G9" s="339" t="s">
        <v>6</v>
      </c>
      <c r="H9" s="339" t="s">
        <v>64</v>
      </c>
    </row>
    <row r="10">
      <c r="A10" s="217">
        <v>10.0</v>
      </c>
      <c r="B10" s="231" t="s">
        <v>29</v>
      </c>
      <c r="C10" s="219" t="s">
        <v>199</v>
      </c>
      <c r="D10" s="220" t="str">
        <f t="shared" si="1"/>
        <v>{ ; }</v>
      </c>
      <c r="E10" s="231" t="s">
        <v>326</v>
      </c>
      <c r="F10" s="339" t="s">
        <v>6</v>
      </c>
    </row>
    <row r="11">
      <c r="A11" s="217">
        <v>11.0</v>
      </c>
      <c r="B11" s="232" t="s">
        <v>35</v>
      </c>
      <c r="C11" s="219" t="s">
        <v>199</v>
      </c>
      <c r="D11" s="220" t="str">
        <f t="shared" si="1"/>
        <v>{ ; }</v>
      </c>
      <c r="E11" s="232" t="s">
        <v>327</v>
      </c>
      <c r="F11" s="339" t="s">
        <v>6</v>
      </c>
    </row>
    <row r="12">
      <c r="A12" s="217">
        <v>12.0</v>
      </c>
      <c r="B12" s="233" t="s">
        <v>31</v>
      </c>
      <c r="C12" s="219" t="s">
        <v>199</v>
      </c>
      <c r="D12" s="220" t="str">
        <f t="shared" si="1"/>
        <v>{ ] }</v>
      </c>
      <c r="E12" s="233" t="s">
        <v>328</v>
      </c>
      <c r="F12" s="339" t="s">
        <v>32</v>
      </c>
      <c r="G12" s="230"/>
      <c r="H12" s="230"/>
    </row>
    <row r="13">
      <c r="A13" s="217">
        <v>13.0</v>
      </c>
      <c r="B13" s="234" t="s">
        <v>34</v>
      </c>
      <c r="C13" s="219" t="s">
        <v>199</v>
      </c>
      <c r="D13" s="220" t="str">
        <f t="shared" si="1"/>
        <v>{ ,, ;, } }</v>
      </c>
      <c r="E13" s="234" t="s">
        <v>329</v>
      </c>
      <c r="F13" s="339" t="s">
        <v>38</v>
      </c>
      <c r="G13" s="339" t="s">
        <v>6</v>
      </c>
      <c r="H13" s="339" t="s">
        <v>19</v>
      </c>
    </row>
    <row r="14">
      <c r="A14" s="217">
        <v>14.0</v>
      </c>
      <c r="B14" s="235" t="s">
        <v>42</v>
      </c>
      <c r="C14" s="219" t="s">
        <v>199</v>
      </c>
      <c r="D14" s="220" t="str">
        <f t="shared" si="1"/>
        <v>{ ,, ;, } }</v>
      </c>
      <c r="E14" s="235" t="s">
        <v>330</v>
      </c>
      <c r="F14" s="339" t="s">
        <v>38</v>
      </c>
      <c r="G14" s="339" t="s">
        <v>6</v>
      </c>
      <c r="H14" s="339" t="s">
        <v>19</v>
      </c>
    </row>
    <row r="15">
      <c r="A15" s="217">
        <v>15.0</v>
      </c>
      <c r="B15" s="236" t="s">
        <v>33</v>
      </c>
      <c r="C15" s="219" t="s">
        <v>199</v>
      </c>
      <c r="D15" s="220" t="str">
        <f t="shared" si="1"/>
        <v>{ ; }</v>
      </c>
      <c r="E15" s="236" t="s">
        <v>331</v>
      </c>
      <c r="F15" s="339" t="s">
        <v>6</v>
      </c>
    </row>
    <row r="16">
      <c r="A16" s="217">
        <v>16.0</v>
      </c>
      <c r="B16" s="237" t="s">
        <v>46</v>
      </c>
      <c r="C16" s="219" t="s">
        <v>199</v>
      </c>
      <c r="D16" s="220" t="str">
        <f t="shared" si="1"/>
        <v>{ } }</v>
      </c>
      <c r="E16" s="237" t="s">
        <v>332</v>
      </c>
      <c r="F16" s="339" t="s">
        <v>19</v>
      </c>
      <c r="G16" s="230"/>
    </row>
    <row r="17">
      <c r="A17" s="217">
        <v>17.0</v>
      </c>
      <c r="B17" s="238" t="s">
        <v>48</v>
      </c>
      <c r="C17" s="219" t="s">
        <v>199</v>
      </c>
      <c r="D17" s="220" t="str">
        <f t="shared" si="1"/>
        <v>{ ,, } }</v>
      </c>
      <c r="E17" s="238" t="s">
        <v>333</v>
      </c>
      <c r="F17" s="339" t="s">
        <v>38</v>
      </c>
      <c r="G17" s="339" t="s">
        <v>19</v>
      </c>
    </row>
    <row r="18">
      <c r="A18" s="217">
        <v>18.0</v>
      </c>
      <c r="B18" s="239" t="s">
        <v>49</v>
      </c>
      <c r="C18" s="219" t="s">
        <v>199</v>
      </c>
      <c r="D18" s="220" t="str">
        <f t="shared" si="1"/>
        <v>{ } }</v>
      </c>
      <c r="E18" s="239" t="s">
        <v>334</v>
      </c>
      <c r="F18" s="339" t="s">
        <v>19</v>
      </c>
    </row>
    <row r="19">
      <c r="A19" s="217">
        <v>19.0</v>
      </c>
      <c r="B19" s="240" t="s">
        <v>47</v>
      </c>
      <c r="C19" s="219" t="s">
        <v>199</v>
      </c>
      <c r="D19" s="220" t="str">
        <f t="shared" si="1"/>
        <v>{ ; }</v>
      </c>
      <c r="E19" s="240" t="s">
        <v>335</v>
      </c>
      <c r="F19" s="339" t="s">
        <v>6</v>
      </c>
    </row>
    <row r="20">
      <c r="A20" s="217">
        <v>20.0</v>
      </c>
      <c r="B20" s="241" t="s">
        <v>50</v>
      </c>
      <c r="C20" s="219" t="s">
        <v>199</v>
      </c>
      <c r="D20" s="220" t="str">
        <f t="shared" si="1"/>
        <v>{ ; }</v>
      </c>
      <c r="E20" s="241" t="s">
        <v>336</v>
      </c>
      <c r="F20" s="339" t="s">
        <v>6</v>
      </c>
    </row>
    <row r="21">
      <c r="A21" s="217">
        <v>21.0</v>
      </c>
      <c r="B21" s="242" t="s">
        <v>51</v>
      </c>
      <c r="C21" s="219" t="s">
        <v>199</v>
      </c>
      <c r="D21" s="220" t="str">
        <f t="shared" si="1"/>
        <v>{ } }</v>
      </c>
      <c r="E21" s="242" t="s">
        <v>337</v>
      </c>
      <c r="F21" s="339" t="s">
        <v>19</v>
      </c>
    </row>
    <row r="22">
      <c r="A22" s="217">
        <v>22.0</v>
      </c>
      <c r="B22" s="243" t="s">
        <v>52</v>
      </c>
      <c r="C22" s="219" t="s">
        <v>199</v>
      </c>
      <c r="D22" s="220" t="str">
        <f t="shared" si="1"/>
        <v>{ } }</v>
      </c>
      <c r="E22" s="243" t="s">
        <v>338</v>
      </c>
      <c r="F22" s="339" t="s">
        <v>19</v>
      </c>
      <c r="G22" s="230"/>
    </row>
    <row r="23">
      <c r="A23" s="217">
        <v>23.0</v>
      </c>
      <c r="B23" s="244" t="s">
        <v>36</v>
      </c>
      <c r="C23" s="219" t="s">
        <v>199</v>
      </c>
      <c r="D23" s="220" t="str">
        <f t="shared" si="1"/>
        <v>{ ; }</v>
      </c>
      <c r="E23" s="244" t="s">
        <v>339</v>
      </c>
      <c r="F23" s="339" t="s">
        <v>6</v>
      </c>
    </row>
    <row r="24">
      <c r="A24" s="217">
        <v>24.0</v>
      </c>
      <c r="B24" s="245" t="s">
        <v>18</v>
      </c>
      <c r="C24" s="219" t="s">
        <v>199</v>
      </c>
      <c r="D24" s="220" t="str">
        <f t="shared" si="1"/>
        <v>{ } }</v>
      </c>
      <c r="E24" s="245" t="s">
        <v>340</v>
      </c>
      <c r="F24" s="339" t="s">
        <v>19</v>
      </c>
      <c r="G24" s="230"/>
      <c r="H24" s="230"/>
      <c r="I24" s="230"/>
    </row>
    <row r="25">
      <c r="A25" s="217">
        <v>25.0</v>
      </c>
      <c r="B25" s="246" t="s">
        <v>53</v>
      </c>
      <c r="C25" s="219" t="s">
        <v>199</v>
      </c>
      <c r="D25" s="220" t="str">
        <f t="shared" si="1"/>
        <v>{ ,, } }</v>
      </c>
      <c r="E25" s="246" t="s">
        <v>341</v>
      </c>
      <c r="F25" s="339" t="s">
        <v>38</v>
      </c>
      <c r="G25" s="339" t="s">
        <v>19</v>
      </c>
    </row>
    <row r="26">
      <c r="A26" s="217">
        <v>26.0</v>
      </c>
      <c r="B26" s="247" t="s">
        <v>54</v>
      </c>
      <c r="C26" s="219" t="s">
        <v>199</v>
      </c>
      <c r="D26" s="220" t="str">
        <f t="shared" si="1"/>
        <v>{ } }</v>
      </c>
      <c r="E26" s="247" t="s">
        <v>342</v>
      </c>
      <c r="F26" s="339" t="s">
        <v>19</v>
      </c>
      <c r="G26" s="230"/>
      <c r="H26" s="230"/>
      <c r="I26" s="230"/>
      <c r="J26" s="230"/>
      <c r="K26" s="230"/>
      <c r="L26" s="230"/>
      <c r="M26" s="230"/>
    </row>
    <row r="27">
      <c r="A27" s="217">
        <v>27.0</v>
      </c>
      <c r="B27" s="248" t="s">
        <v>7</v>
      </c>
      <c r="C27" s="219" t="s">
        <v>199</v>
      </c>
      <c r="D27" s="220" t="str">
        <f t="shared" si="1"/>
        <v>{ global , weave, func, int  }</v>
      </c>
      <c r="E27" s="248" t="s">
        <v>343</v>
      </c>
      <c r="F27" s="339" t="s">
        <v>4</v>
      </c>
      <c r="G27" s="339" t="s">
        <v>55</v>
      </c>
      <c r="H27" s="339" t="s">
        <v>59</v>
      </c>
      <c r="I27" s="339" t="s">
        <v>196</v>
      </c>
    </row>
    <row r="28">
      <c r="A28" s="217">
        <v>28.0</v>
      </c>
      <c r="B28" s="249" t="s">
        <v>56</v>
      </c>
      <c r="C28" s="219" t="s">
        <v>199</v>
      </c>
      <c r="D28" s="220" t="str">
        <f t="shared" si="1"/>
        <v>{ } }</v>
      </c>
      <c r="E28" s="249" t="s">
        <v>344</v>
      </c>
      <c r="F28" s="339" t="s">
        <v>19</v>
      </c>
      <c r="G28" s="230"/>
      <c r="H28" s="230"/>
      <c r="I28" s="230"/>
      <c r="J28" s="230"/>
      <c r="K28" s="230"/>
      <c r="L28" s="230"/>
      <c r="M28" s="230"/>
    </row>
    <row r="29">
      <c r="A29" s="217">
        <v>29.0</v>
      </c>
      <c r="B29" s="250" t="s">
        <v>57</v>
      </c>
      <c r="C29" s="219" t="s">
        <v>199</v>
      </c>
      <c r="D29" s="220" t="str">
        <f t="shared" si="1"/>
        <v>{ int, long, float, double, char, string, bool, } }</v>
      </c>
      <c r="E29" s="250" t="s">
        <v>345</v>
      </c>
      <c r="F29" s="339" t="s">
        <v>21</v>
      </c>
      <c r="G29" s="339" t="s">
        <v>22</v>
      </c>
      <c r="H29" s="339" t="s">
        <v>23</v>
      </c>
      <c r="I29" s="339" t="s">
        <v>24</v>
      </c>
      <c r="J29" s="339" t="s">
        <v>25</v>
      </c>
      <c r="K29" s="339" t="s">
        <v>26</v>
      </c>
      <c r="L29" s="339" t="s">
        <v>27</v>
      </c>
      <c r="M29" s="339" t="s">
        <v>19</v>
      </c>
    </row>
    <row r="30">
      <c r="A30" s="217">
        <v>30.0</v>
      </c>
      <c r="B30" s="251" t="s">
        <v>2</v>
      </c>
      <c r="C30" s="219" t="s">
        <v>199</v>
      </c>
      <c r="D30" s="220" t="str">
        <f t="shared" si="1"/>
        <v>{ int  }</v>
      </c>
      <c r="E30" s="251" t="s">
        <v>346</v>
      </c>
      <c r="F30" s="339" t="s">
        <v>196</v>
      </c>
      <c r="G30" s="230"/>
    </row>
    <row r="31">
      <c r="A31" s="217">
        <v>31.0</v>
      </c>
      <c r="B31" s="252" t="s">
        <v>58</v>
      </c>
      <c r="C31" s="219" t="s">
        <v>199</v>
      </c>
      <c r="D31" s="220" t="str">
        <f t="shared" si="1"/>
        <v>{ func, int  }</v>
      </c>
      <c r="E31" s="252" t="s">
        <v>347</v>
      </c>
      <c r="F31" s="339" t="s">
        <v>59</v>
      </c>
      <c r="G31" s="339" t="s">
        <v>196</v>
      </c>
    </row>
    <row r="32">
      <c r="A32" s="217">
        <v>32.0</v>
      </c>
      <c r="B32" s="253" t="s">
        <v>60</v>
      </c>
      <c r="C32" s="219" t="s">
        <v>199</v>
      </c>
      <c r="D32" s="220" t="str">
        <f t="shared" si="1"/>
        <v>{ func, int  }</v>
      </c>
      <c r="E32" s="253" t="s">
        <v>348</v>
      </c>
      <c r="F32" s="339" t="s">
        <v>59</v>
      </c>
      <c r="G32" s="339" t="s">
        <v>196</v>
      </c>
    </row>
    <row r="33">
      <c r="A33" s="217">
        <v>33.0</v>
      </c>
      <c r="B33" s="254" t="s">
        <v>61</v>
      </c>
      <c r="C33" s="219" t="s">
        <v>199</v>
      </c>
      <c r="D33" s="220" t="str">
        <f t="shared" si="1"/>
        <v>{ id }</v>
      </c>
      <c r="E33" s="254" t="s">
        <v>349</v>
      </c>
      <c r="F33" s="339" t="s">
        <v>14</v>
      </c>
    </row>
    <row r="34">
      <c r="A34" s="217">
        <v>34.0</v>
      </c>
      <c r="B34" s="255" t="s">
        <v>69</v>
      </c>
      <c r="C34" s="219" t="s">
        <v>199</v>
      </c>
      <c r="D34" s="220" t="str">
        <f t="shared" si="1"/>
        <v>{ id }</v>
      </c>
      <c r="E34" s="255" t="s">
        <v>350</v>
      </c>
      <c r="F34" s="339" t="s">
        <v>14</v>
      </c>
      <c r="G34" s="230"/>
    </row>
    <row r="35">
      <c r="A35" s="217">
        <v>35.0</v>
      </c>
      <c r="B35" s="256" t="s">
        <v>63</v>
      </c>
      <c r="C35" s="219" t="s">
        <v>199</v>
      </c>
      <c r="D35" s="220" t="str">
        <f t="shared" si="1"/>
        <v>{ ) }</v>
      </c>
      <c r="E35" s="256" t="s">
        <v>351</v>
      </c>
      <c r="F35" s="339" t="s">
        <v>64</v>
      </c>
      <c r="G35" s="230"/>
    </row>
    <row r="36">
      <c r="A36" s="217">
        <v>36.0</v>
      </c>
      <c r="B36" s="257" t="s">
        <v>71</v>
      </c>
      <c r="C36" s="219" t="s">
        <v>199</v>
      </c>
      <c r="D36" s="220" t="str">
        <f t="shared" si="1"/>
        <v>{ ) }</v>
      </c>
      <c r="E36" s="257" t="s">
        <v>352</v>
      </c>
      <c r="F36" s="339" t="s">
        <v>64</v>
      </c>
      <c r="G36" s="230"/>
    </row>
    <row r="37">
      <c r="A37" s="217">
        <v>37.0</v>
      </c>
      <c r="B37" s="258" t="s">
        <v>70</v>
      </c>
      <c r="C37" s="219" t="s">
        <v>199</v>
      </c>
      <c r="D37" s="220" t="str">
        <f t="shared" si="1"/>
        <v>{ ,, ) }</v>
      </c>
      <c r="E37" s="258" t="s">
        <v>353</v>
      </c>
      <c r="F37" s="339" t="s">
        <v>38</v>
      </c>
      <c r="G37" s="339" t="s">
        <v>64</v>
      </c>
    </row>
    <row r="38">
      <c r="A38" s="217">
        <v>38.0</v>
      </c>
      <c r="B38" s="259" t="s">
        <v>72</v>
      </c>
      <c r="C38" s="219" t="s">
        <v>199</v>
      </c>
      <c r="D38" s="220" t="str">
        <f t="shared" si="1"/>
        <v>{ ,, ) }</v>
      </c>
      <c r="E38" s="259" t="s">
        <v>354</v>
      </c>
      <c r="F38" s="339" t="s">
        <v>38</v>
      </c>
      <c r="G38" s="339" t="s">
        <v>64</v>
      </c>
      <c r="H38" s="230"/>
      <c r="I38" s="230"/>
      <c r="J38" s="230"/>
      <c r="K38" s="230"/>
      <c r="L38" s="230"/>
      <c r="M38" s="230"/>
      <c r="N38" s="230"/>
      <c r="O38" s="230"/>
      <c r="P38" s="230"/>
    </row>
    <row r="39">
      <c r="A39" s="217">
        <v>39.0</v>
      </c>
      <c r="B39" s="260" t="s">
        <v>65</v>
      </c>
      <c r="C39" s="219" t="s">
        <v>199</v>
      </c>
      <c r="D39" s="220" t="str">
        <f t="shared" si="1"/>
        <v>{ return }</v>
      </c>
      <c r="E39" s="260" t="s">
        <v>355</v>
      </c>
      <c r="F39" s="339" t="s">
        <v>68</v>
      </c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</row>
    <row r="40">
      <c r="A40" s="217">
        <v>40.0</v>
      </c>
      <c r="B40" s="261" t="s">
        <v>73</v>
      </c>
      <c r="C40" s="219" t="s">
        <v>199</v>
      </c>
      <c r="D40" s="220" t="str">
        <f t="shared" si="1"/>
        <v>{ local, id , abs, len, pow, sqrt, trap, thread, threadln, if, switch, for, while, do, return }</v>
      </c>
      <c r="E40" s="261" t="s">
        <v>356</v>
      </c>
      <c r="F40" s="339" t="s">
        <v>79</v>
      </c>
      <c r="G40" s="339" t="s">
        <v>86</v>
      </c>
      <c r="H40" s="339" t="s">
        <v>131</v>
      </c>
      <c r="I40" s="339" t="s">
        <v>132</v>
      </c>
      <c r="J40" s="339" t="s">
        <v>133</v>
      </c>
      <c r="K40" s="339" t="s">
        <v>134</v>
      </c>
      <c r="L40" s="339" t="s">
        <v>138</v>
      </c>
      <c r="M40" s="339" t="s">
        <v>141</v>
      </c>
      <c r="N40" s="339" t="s">
        <v>143</v>
      </c>
      <c r="O40" s="339" t="s">
        <v>149</v>
      </c>
      <c r="P40" s="339" t="s">
        <v>173</v>
      </c>
      <c r="Q40" s="339" t="s">
        <v>187</v>
      </c>
      <c r="R40" s="339" t="s">
        <v>194</v>
      </c>
      <c r="S40" s="339" t="s">
        <v>195</v>
      </c>
      <c r="T40" s="339" t="s">
        <v>68</v>
      </c>
    </row>
    <row r="41">
      <c r="A41" s="217">
        <v>41.0</v>
      </c>
      <c r="B41" s="262" t="s">
        <v>76</v>
      </c>
      <c r="C41" s="219" t="s">
        <v>199</v>
      </c>
      <c r="D41" s="220" t="str">
        <f t="shared" si="1"/>
        <v>{ ; }</v>
      </c>
      <c r="E41" s="262" t="s">
        <v>357</v>
      </c>
      <c r="F41" s="339" t="s">
        <v>6</v>
      </c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</row>
    <row r="42">
      <c r="A42" s="217">
        <v>42.0</v>
      </c>
      <c r="B42" s="263" t="s">
        <v>78</v>
      </c>
      <c r="C42" s="219" t="s">
        <v>199</v>
      </c>
      <c r="D42" s="220" t="str">
        <f t="shared" si="1"/>
        <v>{ ; }</v>
      </c>
      <c r="E42" s="263" t="s">
        <v>358</v>
      </c>
      <c r="F42" s="339" t="s">
        <v>6</v>
      </c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</row>
    <row r="43">
      <c r="A43" s="217">
        <v>43.0</v>
      </c>
      <c r="B43" s="264" t="s">
        <v>74</v>
      </c>
      <c r="C43" s="219" t="s">
        <v>199</v>
      </c>
      <c r="D43" s="220" t="str">
        <f t="shared" si="1"/>
        <v>{ id , abs, len, pow, sqrt, trap, thread, threadln, if, switch, for, while, do, return, break, }, case, default }</v>
      </c>
      <c r="E43" s="264" t="s">
        <v>359</v>
      </c>
      <c r="F43" s="339" t="s">
        <v>86</v>
      </c>
      <c r="G43" s="339" t="s">
        <v>131</v>
      </c>
      <c r="H43" s="339" t="s">
        <v>132</v>
      </c>
      <c r="I43" s="339" t="s">
        <v>133</v>
      </c>
      <c r="J43" s="339" t="s">
        <v>134</v>
      </c>
      <c r="K43" s="339" t="s">
        <v>138</v>
      </c>
      <c r="L43" s="339" t="s">
        <v>141</v>
      </c>
      <c r="M43" s="339" t="s">
        <v>143</v>
      </c>
      <c r="N43" s="339" t="s">
        <v>149</v>
      </c>
      <c r="O43" s="339" t="s">
        <v>173</v>
      </c>
      <c r="P43" s="339" t="s">
        <v>187</v>
      </c>
      <c r="Q43" s="339" t="s">
        <v>194</v>
      </c>
      <c r="R43" s="339" t="s">
        <v>195</v>
      </c>
      <c r="S43" s="339" t="s">
        <v>68</v>
      </c>
      <c r="T43" s="339" t="s">
        <v>170</v>
      </c>
      <c r="U43" s="339" t="s">
        <v>19</v>
      </c>
      <c r="V43" s="339" t="s">
        <v>178</v>
      </c>
      <c r="W43" s="339" t="s">
        <v>183</v>
      </c>
    </row>
    <row r="44">
      <c r="A44" s="217">
        <v>44.0</v>
      </c>
      <c r="B44" s="265" t="s">
        <v>75</v>
      </c>
      <c r="C44" s="219" t="s">
        <v>199</v>
      </c>
      <c r="D44" s="220" t="str">
        <f t="shared" si="1"/>
        <v>{ return, break, }, case, default }</v>
      </c>
      <c r="E44" s="265" t="s">
        <v>360</v>
      </c>
      <c r="F44" s="339" t="s">
        <v>68</v>
      </c>
      <c r="G44" s="339" t="s">
        <v>170</v>
      </c>
      <c r="H44" s="339" t="s">
        <v>19</v>
      </c>
      <c r="I44" s="339" t="s">
        <v>178</v>
      </c>
      <c r="J44" s="339" t="s">
        <v>183</v>
      </c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</row>
    <row r="45">
      <c r="A45" s="217">
        <v>45.0</v>
      </c>
      <c r="B45" s="266" t="s">
        <v>80</v>
      </c>
      <c r="C45" s="219" t="s">
        <v>199</v>
      </c>
      <c r="D45" s="220" t="str">
        <f t="shared" si="1"/>
        <v>{ id , abs, len, pow, sqrt, trap, thread, threadln, if, switch, for, while, do, return, break, }, case, default }</v>
      </c>
      <c r="E45" s="266" t="s">
        <v>361</v>
      </c>
      <c r="F45" s="339" t="s">
        <v>86</v>
      </c>
      <c r="G45" s="339" t="s">
        <v>131</v>
      </c>
      <c r="H45" s="339" t="s">
        <v>132</v>
      </c>
      <c r="I45" s="339" t="s">
        <v>133</v>
      </c>
      <c r="J45" s="339" t="s">
        <v>134</v>
      </c>
      <c r="K45" s="339" t="s">
        <v>138</v>
      </c>
      <c r="L45" s="339" t="s">
        <v>141</v>
      </c>
      <c r="M45" s="339" t="s">
        <v>143</v>
      </c>
      <c r="N45" s="339" t="s">
        <v>149</v>
      </c>
      <c r="O45" s="339" t="s">
        <v>173</v>
      </c>
      <c r="P45" s="339" t="s">
        <v>187</v>
      </c>
      <c r="Q45" s="339" t="s">
        <v>194</v>
      </c>
      <c r="R45" s="339" t="s">
        <v>195</v>
      </c>
      <c r="S45" s="339" t="s">
        <v>68</v>
      </c>
      <c r="T45" s="339" t="s">
        <v>170</v>
      </c>
      <c r="U45" s="339" t="s">
        <v>19</v>
      </c>
      <c r="V45" s="339" t="s">
        <v>178</v>
      </c>
      <c r="W45" s="339" t="s">
        <v>183</v>
      </c>
    </row>
    <row r="46">
      <c r="A46" s="217">
        <v>46.0</v>
      </c>
      <c r="B46" s="267" t="s">
        <v>81</v>
      </c>
      <c r="C46" s="219" t="s">
        <v>199</v>
      </c>
      <c r="D46" s="220" t="str">
        <f t="shared" si="1"/>
        <v>{ ; }</v>
      </c>
      <c r="E46" s="267" t="s">
        <v>362</v>
      </c>
      <c r="F46" s="339" t="s">
        <v>6</v>
      </c>
    </row>
    <row r="47">
      <c r="A47" s="217">
        <v>47.0</v>
      </c>
      <c r="B47" s="268" t="s">
        <v>84</v>
      </c>
      <c r="C47" s="219" t="s">
        <v>199</v>
      </c>
      <c r="D47" s="220" t="str">
        <f t="shared" si="1"/>
        <v>{ ; }</v>
      </c>
      <c r="E47" s="268" t="s">
        <v>363</v>
      </c>
      <c r="F47" s="339" t="s">
        <v>6</v>
      </c>
      <c r="G47" s="230"/>
      <c r="H47" s="230"/>
      <c r="I47" s="230"/>
      <c r="J47" s="230"/>
      <c r="K47" s="230"/>
    </row>
    <row r="48">
      <c r="A48" s="217">
        <v>48.0</v>
      </c>
      <c r="B48" s="269" t="s">
        <v>87</v>
      </c>
      <c r="C48" s="219" t="s">
        <v>199</v>
      </c>
      <c r="D48" s="220" t="str">
        <f t="shared" si="1"/>
        <v>{ ; }</v>
      </c>
      <c r="E48" s="269" t="s">
        <v>364</v>
      </c>
      <c r="F48" s="339" t="s">
        <v>6</v>
      </c>
      <c r="G48" s="230"/>
      <c r="H48" s="230"/>
      <c r="I48" s="230"/>
      <c r="J48" s="230"/>
      <c r="K48" s="230"/>
    </row>
    <row r="49">
      <c r="A49" s="217">
        <v>49.0</v>
      </c>
      <c r="B49" s="270" t="s">
        <v>88</v>
      </c>
      <c r="C49" s="219" t="s">
        <v>199</v>
      </c>
      <c r="D49" s="220" t="str">
        <f t="shared" si="1"/>
        <v>{  = ,  +=, -=, *=, /=, %= }</v>
      </c>
      <c r="E49" s="270" t="s">
        <v>365</v>
      </c>
      <c r="F49" s="339" t="s">
        <v>94</v>
      </c>
      <c r="G49" s="339" t="s">
        <v>95</v>
      </c>
      <c r="H49" s="339" t="s">
        <v>96</v>
      </c>
      <c r="I49" s="339" t="s">
        <v>97</v>
      </c>
      <c r="J49" s="339" t="s">
        <v>98</v>
      </c>
      <c r="K49" s="339" t="s">
        <v>99</v>
      </c>
    </row>
    <row r="50">
      <c r="A50" s="217">
        <v>50.0</v>
      </c>
      <c r="B50" s="271" t="s">
        <v>93</v>
      </c>
      <c r="C50" s="219" t="s">
        <v>199</v>
      </c>
      <c r="D50" s="220" t="str">
        <f t="shared" si="1"/>
        <v>{  = ,  +=, -=, *=, /=, %= }</v>
      </c>
      <c r="E50" s="271" t="s">
        <v>366</v>
      </c>
      <c r="F50" s="339" t="s">
        <v>94</v>
      </c>
      <c r="G50" s="339" t="s">
        <v>95</v>
      </c>
      <c r="H50" s="339" t="s">
        <v>96</v>
      </c>
      <c r="I50" s="339" t="s">
        <v>97</v>
      </c>
      <c r="J50" s="339" t="s">
        <v>98</v>
      </c>
      <c r="K50" s="339" t="s">
        <v>99</v>
      </c>
    </row>
    <row r="51">
      <c r="A51" s="217">
        <v>51.0</v>
      </c>
      <c r="B51" s="272" t="s">
        <v>89</v>
      </c>
      <c r="C51" s="219" t="s">
        <v>199</v>
      </c>
      <c r="D51" s="220" t="str">
        <f t="shared" si="1"/>
        <v>{ ; }</v>
      </c>
      <c r="E51" s="272" t="s">
        <v>367</v>
      </c>
      <c r="F51" s="339" t="s">
        <v>6</v>
      </c>
      <c r="G51" s="230"/>
      <c r="H51" s="230"/>
    </row>
    <row r="52">
      <c r="A52" s="217">
        <v>52.0</v>
      </c>
      <c r="B52" s="273" t="s">
        <v>92</v>
      </c>
      <c r="C52" s="219" t="s">
        <v>199</v>
      </c>
      <c r="D52" s="220" t="str">
        <f t="shared" si="1"/>
        <v>{ ] }</v>
      </c>
      <c r="E52" s="273" t="s">
        <v>368</v>
      </c>
      <c r="F52" s="339" t="s">
        <v>32</v>
      </c>
      <c r="G52" s="230"/>
      <c r="H52" s="230"/>
      <c r="I52" s="230"/>
    </row>
    <row r="53">
      <c r="A53" s="217">
        <v>53.0</v>
      </c>
      <c r="B53" s="274" t="s">
        <v>37</v>
      </c>
      <c r="C53" s="219" t="s">
        <v>199</v>
      </c>
      <c r="D53" s="220" t="str">
        <f t="shared" si="1"/>
        <v>{ ,, ;, ) }</v>
      </c>
      <c r="E53" s="274" t="s">
        <v>369</v>
      </c>
      <c r="F53" s="339" t="s">
        <v>38</v>
      </c>
      <c r="G53" s="339" t="s">
        <v>6</v>
      </c>
      <c r="H53" s="339" t="s">
        <v>64</v>
      </c>
      <c r="I53" s="230"/>
    </row>
    <row r="54">
      <c r="A54" s="217">
        <v>54.0</v>
      </c>
      <c r="B54" s="275" t="s">
        <v>101</v>
      </c>
      <c r="C54" s="219" t="s">
        <v>199</v>
      </c>
      <c r="D54" s="220" t="str">
        <f t="shared" si="1"/>
        <v>{ ,, ;, ) }</v>
      </c>
      <c r="E54" s="275" t="s">
        <v>370</v>
      </c>
      <c r="F54" s="339" t="s">
        <v>38</v>
      </c>
      <c r="G54" s="339" t="s">
        <v>6</v>
      </c>
      <c r="H54" s="339" t="s">
        <v>64</v>
      </c>
      <c r="I54" s="230"/>
      <c r="J54" s="230"/>
    </row>
    <row r="55">
      <c r="A55" s="217">
        <v>55.0</v>
      </c>
      <c r="B55" s="276" t="s">
        <v>100</v>
      </c>
      <c r="C55" s="219" t="s">
        <v>199</v>
      </c>
      <c r="D55" s="220" t="str">
        <f t="shared" si="1"/>
        <v>{ .., ,, ;, ) }</v>
      </c>
      <c r="E55" s="276" t="s">
        <v>371</v>
      </c>
      <c r="F55" s="339" t="s">
        <v>102</v>
      </c>
      <c r="G55" s="339" t="s">
        <v>38</v>
      </c>
      <c r="H55" s="339" t="s">
        <v>6</v>
      </c>
      <c r="I55" s="339" t="s">
        <v>64</v>
      </c>
      <c r="J55" s="230"/>
    </row>
    <row r="56">
      <c r="A56" s="217">
        <v>56.0</v>
      </c>
      <c r="B56" s="277" t="s">
        <v>104</v>
      </c>
      <c r="C56" s="219" t="s">
        <v>199</v>
      </c>
      <c r="D56" s="220" t="str">
        <f t="shared" si="1"/>
        <v>{ .., ,, ;, ) }</v>
      </c>
      <c r="E56" s="277" t="s">
        <v>372</v>
      </c>
      <c r="F56" s="339" t="s">
        <v>102</v>
      </c>
      <c r="G56" s="339" t="s">
        <v>38</v>
      </c>
      <c r="H56" s="339" t="s">
        <v>6</v>
      </c>
      <c r="I56" s="339" t="s">
        <v>64</v>
      </c>
      <c r="J56" s="230"/>
      <c r="K56" s="230"/>
    </row>
    <row r="57">
      <c r="A57" s="217">
        <v>57.0</v>
      </c>
      <c r="B57" s="278" t="s">
        <v>103</v>
      </c>
      <c r="C57" s="219" t="s">
        <v>199</v>
      </c>
      <c r="D57" s="220" t="str">
        <f t="shared" si="1"/>
        <v>{ ||, .., ,, ;, ) }</v>
      </c>
      <c r="E57" s="278" t="s">
        <v>373</v>
      </c>
      <c r="F57" s="339" t="s">
        <v>105</v>
      </c>
      <c r="G57" s="339" t="s">
        <v>102</v>
      </c>
      <c r="H57" s="339" t="s">
        <v>38</v>
      </c>
      <c r="I57" s="339" t="s">
        <v>6</v>
      </c>
      <c r="J57" s="339" t="s">
        <v>64</v>
      </c>
      <c r="K57" s="230"/>
    </row>
    <row r="58">
      <c r="A58" s="217">
        <v>58.0</v>
      </c>
      <c r="B58" s="279" t="s">
        <v>107</v>
      </c>
      <c r="C58" s="219" t="s">
        <v>199</v>
      </c>
      <c r="D58" s="220" t="str">
        <f t="shared" si="1"/>
        <v>{ ||, .., ,, ;, ) }</v>
      </c>
      <c r="E58" s="279" t="s">
        <v>374</v>
      </c>
      <c r="F58" s="339" t="s">
        <v>105</v>
      </c>
      <c r="G58" s="339" t="s">
        <v>102</v>
      </c>
      <c r="H58" s="339" t="s">
        <v>38</v>
      </c>
      <c r="I58" s="339" t="s">
        <v>6</v>
      </c>
      <c r="J58" s="339" t="s">
        <v>64</v>
      </c>
      <c r="K58" s="230"/>
    </row>
    <row r="59">
      <c r="A59" s="217">
        <v>59.0</v>
      </c>
      <c r="B59" s="280" t="s">
        <v>106</v>
      </c>
      <c r="C59" s="219" t="s">
        <v>199</v>
      </c>
      <c r="D59" s="220" t="str">
        <f t="shared" si="1"/>
        <v>{ &amp;&amp;, ||, .., ,, ;, ) }</v>
      </c>
      <c r="E59" s="280" t="s">
        <v>375</v>
      </c>
      <c r="F59" s="339" t="s">
        <v>108</v>
      </c>
      <c r="G59" s="339" t="s">
        <v>105</v>
      </c>
      <c r="H59" s="339" t="s">
        <v>102</v>
      </c>
      <c r="I59" s="339" t="s">
        <v>38</v>
      </c>
      <c r="J59" s="339" t="s">
        <v>6</v>
      </c>
      <c r="K59" s="339" t="s">
        <v>64</v>
      </c>
      <c r="L59" s="230"/>
      <c r="M59" s="230"/>
      <c r="N59" s="230"/>
      <c r="O59" s="230"/>
      <c r="P59" s="230"/>
      <c r="Q59" s="230"/>
      <c r="R59" s="230"/>
    </row>
    <row r="60">
      <c r="A60" s="217">
        <v>60.0</v>
      </c>
      <c r="B60" s="281" t="s">
        <v>110</v>
      </c>
      <c r="C60" s="219" t="s">
        <v>199</v>
      </c>
      <c r="D60" s="220" t="str">
        <f t="shared" si="1"/>
        <v>{ &amp;&amp;, ||, .., ,, ;, ) }</v>
      </c>
      <c r="E60" s="281" t="s">
        <v>376</v>
      </c>
      <c r="F60" s="339" t="s">
        <v>108</v>
      </c>
      <c r="G60" s="339" t="s">
        <v>105</v>
      </c>
      <c r="H60" s="339" t="s">
        <v>102</v>
      </c>
      <c r="I60" s="339" t="s">
        <v>38</v>
      </c>
      <c r="J60" s="339" t="s">
        <v>6</v>
      </c>
      <c r="K60" s="339" t="s">
        <v>64</v>
      </c>
      <c r="L60" s="230"/>
      <c r="M60" s="230"/>
      <c r="N60" s="230"/>
      <c r="O60" s="230"/>
      <c r="P60" s="230"/>
      <c r="Q60" s="230"/>
      <c r="R60" s="230"/>
    </row>
    <row r="61">
      <c r="A61" s="217">
        <v>61.0</v>
      </c>
      <c r="B61" s="282" t="s">
        <v>111</v>
      </c>
      <c r="C61" s="219" t="s">
        <v>199</v>
      </c>
      <c r="D61" s="220" t="str">
        <f t="shared" si="1"/>
        <v>{  ==, !=, &gt;, &lt;, &gt;=, &lt;=, &amp;&amp;, ||, .., ,, ;,  , ) }</v>
      </c>
      <c r="E61" s="282" t="s">
        <v>377</v>
      </c>
      <c r="F61" s="339" t="s">
        <v>162</v>
      </c>
      <c r="G61" s="339" t="s">
        <v>163</v>
      </c>
      <c r="H61" s="339" t="s">
        <v>164</v>
      </c>
      <c r="I61" s="339" t="s">
        <v>165</v>
      </c>
      <c r="J61" s="339" t="s">
        <v>166</v>
      </c>
      <c r="K61" s="339" t="s">
        <v>167</v>
      </c>
      <c r="L61" s="339" t="s">
        <v>108</v>
      </c>
      <c r="M61" s="339" t="s">
        <v>105</v>
      </c>
      <c r="N61" s="339" t="s">
        <v>102</v>
      </c>
      <c r="O61" s="339" t="s">
        <v>38</v>
      </c>
      <c r="P61" s="339" t="s">
        <v>6</v>
      </c>
      <c r="Q61" s="339" t="s">
        <v>159</v>
      </c>
      <c r="R61" s="339" t="s">
        <v>64</v>
      </c>
      <c r="S61" s="230"/>
      <c r="T61" s="230"/>
    </row>
    <row r="62">
      <c r="A62" s="217">
        <v>62.0</v>
      </c>
      <c r="B62" s="283" t="s">
        <v>114</v>
      </c>
      <c r="C62" s="219" t="s">
        <v>199</v>
      </c>
      <c r="D62" s="220" t="str">
        <f t="shared" si="1"/>
        <v>{  ==, !=, &gt;, &lt;, &gt;=, &lt;=, &amp;&amp;, ||, .., ,, ;,  , ) }</v>
      </c>
      <c r="E62" s="283" t="s">
        <v>378</v>
      </c>
      <c r="F62" s="339" t="s">
        <v>162</v>
      </c>
      <c r="G62" s="339" t="s">
        <v>163</v>
      </c>
      <c r="H62" s="339" t="s">
        <v>164</v>
      </c>
      <c r="I62" s="339" t="s">
        <v>165</v>
      </c>
      <c r="J62" s="339" t="s">
        <v>166</v>
      </c>
      <c r="K62" s="339" t="s">
        <v>167</v>
      </c>
      <c r="L62" s="339" t="s">
        <v>108</v>
      </c>
      <c r="M62" s="339" t="s">
        <v>105</v>
      </c>
      <c r="N62" s="339" t="s">
        <v>102</v>
      </c>
      <c r="O62" s="339" t="s">
        <v>38</v>
      </c>
      <c r="P62" s="339" t="s">
        <v>6</v>
      </c>
      <c r="Q62" s="339" t="s">
        <v>159</v>
      </c>
      <c r="R62" s="339" t="s">
        <v>64</v>
      </c>
      <c r="S62" s="230"/>
      <c r="T62" s="230"/>
    </row>
    <row r="63">
      <c r="A63" s="217">
        <v>63.0</v>
      </c>
      <c r="B63" s="284" t="s">
        <v>113</v>
      </c>
      <c r="C63" s="219" t="s">
        <v>199</v>
      </c>
      <c r="D63" s="220" t="str">
        <f t="shared" si="1"/>
        <v>{  +,  -,  ==, !=, &gt;, &lt;, &gt;=, &lt;=, &amp;&amp;, ||, .., ,, ;,  , ) }</v>
      </c>
      <c r="E63" s="284" t="s">
        <v>379</v>
      </c>
      <c r="F63" s="339" t="s">
        <v>115</v>
      </c>
      <c r="G63" s="339" t="s">
        <v>116</v>
      </c>
      <c r="H63" s="339" t="s">
        <v>162</v>
      </c>
      <c r="I63" s="339" t="s">
        <v>163</v>
      </c>
      <c r="J63" s="339" t="s">
        <v>164</v>
      </c>
      <c r="K63" s="339" t="s">
        <v>165</v>
      </c>
      <c r="L63" s="339" t="s">
        <v>166</v>
      </c>
      <c r="M63" s="339" t="s">
        <v>167</v>
      </c>
      <c r="N63" s="339" t="s">
        <v>108</v>
      </c>
      <c r="O63" s="339" t="s">
        <v>105</v>
      </c>
      <c r="P63" s="339" t="s">
        <v>102</v>
      </c>
      <c r="Q63" s="339" t="s">
        <v>38</v>
      </c>
      <c r="R63" s="339" t="s">
        <v>6</v>
      </c>
      <c r="S63" s="339" t="s">
        <v>159</v>
      </c>
      <c r="T63" s="339" t="s">
        <v>64</v>
      </c>
      <c r="U63" s="230"/>
      <c r="V63" s="230"/>
      <c r="W63" s="230"/>
    </row>
    <row r="64">
      <c r="A64" s="217">
        <v>64.0</v>
      </c>
      <c r="B64" s="285" t="s">
        <v>118</v>
      </c>
      <c r="C64" s="219" t="s">
        <v>199</v>
      </c>
      <c r="D64" s="220" t="str">
        <f t="shared" si="1"/>
        <v>{  +,  -,  ==, !=, &gt;, &lt;, &gt;=, &lt;=, &amp;&amp;, ||, .., ,, ;,  , ) }</v>
      </c>
      <c r="E64" s="285" t="s">
        <v>380</v>
      </c>
      <c r="F64" s="339" t="s">
        <v>115</v>
      </c>
      <c r="G64" s="339" t="s">
        <v>116</v>
      </c>
      <c r="H64" s="339" t="s">
        <v>162</v>
      </c>
      <c r="I64" s="339" t="s">
        <v>163</v>
      </c>
      <c r="J64" s="339" t="s">
        <v>164</v>
      </c>
      <c r="K64" s="339" t="s">
        <v>165</v>
      </c>
      <c r="L64" s="339" t="s">
        <v>166</v>
      </c>
      <c r="M64" s="339" t="s">
        <v>167</v>
      </c>
      <c r="N64" s="339" t="s">
        <v>108</v>
      </c>
      <c r="O64" s="339" t="s">
        <v>105</v>
      </c>
      <c r="P64" s="339" t="s">
        <v>102</v>
      </c>
      <c r="Q64" s="339" t="s">
        <v>38</v>
      </c>
      <c r="R64" s="339" t="s">
        <v>6</v>
      </c>
      <c r="S64" s="339" t="s">
        <v>159</v>
      </c>
      <c r="T64" s="339" t="s">
        <v>64</v>
      </c>
      <c r="U64" s="230"/>
      <c r="V64" s="230"/>
      <c r="W64" s="230"/>
    </row>
    <row r="65">
      <c r="A65" s="217">
        <v>65.0</v>
      </c>
      <c r="B65" s="286" t="s">
        <v>117</v>
      </c>
      <c r="C65" s="219" t="s">
        <v>199</v>
      </c>
      <c r="D65" s="220" t="str">
        <f t="shared" si="1"/>
        <v>{  *, /, %,  +,  -,  ==, !=, &gt;, &lt;, &gt;=, &lt;=, &amp;&amp;, ||, .., ,, ;,  , ) }</v>
      </c>
      <c r="E65" s="286" t="s">
        <v>381</v>
      </c>
      <c r="F65" s="339" t="s">
        <v>119</v>
      </c>
      <c r="G65" s="339" t="s">
        <v>120</v>
      </c>
      <c r="H65" s="339" t="s">
        <v>121</v>
      </c>
      <c r="I65" s="339" t="s">
        <v>115</v>
      </c>
      <c r="J65" s="339" t="s">
        <v>116</v>
      </c>
      <c r="K65" s="339" t="s">
        <v>162</v>
      </c>
      <c r="L65" s="339" t="s">
        <v>163</v>
      </c>
      <c r="M65" s="339" t="s">
        <v>164</v>
      </c>
      <c r="N65" s="339" t="s">
        <v>165</v>
      </c>
      <c r="O65" s="339" t="s">
        <v>166</v>
      </c>
      <c r="P65" s="339" t="s">
        <v>167</v>
      </c>
      <c r="Q65" s="339" t="s">
        <v>108</v>
      </c>
      <c r="R65" s="339" t="s">
        <v>105</v>
      </c>
      <c r="S65" s="339" t="s">
        <v>102</v>
      </c>
      <c r="T65" s="339" t="s">
        <v>38</v>
      </c>
      <c r="U65" s="339" t="s">
        <v>6</v>
      </c>
      <c r="V65" s="339" t="s">
        <v>159</v>
      </c>
      <c r="W65" s="339" t="s">
        <v>64</v>
      </c>
    </row>
    <row r="66">
      <c r="A66" s="217">
        <v>66.0</v>
      </c>
      <c r="B66" s="287" t="s">
        <v>123</v>
      </c>
      <c r="C66" s="219" t="s">
        <v>199</v>
      </c>
      <c r="D66" s="220" t="str">
        <f t="shared" si="1"/>
        <v>{  *, /, %,  +,  -,  ==, !=, &gt;, &lt;, &gt;=, &lt;=, &amp;&amp;, ||, .., ,, ;,  , ) }</v>
      </c>
      <c r="E66" s="287" t="s">
        <v>382</v>
      </c>
      <c r="F66" s="339" t="s">
        <v>119</v>
      </c>
      <c r="G66" s="339" t="s">
        <v>120</v>
      </c>
      <c r="H66" s="339" t="s">
        <v>121</v>
      </c>
      <c r="I66" s="339" t="s">
        <v>115</v>
      </c>
      <c r="J66" s="339" t="s">
        <v>116</v>
      </c>
      <c r="K66" s="339" t="s">
        <v>162</v>
      </c>
      <c r="L66" s="339" t="s">
        <v>163</v>
      </c>
      <c r="M66" s="339" t="s">
        <v>164</v>
      </c>
      <c r="N66" s="339" t="s">
        <v>165</v>
      </c>
      <c r="O66" s="339" t="s">
        <v>166</v>
      </c>
      <c r="P66" s="339" t="s">
        <v>167</v>
      </c>
      <c r="Q66" s="339" t="s">
        <v>108</v>
      </c>
      <c r="R66" s="339" t="s">
        <v>105</v>
      </c>
      <c r="S66" s="339" t="s">
        <v>102</v>
      </c>
      <c r="T66" s="339" t="s">
        <v>38</v>
      </c>
      <c r="U66" s="339" t="s">
        <v>6</v>
      </c>
      <c r="V66" s="339" t="s">
        <v>159</v>
      </c>
      <c r="W66" s="339" t="s">
        <v>64</v>
      </c>
    </row>
    <row r="67">
      <c r="A67" s="217">
        <v>67.0</v>
      </c>
      <c r="B67" s="288" t="s">
        <v>122</v>
      </c>
      <c r="C67" s="219" t="s">
        <v>199</v>
      </c>
      <c r="D67" s="220" t="str">
        <f t="shared" si="1"/>
        <v>{  *, /, %,  +,  -,  ==, !=, &gt;, &lt;, &gt;=, &lt;=, &amp;&amp;, ||, .., ,, ;,  , ) }</v>
      </c>
      <c r="E67" s="288" t="s">
        <v>383</v>
      </c>
      <c r="F67" s="339" t="s">
        <v>119</v>
      </c>
      <c r="G67" s="339" t="s">
        <v>120</v>
      </c>
      <c r="H67" s="339" t="s">
        <v>121</v>
      </c>
      <c r="I67" s="339" t="s">
        <v>115</v>
      </c>
      <c r="J67" s="339" t="s">
        <v>116</v>
      </c>
      <c r="K67" s="339" t="s">
        <v>162</v>
      </c>
      <c r="L67" s="339" t="s">
        <v>163</v>
      </c>
      <c r="M67" s="339" t="s">
        <v>164</v>
      </c>
      <c r="N67" s="339" t="s">
        <v>165</v>
      </c>
      <c r="O67" s="339" t="s">
        <v>166</v>
      </c>
      <c r="P67" s="339" t="s">
        <v>167</v>
      </c>
      <c r="Q67" s="339" t="s">
        <v>108</v>
      </c>
      <c r="R67" s="339" t="s">
        <v>105</v>
      </c>
      <c r="S67" s="339" t="s">
        <v>102</v>
      </c>
      <c r="T67" s="339" t="s">
        <v>38</v>
      </c>
      <c r="U67" s="339" t="s">
        <v>6</v>
      </c>
      <c r="V67" s="339" t="s">
        <v>159</v>
      </c>
      <c r="W67" s="339" t="s">
        <v>64</v>
      </c>
    </row>
    <row r="68">
      <c r="A68" s="217">
        <v>68.0</v>
      </c>
      <c r="B68" s="289" t="s">
        <v>124</v>
      </c>
      <c r="C68" s="219" t="s">
        <v>199</v>
      </c>
      <c r="D68" s="220" t="str">
        <f t="shared" si="1"/>
        <v>{  *, /, %,  +,  -,  ==, !=, &gt;, &lt;, &gt;=, &lt;=, &amp;&amp;, ||, .., ,, ;,  , ) }</v>
      </c>
      <c r="E68" s="289" t="s">
        <v>384</v>
      </c>
      <c r="F68" s="339" t="s">
        <v>119</v>
      </c>
      <c r="G68" s="339" t="s">
        <v>120</v>
      </c>
      <c r="H68" s="339" t="s">
        <v>121</v>
      </c>
      <c r="I68" s="339" t="s">
        <v>115</v>
      </c>
      <c r="J68" s="339" t="s">
        <v>116</v>
      </c>
      <c r="K68" s="339" t="s">
        <v>162</v>
      </c>
      <c r="L68" s="339" t="s">
        <v>163</v>
      </c>
      <c r="M68" s="339" t="s">
        <v>164</v>
      </c>
      <c r="N68" s="339" t="s">
        <v>165</v>
      </c>
      <c r="O68" s="339" t="s">
        <v>166</v>
      </c>
      <c r="P68" s="339" t="s">
        <v>167</v>
      </c>
      <c r="Q68" s="339" t="s">
        <v>108</v>
      </c>
      <c r="R68" s="339" t="s">
        <v>105</v>
      </c>
      <c r="S68" s="339" t="s">
        <v>102</v>
      </c>
      <c r="T68" s="339" t="s">
        <v>38</v>
      </c>
      <c r="U68" s="339" t="s">
        <v>6</v>
      </c>
      <c r="V68" s="339" t="s">
        <v>159</v>
      </c>
      <c r="W68" s="339" t="s">
        <v>64</v>
      </c>
    </row>
    <row r="69">
      <c r="A69" s="217">
        <v>69.0</v>
      </c>
      <c r="B69" s="290" t="s">
        <v>125</v>
      </c>
      <c r="C69" s="219" t="s">
        <v>199</v>
      </c>
      <c r="D69" s="220" t="str">
        <f t="shared" si="1"/>
        <v>{  *, /, %,  +,  -,  ==, !=, &gt;, &lt;, &gt;=, &lt;=, &amp;&amp;, ||, .., ,, ;,  , ) }</v>
      </c>
      <c r="E69" s="290" t="s">
        <v>385</v>
      </c>
      <c r="F69" s="339" t="s">
        <v>119</v>
      </c>
      <c r="G69" s="339" t="s">
        <v>120</v>
      </c>
      <c r="H69" s="339" t="s">
        <v>121</v>
      </c>
      <c r="I69" s="339" t="s">
        <v>115</v>
      </c>
      <c r="J69" s="339" t="s">
        <v>116</v>
      </c>
      <c r="K69" s="339" t="s">
        <v>162</v>
      </c>
      <c r="L69" s="339" t="s">
        <v>163</v>
      </c>
      <c r="M69" s="339" t="s">
        <v>164</v>
      </c>
      <c r="N69" s="339" t="s">
        <v>165</v>
      </c>
      <c r="O69" s="339" t="s">
        <v>166</v>
      </c>
      <c r="P69" s="339" t="s">
        <v>167</v>
      </c>
      <c r="Q69" s="339" t="s">
        <v>108</v>
      </c>
      <c r="R69" s="339" t="s">
        <v>105</v>
      </c>
      <c r="S69" s="339" t="s">
        <v>102</v>
      </c>
      <c r="T69" s="339" t="s">
        <v>38</v>
      </c>
      <c r="U69" s="339" t="s">
        <v>6</v>
      </c>
      <c r="V69" s="339" t="s">
        <v>159</v>
      </c>
      <c r="W69" s="339" t="s">
        <v>64</v>
      </c>
      <c r="X69" s="230"/>
    </row>
    <row r="70">
      <c r="A70" s="217">
        <v>70.0</v>
      </c>
      <c r="B70" s="291" t="s">
        <v>126</v>
      </c>
      <c r="C70" s="219" t="s">
        <v>199</v>
      </c>
      <c r="D70" s="220" t="str">
        <f t="shared" si="1"/>
        <v>{  *, /, %,  +,  -,  ==, !=, &gt;, &lt;, &gt;=, &lt;=, &amp;&amp;, ||, .., ,, ;, ),   }</v>
      </c>
      <c r="E70" s="291" t="s">
        <v>386</v>
      </c>
      <c r="F70" s="339" t="s">
        <v>119</v>
      </c>
      <c r="G70" s="339" t="s">
        <v>120</v>
      </c>
      <c r="H70" s="339" t="s">
        <v>121</v>
      </c>
      <c r="I70" s="339" t="s">
        <v>115</v>
      </c>
      <c r="J70" s="339" t="s">
        <v>116</v>
      </c>
      <c r="K70" s="339" t="s">
        <v>162</v>
      </c>
      <c r="L70" s="339" t="s">
        <v>163</v>
      </c>
      <c r="M70" s="339" t="s">
        <v>164</v>
      </c>
      <c r="N70" s="339" t="s">
        <v>165</v>
      </c>
      <c r="O70" s="339" t="s">
        <v>166</v>
      </c>
      <c r="P70" s="339" t="s">
        <v>167</v>
      </c>
      <c r="Q70" s="339" t="s">
        <v>108</v>
      </c>
      <c r="R70" s="339" t="s">
        <v>105</v>
      </c>
      <c r="S70" s="339" t="s">
        <v>102</v>
      </c>
      <c r="T70" s="339" t="s">
        <v>38</v>
      </c>
      <c r="U70" s="339" t="s">
        <v>6</v>
      </c>
      <c r="V70" s="339" t="s">
        <v>64</v>
      </c>
      <c r="W70" s="339" t="s">
        <v>159</v>
      </c>
      <c r="X70" s="230"/>
    </row>
    <row r="71">
      <c r="A71" s="217">
        <v>71.0</v>
      </c>
      <c r="B71" s="292" t="s">
        <v>40</v>
      </c>
      <c r="C71" s="219" t="s">
        <v>199</v>
      </c>
      <c r="D71" s="220" t="str">
        <f t="shared" si="1"/>
        <v>{ ,, ;, },  *, /, %,  +,  -,  ==, !=, &gt;, &lt;, &gt;=, &lt;=, &amp;&amp;, ||, ..,  , ) }</v>
      </c>
      <c r="E71" s="292" t="s">
        <v>387</v>
      </c>
      <c r="F71" s="339" t="s">
        <v>38</v>
      </c>
      <c r="G71" s="339" t="s">
        <v>6</v>
      </c>
      <c r="H71" s="339" t="s">
        <v>19</v>
      </c>
      <c r="I71" s="339" t="s">
        <v>119</v>
      </c>
      <c r="J71" s="339" t="s">
        <v>120</v>
      </c>
      <c r="K71" s="339" t="s">
        <v>121</v>
      </c>
      <c r="L71" s="339" t="s">
        <v>115</v>
      </c>
      <c r="M71" s="339" t="s">
        <v>116</v>
      </c>
      <c r="N71" s="339" t="s">
        <v>162</v>
      </c>
      <c r="O71" s="339" t="s">
        <v>163</v>
      </c>
      <c r="P71" s="339" t="s">
        <v>164</v>
      </c>
      <c r="Q71" s="339" t="s">
        <v>165</v>
      </c>
      <c r="R71" s="339" t="s">
        <v>166</v>
      </c>
      <c r="S71" s="339" t="s">
        <v>167</v>
      </c>
      <c r="T71" s="339" t="s">
        <v>108</v>
      </c>
      <c r="U71" s="339" t="s">
        <v>105</v>
      </c>
      <c r="V71" s="339" t="s">
        <v>102</v>
      </c>
      <c r="W71" s="339" t="s">
        <v>159</v>
      </c>
      <c r="X71" s="339" t="s">
        <v>64</v>
      </c>
    </row>
    <row r="72">
      <c r="A72" s="217">
        <v>72.0</v>
      </c>
      <c r="B72" s="293" t="s">
        <v>85</v>
      </c>
      <c r="C72" s="219" t="s">
        <v>199</v>
      </c>
      <c r="D72" s="220" t="str">
        <f t="shared" si="1"/>
        <v>{ ;,  *, /, %,  +,  -,  ==, !=, &gt;, &lt;, &gt;=, &lt;=, &amp;&amp;, ||, .., ,,  , ) }</v>
      </c>
      <c r="E72" s="293" t="s">
        <v>388</v>
      </c>
      <c r="F72" s="339" t="s">
        <v>6</v>
      </c>
      <c r="G72" s="339" t="s">
        <v>119</v>
      </c>
      <c r="H72" s="339" t="s">
        <v>120</v>
      </c>
      <c r="I72" s="339" t="s">
        <v>121</v>
      </c>
      <c r="J72" s="339" t="s">
        <v>115</v>
      </c>
      <c r="K72" s="339" t="s">
        <v>116</v>
      </c>
      <c r="L72" s="339" t="s">
        <v>162</v>
      </c>
      <c r="M72" s="339" t="s">
        <v>163</v>
      </c>
      <c r="N72" s="339" t="s">
        <v>164</v>
      </c>
      <c r="O72" s="339" t="s">
        <v>165</v>
      </c>
      <c r="P72" s="339" t="s">
        <v>166</v>
      </c>
      <c r="Q72" s="339" t="s">
        <v>167</v>
      </c>
      <c r="R72" s="339" t="s">
        <v>108</v>
      </c>
      <c r="S72" s="339" t="s">
        <v>105</v>
      </c>
      <c r="T72" s="339" t="s">
        <v>102</v>
      </c>
      <c r="U72" s="339" t="s">
        <v>38</v>
      </c>
      <c r="V72" s="339" t="s">
        <v>159</v>
      </c>
      <c r="W72" s="339" t="s">
        <v>64</v>
      </c>
      <c r="X72" s="230"/>
    </row>
    <row r="73">
      <c r="A73" s="217">
        <v>73.0</v>
      </c>
      <c r="B73" s="294" t="s">
        <v>90</v>
      </c>
      <c r="C73" s="219" t="s">
        <v>199</v>
      </c>
      <c r="D73" s="220" t="str">
        <f t="shared" si="1"/>
        <v>{ ) }</v>
      </c>
      <c r="E73" s="294" t="s">
        <v>389</v>
      </c>
      <c r="F73" s="339" t="s">
        <v>64</v>
      </c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</row>
    <row r="74">
      <c r="A74" s="217">
        <v>74.0</v>
      </c>
      <c r="B74" s="295" t="s">
        <v>135</v>
      </c>
      <c r="C74" s="219" t="s">
        <v>199</v>
      </c>
      <c r="D74" s="220" t="str">
        <f t="shared" si="1"/>
        <v>{ ) }</v>
      </c>
      <c r="E74" s="295" t="s">
        <v>390</v>
      </c>
      <c r="F74" s="339" t="s">
        <v>64</v>
      </c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</row>
    <row r="75">
      <c r="A75" s="217">
        <v>75.0</v>
      </c>
      <c r="B75" s="296" t="s">
        <v>82</v>
      </c>
      <c r="C75" s="219" t="s">
        <v>199</v>
      </c>
      <c r="D75" s="220" t="str">
        <f t="shared" si="1"/>
        <v>{ id , abs, len, pow, sqrt, trap, thread, threadln, if, switch, for, while, do, return, break, }, case, default }</v>
      </c>
      <c r="E75" s="296" t="s">
        <v>391</v>
      </c>
      <c r="F75" s="339" t="s">
        <v>86</v>
      </c>
      <c r="G75" s="339" t="s">
        <v>131</v>
      </c>
      <c r="H75" s="339" t="s">
        <v>132</v>
      </c>
      <c r="I75" s="339" t="s">
        <v>133</v>
      </c>
      <c r="J75" s="339" t="s">
        <v>134</v>
      </c>
      <c r="K75" s="339" t="s">
        <v>138</v>
      </c>
      <c r="L75" s="339" t="s">
        <v>141</v>
      </c>
      <c r="M75" s="339" t="s">
        <v>143</v>
      </c>
      <c r="N75" s="339" t="s">
        <v>149</v>
      </c>
      <c r="O75" s="339" t="s">
        <v>173</v>
      </c>
      <c r="P75" s="339" t="s">
        <v>187</v>
      </c>
      <c r="Q75" s="339" t="s">
        <v>194</v>
      </c>
      <c r="R75" s="339" t="s">
        <v>195</v>
      </c>
      <c r="S75" s="339" t="s">
        <v>68</v>
      </c>
      <c r="T75" s="339" t="s">
        <v>170</v>
      </c>
      <c r="U75" s="339" t="s">
        <v>19</v>
      </c>
      <c r="V75" s="339" t="s">
        <v>178</v>
      </c>
      <c r="W75" s="339" t="s">
        <v>183</v>
      </c>
    </row>
    <row r="76">
      <c r="A76" s="217">
        <v>76.0</v>
      </c>
      <c r="B76" s="297" t="s">
        <v>136</v>
      </c>
      <c r="C76" s="219" t="s">
        <v>199</v>
      </c>
      <c r="D76" s="220" t="str">
        <f t="shared" si="1"/>
        <v>{ id , abs, len, pow, sqrt, trap, thread, threadln, if, switch, for, while, do, return, break, }, case, default }</v>
      </c>
      <c r="E76" s="297" t="s">
        <v>392</v>
      </c>
      <c r="F76" s="339" t="s">
        <v>86</v>
      </c>
      <c r="G76" s="339" t="s">
        <v>131</v>
      </c>
      <c r="H76" s="339" t="s">
        <v>132</v>
      </c>
      <c r="I76" s="339" t="s">
        <v>133</v>
      </c>
      <c r="J76" s="339" t="s">
        <v>134</v>
      </c>
      <c r="K76" s="339" t="s">
        <v>138</v>
      </c>
      <c r="L76" s="339" t="s">
        <v>141</v>
      </c>
      <c r="M76" s="339" t="s">
        <v>143</v>
      </c>
      <c r="N76" s="339" t="s">
        <v>149</v>
      </c>
      <c r="O76" s="339" t="s">
        <v>173</v>
      </c>
      <c r="P76" s="339" t="s">
        <v>187</v>
      </c>
      <c r="Q76" s="339" t="s">
        <v>194</v>
      </c>
      <c r="R76" s="339" t="s">
        <v>195</v>
      </c>
      <c r="S76" s="339" t="s">
        <v>68</v>
      </c>
      <c r="T76" s="339" t="s">
        <v>170</v>
      </c>
      <c r="U76" s="339" t="s">
        <v>19</v>
      </c>
      <c r="V76" s="339" t="s">
        <v>178</v>
      </c>
      <c r="W76" s="339" t="s">
        <v>183</v>
      </c>
    </row>
    <row r="77">
      <c r="A77" s="217">
        <v>77.0</v>
      </c>
      <c r="B77" s="298" t="s">
        <v>139</v>
      </c>
      <c r="C77" s="219" t="s">
        <v>199</v>
      </c>
      <c r="D77" s="220" t="str">
        <f t="shared" si="1"/>
        <v>{ ) }</v>
      </c>
      <c r="E77" s="298" t="s">
        <v>393</v>
      </c>
      <c r="F77" s="339" t="s">
        <v>64</v>
      </c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</row>
    <row r="78">
      <c r="A78" s="217">
        <v>78.0</v>
      </c>
      <c r="B78" s="299" t="s">
        <v>140</v>
      </c>
      <c r="C78" s="219" t="s">
        <v>199</v>
      </c>
      <c r="D78" s="220" t="str">
        <f t="shared" si="1"/>
        <v>{ ) }</v>
      </c>
      <c r="E78" s="299" t="s">
        <v>394</v>
      </c>
      <c r="F78" s="339" t="s">
        <v>64</v>
      </c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</row>
    <row r="79">
      <c r="A79" s="217">
        <v>79.0</v>
      </c>
      <c r="B79" s="300" t="s">
        <v>137</v>
      </c>
      <c r="C79" s="219" t="s">
        <v>199</v>
      </c>
      <c r="D79" s="220" t="str">
        <f t="shared" si="1"/>
        <v>{ id , abs, len, pow, sqrt, trap, thread, threadln, if, switch, for, while, do, return, break, }, case, default }</v>
      </c>
      <c r="E79" s="300" t="s">
        <v>395</v>
      </c>
      <c r="F79" s="339" t="s">
        <v>86</v>
      </c>
      <c r="G79" s="339" t="s">
        <v>131</v>
      </c>
      <c r="H79" s="339" t="s">
        <v>132</v>
      </c>
      <c r="I79" s="339" t="s">
        <v>133</v>
      </c>
      <c r="J79" s="339" t="s">
        <v>134</v>
      </c>
      <c r="K79" s="339" t="s">
        <v>138</v>
      </c>
      <c r="L79" s="339" t="s">
        <v>141</v>
      </c>
      <c r="M79" s="339" t="s">
        <v>143</v>
      </c>
      <c r="N79" s="339" t="s">
        <v>149</v>
      </c>
      <c r="O79" s="339" t="s">
        <v>173</v>
      </c>
      <c r="P79" s="339" t="s">
        <v>187</v>
      </c>
      <c r="Q79" s="339" t="s">
        <v>194</v>
      </c>
      <c r="R79" s="339" t="s">
        <v>195</v>
      </c>
      <c r="S79" s="339" t="s">
        <v>68</v>
      </c>
      <c r="T79" s="339" t="s">
        <v>170</v>
      </c>
      <c r="U79" s="339" t="s">
        <v>19</v>
      </c>
      <c r="V79" s="339" t="s">
        <v>178</v>
      </c>
      <c r="W79" s="339" t="s">
        <v>183</v>
      </c>
    </row>
    <row r="80">
      <c r="A80" s="217">
        <v>80.0</v>
      </c>
      <c r="B80" s="301" t="s">
        <v>142</v>
      </c>
      <c r="C80" s="219" t="s">
        <v>199</v>
      </c>
      <c r="D80" s="220" t="str">
        <f t="shared" si="1"/>
        <v>{ ) }</v>
      </c>
      <c r="E80" s="301" t="s">
        <v>396</v>
      </c>
      <c r="F80" s="339" t="s">
        <v>64</v>
      </c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</row>
    <row r="81">
      <c r="A81" s="217">
        <v>81.0</v>
      </c>
      <c r="B81" s="302" t="s">
        <v>144</v>
      </c>
      <c r="C81" s="219" t="s">
        <v>199</v>
      </c>
      <c r="D81" s="220" t="str">
        <f t="shared" si="1"/>
        <v>{ ) }</v>
      </c>
      <c r="E81" s="302" t="s">
        <v>397</v>
      </c>
      <c r="F81" s="339" t="s">
        <v>64</v>
      </c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</row>
    <row r="82">
      <c r="A82" s="217">
        <v>82.0</v>
      </c>
      <c r="B82" s="303" t="s">
        <v>83</v>
      </c>
      <c r="C82" s="219" t="s">
        <v>199</v>
      </c>
      <c r="D82" s="220" t="str">
        <f t="shared" si="1"/>
        <v>{ id , abs, len, pow, sqrt, trap, thread, threadln, if, switch, for, while, do, return, break, }, case, default }</v>
      </c>
      <c r="E82" s="303" t="s">
        <v>398</v>
      </c>
      <c r="F82" s="339" t="s">
        <v>86</v>
      </c>
      <c r="G82" s="339" t="s">
        <v>131</v>
      </c>
      <c r="H82" s="339" t="s">
        <v>132</v>
      </c>
      <c r="I82" s="339" t="s">
        <v>133</v>
      </c>
      <c r="J82" s="339" t="s">
        <v>134</v>
      </c>
      <c r="K82" s="339" t="s">
        <v>138</v>
      </c>
      <c r="L82" s="339" t="s">
        <v>141</v>
      </c>
      <c r="M82" s="339" t="s">
        <v>143</v>
      </c>
      <c r="N82" s="339" t="s">
        <v>149</v>
      </c>
      <c r="O82" s="339" t="s">
        <v>173</v>
      </c>
      <c r="P82" s="339" t="s">
        <v>187</v>
      </c>
      <c r="Q82" s="339" t="s">
        <v>194</v>
      </c>
      <c r="R82" s="339" t="s">
        <v>195</v>
      </c>
      <c r="S82" s="339" t="s">
        <v>68</v>
      </c>
      <c r="T82" s="339" t="s">
        <v>170</v>
      </c>
      <c r="U82" s="339" t="s">
        <v>19</v>
      </c>
      <c r="V82" s="339" t="s">
        <v>178</v>
      </c>
      <c r="W82" s="339" t="s">
        <v>183</v>
      </c>
    </row>
    <row r="83">
      <c r="A83" s="217">
        <v>83.0</v>
      </c>
      <c r="B83" s="304" t="s">
        <v>145</v>
      </c>
      <c r="C83" s="219" t="s">
        <v>199</v>
      </c>
      <c r="D83" s="220" t="str">
        <f t="shared" si="1"/>
        <v>{ id , abs, len, pow, sqrt, trap, thread, threadln, if, switch, for, while, do, return, break, }, case, default }</v>
      </c>
      <c r="E83" s="304" t="s">
        <v>399</v>
      </c>
      <c r="F83" s="339" t="s">
        <v>86</v>
      </c>
      <c r="G83" s="339" t="s">
        <v>131</v>
      </c>
      <c r="H83" s="339" t="s">
        <v>132</v>
      </c>
      <c r="I83" s="339" t="s">
        <v>133</v>
      </c>
      <c r="J83" s="339" t="s">
        <v>134</v>
      </c>
      <c r="K83" s="339" t="s">
        <v>138</v>
      </c>
      <c r="L83" s="339" t="s">
        <v>141</v>
      </c>
      <c r="M83" s="339" t="s">
        <v>143</v>
      </c>
      <c r="N83" s="339" t="s">
        <v>149</v>
      </c>
      <c r="O83" s="339" t="s">
        <v>173</v>
      </c>
      <c r="P83" s="339" t="s">
        <v>187</v>
      </c>
      <c r="Q83" s="339" t="s">
        <v>194</v>
      </c>
      <c r="R83" s="339" t="s">
        <v>195</v>
      </c>
      <c r="S83" s="339" t="s">
        <v>68</v>
      </c>
      <c r="T83" s="339" t="s">
        <v>170</v>
      </c>
      <c r="U83" s="339" t="s">
        <v>19</v>
      </c>
      <c r="V83" s="339" t="s">
        <v>178</v>
      </c>
      <c r="W83" s="339" t="s">
        <v>183</v>
      </c>
    </row>
    <row r="84">
      <c r="A84" s="217">
        <v>84.0</v>
      </c>
      <c r="B84" s="305" t="s">
        <v>147</v>
      </c>
      <c r="C84" s="219" t="s">
        <v>199</v>
      </c>
      <c r="D84" s="220" t="str">
        <f t="shared" si="1"/>
        <v>{ id , abs, len, pow, sqrt, trap, thread, threadln, if, switch, for, while, do, return, break, }, case, default }</v>
      </c>
      <c r="E84" s="305" t="s">
        <v>400</v>
      </c>
      <c r="F84" s="339" t="s">
        <v>86</v>
      </c>
      <c r="G84" s="339" t="s">
        <v>131</v>
      </c>
      <c r="H84" s="339" t="s">
        <v>132</v>
      </c>
      <c r="I84" s="339" t="s">
        <v>133</v>
      </c>
      <c r="J84" s="339" t="s">
        <v>134</v>
      </c>
      <c r="K84" s="339" t="s">
        <v>138</v>
      </c>
      <c r="L84" s="339" t="s">
        <v>141</v>
      </c>
      <c r="M84" s="339" t="s">
        <v>143</v>
      </c>
      <c r="N84" s="339" t="s">
        <v>149</v>
      </c>
      <c r="O84" s="339" t="s">
        <v>173</v>
      </c>
      <c r="P84" s="339" t="s">
        <v>187</v>
      </c>
      <c r="Q84" s="339" t="s">
        <v>194</v>
      </c>
      <c r="R84" s="339" t="s">
        <v>195</v>
      </c>
      <c r="S84" s="339" t="s">
        <v>68</v>
      </c>
      <c r="T84" s="339" t="s">
        <v>170</v>
      </c>
      <c r="U84" s="339" t="s">
        <v>19</v>
      </c>
      <c r="V84" s="339" t="s">
        <v>178</v>
      </c>
      <c r="W84" s="339" t="s">
        <v>183</v>
      </c>
    </row>
    <row r="85">
      <c r="A85" s="217">
        <v>85.0</v>
      </c>
      <c r="B85" s="306" t="s">
        <v>150</v>
      </c>
      <c r="C85" s="219" t="s">
        <v>199</v>
      </c>
      <c r="D85" s="220" t="str">
        <f t="shared" si="1"/>
        <v>{ ), ; }</v>
      </c>
      <c r="E85" s="306" t="s">
        <v>401</v>
      </c>
      <c r="F85" s="339" t="s">
        <v>64</v>
      </c>
      <c r="G85" s="339" t="s">
        <v>6</v>
      </c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</row>
    <row r="86">
      <c r="A86" s="217">
        <v>86.0</v>
      </c>
      <c r="B86" s="307" t="s">
        <v>155</v>
      </c>
      <c r="C86" s="219" t="s">
        <v>199</v>
      </c>
      <c r="D86" s="220" t="str">
        <f t="shared" si="1"/>
        <v>{ ), ; }</v>
      </c>
      <c r="E86" s="307" t="s">
        <v>402</v>
      </c>
      <c r="F86" s="339" t="s">
        <v>64</v>
      </c>
      <c r="G86" s="339" t="s">
        <v>6</v>
      </c>
      <c r="H86" s="230"/>
    </row>
    <row r="87">
      <c r="A87" s="217">
        <v>87.0</v>
      </c>
      <c r="B87" s="308" t="s">
        <v>154</v>
      </c>
      <c r="C87" s="219" t="s">
        <v>199</v>
      </c>
      <c r="D87" s="220" t="str">
        <f t="shared" si="1"/>
        <v>{ ||, ), ; }</v>
      </c>
      <c r="E87" s="308" t="s">
        <v>403</v>
      </c>
      <c r="F87" s="339" t="s">
        <v>105</v>
      </c>
      <c r="G87" s="339" t="s">
        <v>64</v>
      </c>
      <c r="H87" s="339" t="s">
        <v>6</v>
      </c>
      <c r="I87" s="230"/>
    </row>
    <row r="88">
      <c r="A88" s="217">
        <v>88.0</v>
      </c>
      <c r="B88" s="309" t="s">
        <v>157</v>
      </c>
      <c r="C88" s="219" t="s">
        <v>199</v>
      </c>
      <c r="D88" s="220" t="str">
        <f t="shared" si="1"/>
        <v>{ ||, ), ; }</v>
      </c>
      <c r="E88" s="309" t="s">
        <v>404</v>
      </c>
      <c r="F88" s="339" t="s">
        <v>105</v>
      </c>
      <c r="G88" s="339" t="s">
        <v>64</v>
      </c>
      <c r="H88" s="339" t="s">
        <v>6</v>
      </c>
      <c r="I88" s="230"/>
    </row>
    <row r="89">
      <c r="A89" s="217">
        <v>89.0</v>
      </c>
      <c r="B89" s="310" t="s">
        <v>156</v>
      </c>
      <c r="C89" s="219" t="s">
        <v>199</v>
      </c>
      <c r="D89" s="220" t="str">
        <f t="shared" si="1"/>
        <v>{ &amp;&amp;, ||, ), ; }</v>
      </c>
      <c r="E89" s="310" t="s">
        <v>405</v>
      </c>
      <c r="F89" s="339" t="s">
        <v>108</v>
      </c>
      <c r="G89" s="339" t="s">
        <v>105</v>
      </c>
      <c r="H89" s="339" t="s">
        <v>64</v>
      </c>
      <c r="I89" s="339" t="s">
        <v>6</v>
      </c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</row>
    <row r="90">
      <c r="A90" s="217">
        <v>90.0</v>
      </c>
      <c r="B90" s="311" t="s">
        <v>158</v>
      </c>
      <c r="C90" s="219" t="s">
        <v>199</v>
      </c>
      <c r="D90" s="220" t="str">
        <f t="shared" si="1"/>
        <v>{   }</v>
      </c>
      <c r="E90" s="311" t="s">
        <v>406</v>
      </c>
      <c r="F90" s="339" t="s">
        <v>159</v>
      </c>
      <c r="G90" s="230"/>
      <c r="H90" s="230"/>
      <c r="I90" s="230"/>
      <c r="J90" s="230"/>
      <c r="K90" s="230"/>
      <c r="L90" s="230"/>
      <c r="M90" s="230"/>
      <c r="N90" s="230"/>
      <c r="O90" s="230"/>
      <c r="P90" s="230"/>
    </row>
    <row r="91">
      <c r="A91" s="217">
        <v>91.0</v>
      </c>
      <c r="B91" s="312" t="s">
        <v>160</v>
      </c>
      <c r="C91" s="219" t="s">
        <v>199</v>
      </c>
      <c r="D91" s="220" t="str">
        <f t="shared" si="1"/>
        <v>{   }</v>
      </c>
      <c r="E91" s="312" t="s">
        <v>407</v>
      </c>
      <c r="F91" s="339" t="s">
        <v>159</v>
      </c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</row>
    <row r="92">
      <c r="A92" s="217">
        <v>92.0</v>
      </c>
      <c r="B92" s="313" t="s">
        <v>161</v>
      </c>
      <c r="C92" s="219" t="s">
        <v>199</v>
      </c>
      <c r="D92" s="220" t="str">
        <f t="shared" si="1"/>
        <v>{  *, /, %,  +,  -,  ==, !=, &gt;, &lt;, &gt;=, &lt;= }</v>
      </c>
      <c r="E92" s="313" t="s">
        <v>408</v>
      </c>
      <c r="F92" s="339" t="s">
        <v>119</v>
      </c>
      <c r="G92" s="339" t="s">
        <v>120</v>
      </c>
      <c r="H92" s="339" t="s">
        <v>121</v>
      </c>
      <c r="I92" s="339" t="s">
        <v>115</v>
      </c>
      <c r="J92" s="339" t="s">
        <v>116</v>
      </c>
      <c r="K92" s="339" t="s">
        <v>162</v>
      </c>
      <c r="L92" s="339" t="s">
        <v>163</v>
      </c>
      <c r="M92" s="339" t="s">
        <v>164</v>
      </c>
      <c r="N92" s="339" t="s">
        <v>165</v>
      </c>
      <c r="O92" s="339" t="s">
        <v>166</v>
      </c>
      <c r="P92" s="339" t="s">
        <v>167</v>
      </c>
      <c r="Q92" s="230"/>
      <c r="R92" s="230"/>
      <c r="S92" s="230"/>
      <c r="T92" s="230"/>
    </row>
    <row r="93">
      <c r="A93" s="217">
        <v>93.0</v>
      </c>
      <c r="B93" s="314" t="s">
        <v>112</v>
      </c>
      <c r="C93" s="219" t="s">
        <v>199</v>
      </c>
      <c r="D93" s="220" t="str">
        <f t="shared" si="1"/>
        <v>{ id, intlit, longlit, floatlit, doublelit, charlit, stringlit,  true,  false, abs, len, pow, sqrt,  -, ( }</v>
      </c>
      <c r="E93" s="314" t="s">
        <v>409</v>
      </c>
      <c r="F93" s="339" t="s">
        <v>14</v>
      </c>
      <c r="G93" s="339" t="s">
        <v>39</v>
      </c>
      <c r="H93" s="339" t="s">
        <v>43</v>
      </c>
      <c r="I93" s="339" t="s">
        <v>44</v>
      </c>
      <c r="J93" s="339" t="s">
        <v>45</v>
      </c>
      <c r="K93" s="339" t="s">
        <v>127</v>
      </c>
      <c r="L93" s="339" t="s">
        <v>128</v>
      </c>
      <c r="M93" s="339" t="s">
        <v>129</v>
      </c>
      <c r="N93" s="339" t="s">
        <v>130</v>
      </c>
      <c r="O93" s="339" t="s">
        <v>131</v>
      </c>
      <c r="P93" s="339" t="s">
        <v>132</v>
      </c>
      <c r="Q93" s="339" t="s">
        <v>133</v>
      </c>
      <c r="R93" s="339" t="s">
        <v>134</v>
      </c>
      <c r="S93" s="339" t="s">
        <v>116</v>
      </c>
      <c r="T93" s="339" t="s">
        <v>62</v>
      </c>
      <c r="U93" s="230"/>
      <c r="V93" s="230"/>
    </row>
    <row r="94">
      <c r="A94" s="217">
        <v>94.0</v>
      </c>
      <c r="B94" s="315" t="s">
        <v>151</v>
      </c>
      <c r="C94" s="219" t="s">
        <v>199</v>
      </c>
      <c r="D94" s="220" t="str">
        <f t="shared" si="1"/>
        <v>{ return, }, case, default }</v>
      </c>
      <c r="E94" s="315" t="s">
        <v>410</v>
      </c>
      <c r="F94" s="339" t="s">
        <v>68</v>
      </c>
      <c r="G94" s="339" t="s">
        <v>19</v>
      </c>
      <c r="H94" s="339" t="s">
        <v>178</v>
      </c>
      <c r="I94" s="339" t="s">
        <v>183</v>
      </c>
      <c r="J94" s="230"/>
      <c r="K94" s="230"/>
      <c r="L94" s="230"/>
      <c r="M94" s="230"/>
      <c r="N94" s="230"/>
      <c r="O94" s="230"/>
      <c r="P94" s="230"/>
      <c r="Q94" s="230"/>
      <c r="R94" s="230"/>
      <c r="S94" s="230"/>
    </row>
    <row r="95">
      <c r="A95" s="217">
        <v>95.0</v>
      </c>
      <c r="B95" s="316" t="s">
        <v>168</v>
      </c>
      <c r="C95" s="219" t="s">
        <v>199</v>
      </c>
      <c r="D95" s="220" t="str">
        <f t="shared" si="1"/>
        <v>{ return, }, case, default }</v>
      </c>
      <c r="E95" s="316" t="s">
        <v>411</v>
      </c>
      <c r="F95" s="339" t="s">
        <v>68</v>
      </c>
      <c r="G95" s="339" t="s">
        <v>19</v>
      </c>
      <c r="H95" s="339" t="s">
        <v>178</v>
      </c>
      <c r="I95" s="339" t="s">
        <v>183</v>
      </c>
      <c r="J95" s="230"/>
      <c r="K95" s="230"/>
      <c r="L95" s="230"/>
      <c r="M95" s="230"/>
      <c r="N95" s="230"/>
      <c r="O95" s="230"/>
      <c r="P95" s="230"/>
      <c r="Q95" s="230"/>
      <c r="R95" s="230"/>
      <c r="S95" s="230"/>
    </row>
    <row r="96">
      <c r="A96" s="217">
        <v>96.0</v>
      </c>
      <c r="B96" s="317" t="s">
        <v>169</v>
      </c>
      <c r="C96" s="219" t="s">
        <v>199</v>
      </c>
      <c r="D96" s="220" t="str">
        <f t="shared" si="1"/>
        <v>{ return, }, case, default }</v>
      </c>
      <c r="E96" s="317" t="s">
        <v>412</v>
      </c>
      <c r="F96" s="339" t="s">
        <v>68</v>
      </c>
      <c r="G96" s="339" t="s">
        <v>19</v>
      </c>
      <c r="H96" s="339" t="s">
        <v>178</v>
      </c>
      <c r="I96" s="339" t="s">
        <v>183</v>
      </c>
      <c r="J96" s="230"/>
      <c r="K96" s="230"/>
      <c r="L96" s="230"/>
      <c r="M96" s="230"/>
      <c r="N96" s="230"/>
      <c r="O96" s="230"/>
      <c r="P96" s="230"/>
      <c r="Q96" s="230"/>
      <c r="R96" s="230"/>
      <c r="S96" s="230"/>
    </row>
    <row r="97">
      <c r="A97" s="217">
        <v>97.0</v>
      </c>
      <c r="B97" s="318" t="s">
        <v>152</v>
      </c>
      <c r="C97" s="219" t="s">
        <v>199</v>
      </c>
      <c r="D97" s="220" t="str">
        <f t="shared" si="1"/>
        <v>{ }, case, default }</v>
      </c>
      <c r="E97" s="318" t="s">
        <v>413</v>
      </c>
      <c r="F97" s="339" t="s">
        <v>19</v>
      </c>
      <c r="G97" s="339" t="s">
        <v>178</v>
      </c>
      <c r="H97" s="339" t="s">
        <v>183</v>
      </c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</row>
    <row r="98">
      <c r="A98" s="217">
        <v>98.0</v>
      </c>
      <c r="B98" s="319" t="s">
        <v>153</v>
      </c>
      <c r="C98" s="219" t="s">
        <v>199</v>
      </c>
      <c r="D98" s="220" t="str">
        <f t="shared" si="1"/>
        <v>{ id , abs, len, pow, sqrt, trap, thread, threadln, if, switch, for, while, do, return, break, }, case, default }</v>
      </c>
      <c r="E98" s="319" t="s">
        <v>414</v>
      </c>
      <c r="F98" s="339" t="s">
        <v>86</v>
      </c>
      <c r="G98" s="339" t="s">
        <v>131</v>
      </c>
      <c r="H98" s="339" t="s">
        <v>132</v>
      </c>
      <c r="I98" s="339" t="s">
        <v>133</v>
      </c>
      <c r="J98" s="339" t="s">
        <v>134</v>
      </c>
      <c r="K98" s="339" t="s">
        <v>138</v>
      </c>
      <c r="L98" s="339" t="s">
        <v>141</v>
      </c>
      <c r="M98" s="339" t="s">
        <v>143</v>
      </c>
      <c r="N98" s="339" t="s">
        <v>149</v>
      </c>
      <c r="O98" s="339" t="s">
        <v>173</v>
      </c>
      <c r="P98" s="339" t="s">
        <v>187</v>
      </c>
      <c r="Q98" s="339" t="s">
        <v>194</v>
      </c>
      <c r="R98" s="339" t="s">
        <v>195</v>
      </c>
      <c r="S98" s="339" t="s">
        <v>68</v>
      </c>
      <c r="T98" s="339" t="s">
        <v>170</v>
      </c>
      <c r="U98" s="339" t="s">
        <v>19</v>
      </c>
      <c r="V98" s="339" t="s">
        <v>178</v>
      </c>
      <c r="W98" s="339" t="s">
        <v>183</v>
      </c>
    </row>
    <row r="99">
      <c r="A99" s="217">
        <v>99.0</v>
      </c>
      <c r="B99" s="320" t="s">
        <v>172</v>
      </c>
      <c r="C99" s="219" t="s">
        <v>199</v>
      </c>
      <c r="D99" s="220" t="str">
        <f t="shared" si="1"/>
        <v>{ id , abs, len, pow, sqrt, trap, thread, threadln, if, switch, for, while, do, return, break, }, case, default }</v>
      </c>
      <c r="E99" s="320" t="s">
        <v>415</v>
      </c>
      <c r="F99" s="339" t="s">
        <v>86</v>
      </c>
      <c r="G99" s="339" t="s">
        <v>131</v>
      </c>
      <c r="H99" s="339" t="s">
        <v>132</v>
      </c>
      <c r="I99" s="339" t="s">
        <v>133</v>
      </c>
      <c r="J99" s="339" t="s">
        <v>134</v>
      </c>
      <c r="K99" s="339" t="s">
        <v>138</v>
      </c>
      <c r="L99" s="339" t="s">
        <v>141</v>
      </c>
      <c r="M99" s="339" t="s">
        <v>143</v>
      </c>
      <c r="N99" s="339" t="s">
        <v>149</v>
      </c>
      <c r="O99" s="339" t="s">
        <v>173</v>
      </c>
      <c r="P99" s="339" t="s">
        <v>187</v>
      </c>
      <c r="Q99" s="339" t="s">
        <v>194</v>
      </c>
      <c r="R99" s="339" t="s">
        <v>195</v>
      </c>
      <c r="S99" s="339" t="s">
        <v>68</v>
      </c>
      <c r="T99" s="339" t="s">
        <v>170</v>
      </c>
      <c r="U99" s="339" t="s">
        <v>19</v>
      </c>
      <c r="V99" s="339" t="s">
        <v>178</v>
      </c>
      <c r="W99" s="339" t="s">
        <v>183</v>
      </c>
    </row>
    <row r="100">
      <c r="A100" s="217">
        <v>100.0</v>
      </c>
      <c r="B100" s="321" t="s">
        <v>148</v>
      </c>
      <c r="C100" s="219" t="s">
        <v>199</v>
      </c>
      <c r="D100" s="220" t="str">
        <f t="shared" si="1"/>
        <v>{ id , abs, len, pow, sqrt, trap, thread, threadln, if, switch, for, while, do, return, break, }, case, default }</v>
      </c>
      <c r="E100" s="321" t="s">
        <v>416</v>
      </c>
      <c r="F100" s="339" t="s">
        <v>86</v>
      </c>
      <c r="G100" s="339" t="s">
        <v>131</v>
      </c>
      <c r="H100" s="339" t="s">
        <v>132</v>
      </c>
      <c r="I100" s="339" t="s">
        <v>133</v>
      </c>
      <c r="J100" s="339" t="s">
        <v>134</v>
      </c>
      <c r="K100" s="339" t="s">
        <v>138</v>
      </c>
      <c r="L100" s="339" t="s">
        <v>141</v>
      </c>
      <c r="M100" s="339" t="s">
        <v>143</v>
      </c>
      <c r="N100" s="339" t="s">
        <v>149</v>
      </c>
      <c r="O100" s="339" t="s">
        <v>173</v>
      </c>
      <c r="P100" s="339" t="s">
        <v>187</v>
      </c>
      <c r="Q100" s="339" t="s">
        <v>194</v>
      </c>
      <c r="R100" s="339" t="s">
        <v>195</v>
      </c>
      <c r="S100" s="339" t="s">
        <v>68</v>
      </c>
      <c r="T100" s="339" t="s">
        <v>170</v>
      </c>
      <c r="U100" s="339" t="s">
        <v>19</v>
      </c>
      <c r="V100" s="339" t="s">
        <v>178</v>
      </c>
      <c r="W100" s="339" t="s">
        <v>183</v>
      </c>
    </row>
    <row r="101">
      <c r="A101" s="217">
        <v>101.0</v>
      </c>
      <c r="B101" s="322" t="s">
        <v>175</v>
      </c>
      <c r="C101" s="219" t="s">
        <v>199</v>
      </c>
      <c r="D101" s="220" t="str">
        <f t="shared" si="1"/>
        <v>{ default, } }</v>
      </c>
      <c r="E101" s="322" t="s">
        <v>417</v>
      </c>
      <c r="F101" s="339" t="s">
        <v>183</v>
      </c>
      <c r="G101" s="339" t="s">
        <v>19</v>
      </c>
      <c r="H101" s="230"/>
    </row>
    <row r="102">
      <c r="A102" s="217">
        <v>102.0</v>
      </c>
      <c r="B102" s="323" t="s">
        <v>174</v>
      </c>
      <c r="C102" s="219" t="s">
        <v>199</v>
      </c>
      <c r="D102" s="220" t="str">
        <f t="shared" si="1"/>
        <v>{ ) }</v>
      </c>
      <c r="E102" s="323" t="s">
        <v>418</v>
      </c>
      <c r="F102" s="339" t="s">
        <v>64</v>
      </c>
      <c r="G102" s="230"/>
      <c r="H102" s="230"/>
    </row>
    <row r="103">
      <c r="A103" s="217">
        <v>103.0</v>
      </c>
      <c r="B103" s="324" t="s">
        <v>177</v>
      </c>
      <c r="C103" s="219" t="s">
        <v>199</v>
      </c>
      <c r="D103" s="220" t="str">
        <f t="shared" si="1"/>
        <v>{ case, default, } }</v>
      </c>
      <c r="E103" s="324" t="s">
        <v>419</v>
      </c>
      <c r="F103" s="339" t="s">
        <v>178</v>
      </c>
      <c r="G103" s="339" t="s">
        <v>183</v>
      </c>
      <c r="H103" s="339" t="s">
        <v>19</v>
      </c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</row>
    <row r="104">
      <c r="A104" s="217">
        <v>104.0</v>
      </c>
      <c r="B104" s="325" t="s">
        <v>179</v>
      </c>
      <c r="C104" s="219" t="s">
        <v>199</v>
      </c>
      <c r="D104" s="220" t="str">
        <f t="shared" si="1"/>
        <v>{ : }</v>
      </c>
      <c r="E104" s="325" t="s">
        <v>420</v>
      </c>
      <c r="F104" s="339" t="s">
        <v>180</v>
      </c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</row>
    <row r="105">
      <c r="A105" s="217">
        <v>105.0</v>
      </c>
      <c r="B105" s="326" t="s">
        <v>181</v>
      </c>
      <c r="C105" s="219" t="s">
        <v>199</v>
      </c>
      <c r="D105" s="220" t="str">
        <f t="shared" si="1"/>
        <v>{ : }</v>
      </c>
      <c r="E105" s="326" t="s">
        <v>421</v>
      </c>
      <c r="F105" s="339" t="s">
        <v>180</v>
      </c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</row>
    <row r="106">
      <c r="A106" s="217">
        <v>106.0</v>
      </c>
      <c r="B106" s="327" t="s">
        <v>182</v>
      </c>
      <c r="C106" s="219" t="s">
        <v>199</v>
      </c>
      <c r="D106" s="220" t="str">
        <f t="shared" si="1"/>
        <v>{ : }</v>
      </c>
      <c r="E106" s="327" t="s">
        <v>422</v>
      </c>
      <c r="F106" s="339" t="s">
        <v>180</v>
      </c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</row>
    <row r="107">
      <c r="A107" s="217">
        <v>107.0</v>
      </c>
      <c r="B107" s="328" t="s">
        <v>176</v>
      </c>
      <c r="C107" s="219" t="s">
        <v>199</v>
      </c>
      <c r="D107" s="220" t="str">
        <f t="shared" si="1"/>
        <v>{ } }</v>
      </c>
      <c r="E107" s="328" t="s">
        <v>423</v>
      </c>
      <c r="F107" s="339" t="s">
        <v>19</v>
      </c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</row>
    <row r="108">
      <c r="A108" s="217">
        <v>108.0</v>
      </c>
      <c r="B108" s="329" t="s">
        <v>146</v>
      </c>
      <c r="C108" s="219" t="s">
        <v>199</v>
      </c>
      <c r="D108" s="220" t="str">
        <f t="shared" si="1"/>
        <v>{ id , abs, len, pow, sqrt, trap, thread, threadln, if, switch, for, while, do, return, break, }, case, default }</v>
      </c>
      <c r="E108" s="329" t="s">
        <v>424</v>
      </c>
      <c r="F108" s="339" t="s">
        <v>86</v>
      </c>
      <c r="G108" s="339" t="s">
        <v>131</v>
      </c>
      <c r="H108" s="339" t="s">
        <v>132</v>
      </c>
      <c r="I108" s="339" t="s">
        <v>133</v>
      </c>
      <c r="J108" s="339" t="s">
        <v>134</v>
      </c>
      <c r="K108" s="339" t="s">
        <v>138</v>
      </c>
      <c r="L108" s="339" t="s">
        <v>141</v>
      </c>
      <c r="M108" s="339" t="s">
        <v>143</v>
      </c>
      <c r="N108" s="339" t="s">
        <v>149</v>
      </c>
      <c r="O108" s="339" t="s">
        <v>173</v>
      </c>
      <c r="P108" s="339" t="s">
        <v>187</v>
      </c>
      <c r="Q108" s="339" t="s">
        <v>194</v>
      </c>
      <c r="R108" s="339" t="s">
        <v>195</v>
      </c>
      <c r="S108" s="339" t="s">
        <v>68</v>
      </c>
      <c r="T108" s="339" t="s">
        <v>170</v>
      </c>
      <c r="U108" s="339" t="s">
        <v>19</v>
      </c>
      <c r="V108" s="339" t="s">
        <v>178</v>
      </c>
      <c r="W108" s="339" t="s">
        <v>183</v>
      </c>
    </row>
    <row r="109">
      <c r="A109" s="217">
        <v>109.0</v>
      </c>
      <c r="B109" s="330" t="s">
        <v>184</v>
      </c>
      <c r="C109" s="219" t="s">
        <v>199</v>
      </c>
      <c r="D109" s="220" t="str">
        <f t="shared" si="1"/>
        <v>{ id , abs, len, pow, sqrt, trap, thread, threadln, if, switch, for, while, do, return, break, }, case, default }</v>
      </c>
      <c r="E109" s="330" t="s">
        <v>425</v>
      </c>
      <c r="F109" s="339" t="s">
        <v>86</v>
      </c>
      <c r="G109" s="339" t="s">
        <v>131</v>
      </c>
      <c r="H109" s="339" t="s">
        <v>132</v>
      </c>
      <c r="I109" s="339" t="s">
        <v>133</v>
      </c>
      <c r="J109" s="339" t="s">
        <v>134</v>
      </c>
      <c r="K109" s="339" t="s">
        <v>138</v>
      </c>
      <c r="L109" s="339" t="s">
        <v>141</v>
      </c>
      <c r="M109" s="339" t="s">
        <v>143</v>
      </c>
      <c r="N109" s="339" t="s">
        <v>149</v>
      </c>
      <c r="O109" s="339" t="s">
        <v>173</v>
      </c>
      <c r="P109" s="339" t="s">
        <v>187</v>
      </c>
      <c r="Q109" s="339" t="s">
        <v>194</v>
      </c>
      <c r="R109" s="339" t="s">
        <v>195</v>
      </c>
      <c r="S109" s="339" t="s">
        <v>68</v>
      </c>
      <c r="T109" s="339" t="s">
        <v>170</v>
      </c>
      <c r="U109" s="339" t="s">
        <v>19</v>
      </c>
      <c r="V109" s="339" t="s">
        <v>178</v>
      </c>
      <c r="W109" s="339" t="s">
        <v>183</v>
      </c>
    </row>
    <row r="110">
      <c r="A110" s="217">
        <v>110.0</v>
      </c>
      <c r="B110" s="331" t="s">
        <v>188</v>
      </c>
      <c r="C110" s="219" t="s">
        <v>199</v>
      </c>
      <c r="D110" s="220" t="str">
        <f t="shared" si="1"/>
        <v>{ ; }</v>
      </c>
      <c r="E110" s="331" t="s">
        <v>426</v>
      </c>
      <c r="F110" s="339" t="s">
        <v>6</v>
      </c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</row>
    <row r="111">
      <c r="A111" s="217">
        <v>111.0</v>
      </c>
      <c r="B111" s="332" t="s">
        <v>189</v>
      </c>
      <c r="C111" s="219" t="s">
        <v>199</v>
      </c>
      <c r="D111" s="220" t="str">
        <f t="shared" si="1"/>
        <v>{ ) }</v>
      </c>
      <c r="E111" s="332" t="s">
        <v>427</v>
      </c>
      <c r="F111" s="339" t="s">
        <v>64</v>
      </c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</row>
    <row r="112">
      <c r="A112" s="217">
        <v>112.0</v>
      </c>
      <c r="B112" s="333" t="s">
        <v>190</v>
      </c>
      <c r="C112" s="219" t="s">
        <v>199</v>
      </c>
      <c r="D112" s="220" t="str">
        <f t="shared" si="1"/>
        <v>{ id, intlit, longlit, floatlit, doublelit, charlit, stringlit,  true,  false, abs, len, pow, sqrt,  -, ( }</v>
      </c>
      <c r="E112" s="333" t="s">
        <v>428</v>
      </c>
      <c r="F112" s="339" t="s">
        <v>14</v>
      </c>
      <c r="G112" s="339" t="s">
        <v>39</v>
      </c>
      <c r="H112" s="339" t="s">
        <v>43</v>
      </c>
      <c r="I112" s="339" t="s">
        <v>44</v>
      </c>
      <c r="J112" s="339" t="s">
        <v>45</v>
      </c>
      <c r="K112" s="339" t="s">
        <v>127</v>
      </c>
      <c r="L112" s="339" t="s">
        <v>128</v>
      </c>
      <c r="M112" s="339" t="s">
        <v>129</v>
      </c>
      <c r="N112" s="339" t="s">
        <v>130</v>
      </c>
      <c r="O112" s="339" t="s">
        <v>131</v>
      </c>
      <c r="P112" s="339" t="s">
        <v>132</v>
      </c>
      <c r="Q112" s="339" t="s">
        <v>133</v>
      </c>
      <c r="R112" s="339" t="s">
        <v>134</v>
      </c>
      <c r="S112" s="339" t="s">
        <v>116</v>
      </c>
      <c r="T112" s="339" t="s">
        <v>62</v>
      </c>
      <c r="U112" s="230"/>
      <c r="V112" s="230"/>
      <c r="W112" s="230"/>
    </row>
    <row r="113">
      <c r="A113" s="217">
        <v>113.0</v>
      </c>
      <c r="B113" s="334" t="s">
        <v>185</v>
      </c>
      <c r="C113" s="219" t="s">
        <v>199</v>
      </c>
      <c r="D113" s="220" t="str">
        <f t="shared" si="1"/>
        <v>{ id , abs, len, pow, sqrt, trap, thread, threadln, if, switch, for, while, do, return, break, }, case, default }</v>
      </c>
      <c r="E113" s="334" t="s">
        <v>429</v>
      </c>
      <c r="F113" s="339" t="s">
        <v>86</v>
      </c>
      <c r="G113" s="339" t="s">
        <v>131</v>
      </c>
      <c r="H113" s="339" t="s">
        <v>132</v>
      </c>
      <c r="I113" s="339" t="s">
        <v>133</v>
      </c>
      <c r="J113" s="339" t="s">
        <v>134</v>
      </c>
      <c r="K113" s="339" t="s">
        <v>138</v>
      </c>
      <c r="L113" s="339" t="s">
        <v>141</v>
      </c>
      <c r="M113" s="339" t="s">
        <v>143</v>
      </c>
      <c r="N113" s="339" t="s">
        <v>149</v>
      </c>
      <c r="O113" s="339" t="s">
        <v>173</v>
      </c>
      <c r="P113" s="339" t="s">
        <v>187</v>
      </c>
      <c r="Q113" s="339" t="s">
        <v>194</v>
      </c>
      <c r="R113" s="339" t="s">
        <v>195</v>
      </c>
      <c r="S113" s="339" t="s">
        <v>68</v>
      </c>
      <c r="T113" s="339" t="s">
        <v>170</v>
      </c>
      <c r="U113" s="339" t="s">
        <v>19</v>
      </c>
      <c r="V113" s="339" t="s">
        <v>178</v>
      </c>
      <c r="W113" s="339" t="s">
        <v>183</v>
      </c>
    </row>
    <row r="114">
      <c r="A114" s="217">
        <v>114.0</v>
      </c>
      <c r="B114" s="335" t="s">
        <v>186</v>
      </c>
      <c r="C114" s="219" t="s">
        <v>199</v>
      </c>
      <c r="D114" s="220" t="str">
        <f t="shared" si="1"/>
        <v>{ id , abs, len, pow, sqrt, trap, thread, threadln, if, switch, for, while, do, return, break, }, case, default }</v>
      </c>
      <c r="E114" s="335" t="s">
        <v>430</v>
      </c>
      <c r="F114" s="339" t="s">
        <v>86</v>
      </c>
      <c r="G114" s="339" t="s">
        <v>131</v>
      </c>
      <c r="H114" s="339" t="s">
        <v>132</v>
      </c>
      <c r="I114" s="339" t="s">
        <v>133</v>
      </c>
      <c r="J114" s="339" t="s">
        <v>134</v>
      </c>
      <c r="K114" s="339" t="s">
        <v>138</v>
      </c>
      <c r="L114" s="339" t="s">
        <v>141</v>
      </c>
      <c r="M114" s="339" t="s">
        <v>143</v>
      </c>
      <c r="N114" s="339" t="s">
        <v>149</v>
      </c>
      <c r="O114" s="339" t="s">
        <v>173</v>
      </c>
      <c r="P114" s="339" t="s">
        <v>187</v>
      </c>
      <c r="Q114" s="339" t="s">
        <v>194</v>
      </c>
      <c r="R114" s="339" t="s">
        <v>195</v>
      </c>
      <c r="S114" s="339" t="s">
        <v>68</v>
      </c>
      <c r="T114" s="339" t="s">
        <v>170</v>
      </c>
      <c r="U114" s="339" t="s">
        <v>19</v>
      </c>
      <c r="V114" s="339" t="s">
        <v>178</v>
      </c>
      <c r="W114" s="339" t="s">
        <v>183</v>
      </c>
    </row>
    <row r="115">
      <c r="A115" s="217">
        <v>115.0</v>
      </c>
      <c r="B115" s="336" t="s">
        <v>66</v>
      </c>
      <c r="C115" s="219" t="s">
        <v>199</v>
      </c>
      <c r="D115" s="220" t="str">
        <f t="shared" si="1"/>
        <v>{ }, case, default }</v>
      </c>
      <c r="E115" s="336" t="s">
        <v>431</v>
      </c>
      <c r="F115" s="339" t="s">
        <v>19</v>
      </c>
      <c r="G115" s="339" t="s">
        <v>178</v>
      </c>
      <c r="H115" s="339" t="s">
        <v>183</v>
      </c>
    </row>
    <row r="116">
      <c r="A116" s="217">
        <v>116.0</v>
      </c>
      <c r="B116" s="337" t="s">
        <v>3</v>
      </c>
      <c r="C116" s="219" t="s">
        <v>199</v>
      </c>
      <c r="D116" s="220" t="str">
        <f t="shared" si="1"/>
        <v>{  }</v>
      </c>
      <c r="E116" s="337" t="s">
        <v>432</v>
      </c>
      <c r="F116" s="230"/>
    </row>
    <row r="117">
      <c r="A117" s="217">
        <v>117.0</v>
      </c>
      <c r="B117" s="338" t="s">
        <v>198</v>
      </c>
      <c r="C117" s="219" t="s">
        <v>199</v>
      </c>
      <c r="D117" s="220" t="str">
        <f t="shared" si="1"/>
        <v>{ } }</v>
      </c>
      <c r="E117" s="338" t="s">
        <v>433</v>
      </c>
      <c r="F117" s="339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61.63"/>
    <col customWidth="1" min="3" max="3" width="26.0"/>
    <col customWidth="1" min="4" max="4" width="75.13"/>
  </cols>
  <sheetData>
    <row r="1">
      <c r="A1" s="217">
        <v>1.0</v>
      </c>
      <c r="B1" s="339" t="s">
        <v>434</v>
      </c>
      <c r="C1" s="339" t="s">
        <v>435</v>
      </c>
      <c r="D1" s="339" t="s">
        <v>436</v>
      </c>
    </row>
    <row r="2">
      <c r="A2" s="217">
        <v>2.0</v>
      </c>
      <c r="B2" s="339" t="s">
        <v>437</v>
      </c>
      <c r="D2" s="339" t="s">
        <v>438</v>
      </c>
    </row>
    <row r="3">
      <c r="A3" s="217">
        <v>3.0</v>
      </c>
      <c r="B3" s="339" t="s">
        <v>439</v>
      </c>
      <c r="C3" s="339" t="s">
        <v>440</v>
      </c>
      <c r="D3" s="339" t="s">
        <v>441</v>
      </c>
    </row>
    <row r="4">
      <c r="A4" s="217">
        <v>4.0</v>
      </c>
      <c r="B4" s="339" t="s">
        <v>442</v>
      </c>
      <c r="C4" s="339" t="s">
        <v>443</v>
      </c>
      <c r="D4" s="339" t="s">
        <v>444</v>
      </c>
    </row>
    <row r="5">
      <c r="A5" s="217">
        <v>5.0</v>
      </c>
      <c r="B5" s="339" t="s">
        <v>445</v>
      </c>
      <c r="D5" s="339" t="s">
        <v>446</v>
      </c>
    </row>
    <row r="6">
      <c r="A6" s="217">
        <v>6.0</v>
      </c>
      <c r="B6" s="339" t="s">
        <v>447</v>
      </c>
      <c r="D6" s="339" t="s">
        <v>448</v>
      </c>
    </row>
    <row r="7">
      <c r="A7" s="217">
        <v>7.0</v>
      </c>
      <c r="B7" s="339" t="s">
        <v>449</v>
      </c>
      <c r="C7" s="339" t="s">
        <v>450</v>
      </c>
      <c r="D7" s="339" t="s">
        <v>451</v>
      </c>
    </row>
    <row r="8">
      <c r="A8" s="217">
        <v>8.0</v>
      </c>
      <c r="B8" s="339" t="s">
        <v>452</v>
      </c>
      <c r="D8" s="339" t="s">
        <v>453</v>
      </c>
    </row>
    <row r="9">
      <c r="A9" s="217">
        <v>9.0</v>
      </c>
      <c r="B9" s="339" t="s">
        <v>454</v>
      </c>
      <c r="C9" s="339" t="s">
        <v>450</v>
      </c>
      <c r="D9" s="339" t="s">
        <v>451</v>
      </c>
    </row>
    <row r="10">
      <c r="A10" s="217">
        <v>10.0</v>
      </c>
      <c r="B10" s="339" t="s">
        <v>452</v>
      </c>
      <c r="D10" s="339" t="s">
        <v>453</v>
      </c>
    </row>
    <row r="11">
      <c r="A11" s="217">
        <v>11.0</v>
      </c>
      <c r="B11" s="339" t="s">
        <v>455</v>
      </c>
      <c r="D11" s="339" t="s">
        <v>456</v>
      </c>
    </row>
    <row r="12">
      <c r="A12" s="217">
        <v>12.0</v>
      </c>
      <c r="B12" s="339" t="s">
        <v>457</v>
      </c>
      <c r="D12" s="339" t="s">
        <v>458</v>
      </c>
    </row>
    <row r="13">
      <c r="A13" s="217">
        <v>13.0</v>
      </c>
      <c r="B13" s="339" t="s">
        <v>459</v>
      </c>
      <c r="D13" s="339" t="s">
        <v>460</v>
      </c>
    </row>
    <row r="14">
      <c r="A14" s="217">
        <v>14.0</v>
      </c>
      <c r="B14" s="339" t="s">
        <v>461</v>
      </c>
      <c r="D14" s="339" t="s">
        <v>462</v>
      </c>
    </row>
    <row r="15">
      <c r="A15" s="217">
        <v>15.0</v>
      </c>
      <c r="B15" s="339" t="s">
        <v>463</v>
      </c>
      <c r="D15" s="339" t="s">
        <v>464</v>
      </c>
    </row>
    <row r="16">
      <c r="A16" s="217">
        <v>16.0</v>
      </c>
      <c r="B16" s="339" t="s">
        <v>465</v>
      </c>
      <c r="D16" s="339" t="s">
        <v>466</v>
      </c>
    </row>
    <row r="17">
      <c r="A17" s="217">
        <v>17.0</v>
      </c>
      <c r="B17" s="339" t="s">
        <v>467</v>
      </c>
      <c r="D17" s="339" t="s">
        <v>468</v>
      </c>
    </row>
    <row r="18">
      <c r="A18" s="217">
        <v>18.0</v>
      </c>
      <c r="B18" s="339" t="s">
        <v>469</v>
      </c>
      <c r="D18" s="339" t="s">
        <v>470</v>
      </c>
    </row>
    <row r="19">
      <c r="A19" s="217">
        <v>19.0</v>
      </c>
      <c r="B19" s="339" t="s">
        <v>471</v>
      </c>
      <c r="D19" s="339" t="s">
        <v>472</v>
      </c>
    </row>
    <row r="20">
      <c r="A20" s="217">
        <v>20.0</v>
      </c>
      <c r="B20" s="339" t="s">
        <v>473</v>
      </c>
      <c r="D20" s="339" t="s">
        <v>470</v>
      </c>
    </row>
    <row r="21">
      <c r="A21" s="217">
        <v>21.0</v>
      </c>
      <c r="B21" s="339" t="s">
        <v>474</v>
      </c>
      <c r="D21" s="339" t="s">
        <v>472</v>
      </c>
    </row>
    <row r="22">
      <c r="A22" s="217">
        <v>22.0</v>
      </c>
      <c r="B22" s="339" t="s">
        <v>475</v>
      </c>
      <c r="C22" s="339" t="s">
        <v>475</v>
      </c>
      <c r="D22" s="339" t="s">
        <v>476</v>
      </c>
    </row>
    <row r="23">
      <c r="A23" s="217">
        <v>23.0</v>
      </c>
      <c r="B23" s="339" t="s">
        <v>477</v>
      </c>
      <c r="D23" s="339" t="s">
        <v>478</v>
      </c>
    </row>
    <row r="24">
      <c r="A24" s="217">
        <v>24.0</v>
      </c>
      <c r="B24" s="339" t="s">
        <v>479</v>
      </c>
      <c r="C24" s="339" t="s">
        <v>480</v>
      </c>
      <c r="D24" s="339" t="s">
        <v>481</v>
      </c>
    </row>
    <row r="25">
      <c r="A25" s="217">
        <v>25.0</v>
      </c>
      <c r="B25" s="339" t="s">
        <v>482</v>
      </c>
      <c r="D25" s="339" t="s">
        <v>478</v>
      </c>
    </row>
    <row r="26">
      <c r="A26" s="217">
        <v>26.0</v>
      </c>
      <c r="B26" s="339" t="s">
        <v>483</v>
      </c>
      <c r="C26" s="339" t="s">
        <v>484</v>
      </c>
      <c r="D26" s="339" t="s">
        <v>481</v>
      </c>
    </row>
    <row r="27">
      <c r="A27" s="217">
        <v>27.0</v>
      </c>
      <c r="B27" s="339" t="s">
        <v>485</v>
      </c>
      <c r="C27" s="339"/>
      <c r="D27" s="339" t="s">
        <v>486</v>
      </c>
    </row>
    <row r="28">
      <c r="A28" s="217">
        <v>28.0</v>
      </c>
      <c r="B28" s="339" t="s">
        <v>487</v>
      </c>
      <c r="C28" s="339"/>
      <c r="D28" s="339" t="s">
        <v>453</v>
      </c>
    </row>
    <row r="29">
      <c r="A29" s="217">
        <v>29.0</v>
      </c>
      <c r="B29" s="339" t="s">
        <v>488</v>
      </c>
      <c r="C29" s="339" t="s">
        <v>488</v>
      </c>
      <c r="D29" s="339" t="s">
        <v>489</v>
      </c>
    </row>
    <row r="30">
      <c r="A30" s="217">
        <v>30.0</v>
      </c>
      <c r="B30" s="339" t="s">
        <v>490</v>
      </c>
      <c r="C30" s="339"/>
      <c r="D30" s="339" t="s">
        <v>491</v>
      </c>
    </row>
    <row r="31">
      <c r="A31" s="217">
        <v>31.0</v>
      </c>
      <c r="B31" s="339" t="s">
        <v>485</v>
      </c>
      <c r="D31" s="339" t="s">
        <v>486</v>
      </c>
    </row>
    <row r="32">
      <c r="A32" s="217">
        <v>32.0</v>
      </c>
      <c r="B32" s="339" t="s">
        <v>492</v>
      </c>
      <c r="D32" s="339" t="s">
        <v>493</v>
      </c>
    </row>
    <row r="33">
      <c r="A33" s="217">
        <v>33.0</v>
      </c>
      <c r="B33" s="339" t="s">
        <v>494</v>
      </c>
      <c r="C33" s="339"/>
      <c r="D33" s="339" t="s">
        <v>495</v>
      </c>
    </row>
    <row r="34">
      <c r="A34" s="217">
        <v>34.0</v>
      </c>
      <c r="B34" s="339" t="s">
        <v>496</v>
      </c>
      <c r="C34" s="339"/>
      <c r="D34" s="339" t="s">
        <v>497</v>
      </c>
    </row>
    <row r="35">
      <c r="A35" s="217">
        <v>35.0</v>
      </c>
      <c r="B35" s="339" t="s">
        <v>498</v>
      </c>
      <c r="C35" s="339"/>
      <c r="D35" s="339" t="s">
        <v>470</v>
      </c>
    </row>
    <row r="36">
      <c r="A36" s="217">
        <v>36.0</v>
      </c>
      <c r="B36" s="339" t="s">
        <v>499</v>
      </c>
      <c r="C36" s="339"/>
      <c r="D36" s="339" t="s">
        <v>472</v>
      </c>
    </row>
    <row r="37">
      <c r="A37" s="217">
        <v>37.0</v>
      </c>
      <c r="B37" s="339" t="s">
        <v>500</v>
      </c>
      <c r="C37" s="339" t="s">
        <v>501</v>
      </c>
      <c r="D37" s="339" t="s">
        <v>481</v>
      </c>
    </row>
    <row r="38">
      <c r="A38" s="217">
        <v>38.0</v>
      </c>
      <c r="B38" s="339" t="s">
        <v>502</v>
      </c>
      <c r="C38" s="339" t="s">
        <v>503</v>
      </c>
      <c r="D38" s="339" t="s">
        <v>504</v>
      </c>
    </row>
    <row r="39">
      <c r="A39" s="217">
        <v>39.0</v>
      </c>
      <c r="B39" s="339" t="s">
        <v>488</v>
      </c>
      <c r="C39" s="339" t="s">
        <v>488</v>
      </c>
      <c r="D39" s="339" t="s">
        <v>489</v>
      </c>
    </row>
    <row r="40">
      <c r="A40" s="217">
        <v>40.0</v>
      </c>
      <c r="B40" s="339" t="s">
        <v>487</v>
      </c>
      <c r="C40" s="339"/>
      <c r="D40" s="339" t="s">
        <v>453</v>
      </c>
    </row>
    <row r="41">
      <c r="A41" s="217">
        <v>41.0</v>
      </c>
      <c r="B41" s="339" t="s">
        <v>505</v>
      </c>
      <c r="C41" s="339"/>
      <c r="D41" s="339" t="s">
        <v>478</v>
      </c>
    </row>
    <row r="42">
      <c r="A42" s="217">
        <v>42.0</v>
      </c>
      <c r="B42" s="339" t="s">
        <v>506</v>
      </c>
      <c r="C42" s="339" t="s">
        <v>507</v>
      </c>
      <c r="D42" s="339" t="s">
        <v>508</v>
      </c>
    </row>
    <row r="43">
      <c r="A43" s="217">
        <v>43.0</v>
      </c>
      <c r="B43" s="339" t="s">
        <v>509</v>
      </c>
      <c r="C43" s="339" t="s">
        <v>509</v>
      </c>
      <c r="D43" s="339" t="s">
        <v>470</v>
      </c>
    </row>
    <row r="44">
      <c r="A44" s="217">
        <v>44.0</v>
      </c>
      <c r="B44" s="339" t="s">
        <v>510</v>
      </c>
      <c r="C44" s="339" t="s">
        <v>511</v>
      </c>
      <c r="D44" s="339" t="s">
        <v>481</v>
      </c>
    </row>
    <row r="45">
      <c r="A45" s="217">
        <v>45.0</v>
      </c>
      <c r="B45" s="339" t="s">
        <v>512</v>
      </c>
      <c r="C45" s="339"/>
      <c r="D45" s="339" t="s">
        <v>470</v>
      </c>
    </row>
    <row r="46">
      <c r="A46" s="217">
        <v>46.0</v>
      </c>
      <c r="B46" s="339" t="s">
        <v>513</v>
      </c>
      <c r="C46" s="339"/>
      <c r="D46" s="339" t="s">
        <v>514</v>
      </c>
    </row>
    <row r="47">
      <c r="A47" s="217">
        <v>47.0</v>
      </c>
      <c r="B47" s="339" t="s">
        <v>515</v>
      </c>
      <c r="D47" s="339" t="s">
        <v>478</v>
      </c>
    </row>
    <row r="48">
      <c r="A48" s="217">
        <v>48.0</v>
      </c>
      <c r="B48" s="339" t="s">
        <v>516</v>
      </c>
      <c r="C48" s="339" t="s">
        <v>517</v>
      </c>
      <c r="D48" s="339" t="s">
        <v>508</v>
      </c>
    </row>
    <row r="49">
      <c r="A49" s="217">
        <v>49.0</v>
      </c>
      <c r="B49" s="339" t="s">
        <v>498</v>
      </c>
      <c r="C49" s="339"/>
      <c r="D49" s="339" t="s">
        <v>470</v>
      </c>
    </row>
    <row r="50">
      <c r="A50" s="217">
        <v>50.0</v>
      </c>
      <c r="B50" s="339" t="s">
        <v>518</v>
      </c>
      <c r="C50" s="339"/>
      <c r="D50" s="339" t="s">
        <v>472</v>
      </c>
    </row>
    <row r="51">
      <c r="A51" s="217">
        <v>51.0</v>
      </c>
      <c r="B51" s="339" t="s">
        <v>519</v>
      </c>
      <c r="C51" s="339" t="s">
        <v>520</v>
      </c>
      <c r="D51" s="339" t="s">
        <v>521</v>
      </c>
    </row>
    <row r="52">
      <c r="A52" s="217">
        <v>52.0</v>
      </c>
      <c r="B52" s="339" t="s">
        <v>522</v>
      </c>
      <c r="C52" s="339" t="s">
        <v>522</v>
      </c>
      <c r="D52" s="339" t="s">
        <v>523</v>
      </c>
    </row>
    <row r="53">
      <c r="A53" s="217">
        <v>53.0</v>
      </c>
      <c r="B53" s="339" t="s">
        <v>487</v>
      </c>
      <c r="C53" s="339"/>
      <c r="D53" s="339" t="s">
        <v>453</v>
      </c>
    </row>
    <row r="54">
      <c r="A54" s="217">
        <v>54.0</v>
      </c>
      <c r="B54" s="339" t="s">
        <v>524</v>
      </c>
      <c r="C54" s="339"/>
      <c r="D54" s="339" t="s">
        <v>478</v>
      </c>
    </row>
    <row r="55">
      <c r="A55" s="217">
        <v>55.0</v>
      </c>
      <c r="B55" s="339" t="s">
        <v>525</v>
      </c>
      <c r="C55" s="339" t="s">
        <v>526</v>
      </c>
      <c r="D55" s="339" t="s">
        <v>508</v>
      </c>
    </row>
    <row r="56">
      <c r="A56" s="217">
        <v>56.0</v>
      </c>
      <c r="B56" s="339" t="s">
        <v>527</v>
      </c>
      <c r="C56" s="339"/>
      <c r="D56" s="339" t="s">
        <v>441</v>
      </c>
    </row>
    <row r="57">
      <c r="A57" s="217">
        <v>57.0</v>
      </c>
      <c r="B57" s="339" t="s">
        <v>528</v>
      </c>
      <c r="C57" s="339" t="s">
        <v>529</v>
      </c>
      <c r="D57" s="339" t="s">
        <v>451</v>
      </c>
    </row>
    <row r="58">
      <c r="A58" s="217">
        <v>58.0</v>
      </c>
      <c r="B58" s="339" t="s">
        <v>530</v>
      </c>
      <c r="C58" s="339" t="s">
        <v>531</v>
      </c>
      <c r="D58" s="339" t="s">
        <v>508</v>
      </c>
    </row>
    <row r="59">
      <c r="A59" s="217">
        <v>59.0</v>
      </c>
      <c r="B59" s="339" t="s">
        <v>532</v>
      </c>
      <c r="C59" s="339" t="s">
        <v>450</v>
      </c>
      <c r="D59" s="339" t="s">
        <v>451</v>
      </c>
    </row>
    <row r="60">
      <c r="A60" s="217">
        <v>60.0</v>
      </c>
      <c r="B60" s="339" t="s">
        <v>533</v>
      </c>
      <c r="C60" s="339" t="s">
        <v>534</v>
      </c>
      <c r="D60" s="339" t="s">
        <v>535</v>
      </c>
    </row>
    <row r="61">
      <c r="A61" s="217">
        <v>61.0</v>
      </c>
      <c r="B61" s="339" t="s">
        <v>536</v>
      </c>
      <c r="C61" s="339" t="s">
        <v>537</v>
      </c>
      <c r="D61" s="339" t="s">
        <v>456</v>
      </c>
    </row>
    <row r="62">
      <c r="A62" s="217">
        <v>62.0</v>
      </c>
      <c r="B62" s="339" t="s">
        <v>538</v>
      </c>
      <c r="D62" s="339" t="s">
        <v>535</v>
      </c>
    </row>
    <row r="63">
      <c r="A63" s="217">
        <v>63.0</v>
      </c>
      <c r="B63" s="339" t="s">
        <v>539</v>
      </c>
      <c r="C63" s="339" t="s">
        <v>450</v>
      </c>
      <c r="D63" s="339" t="s">
        <v>451</v>
      </c>
    </row>
    <row r="64">
      <c r="A64" s="217">
        <v>64.0</v>
      </c>
      <c r="B64" s="339" t="s">
        <v>540</v>
      </c>
      <c r="C64" s="339"/>
      <c r="D64" s="339" t="s">
        <v>541</v>
      </c>
    </row>
    <row r="65">
      <c r="A65" s="217">
        <v>65.0</v>
      </c>
      <c r="B65" s="339" t="s">
        <v>542</v>
      </c>
      <c r="C65" s="339"/>
      <c r="D65" s="339" t="s">
        <v>472</v>
      </c>
    </row>
    <row r="66">
      <c r="A66" s="217">
        <v>66.0</v>
      </c>
      <c r="B66" s="339" t="s">
        <v>543</v>
      </c>
      <c r="C66" s="339" t="s">
        <v>544</v>
      </c>
      <c r="D66" s="339" t="s">
        <v>453</v>
      </c>
    </row>
    <row r="67">
      <c r="A67" s="217">
        <v>67.0</v>
      </c>
      <c r="B67" s="339" t="s">
        <v>545</v>
      </c>
      <c r="C67" s="339"/>
      <c r="D67" s="339" t="s">
        <v>472</v>
      </c>
    </row>
    <row r="68">
      <c r="A68" s="217">
        <v>68.0</v>
      </c>
      <c r="B68" s="339" t="s">
        <v>546</v>
      </c>
      <c r="C68" s="339" t="s">
        <v>547</v>
      </c>
      <c r="D68" s="339" t="s">
        <v>453</v>
      </c>
    </row>
    <row r="69">
      <c r="A69" s="217">
        <v>69.0</v>
      </c>
      <c r="B69" s="339" t="s">
        <v>548</v>
      </c>
      <c r="C69" s="339" t="s">
        <v>450</v>
      </c>
      <c r="D69" s="339" t="s">
        <v>451</v>
      </c>
    </row>
    <row r="70">
      <c r="A70" s="217">
        <v>70.0</v>
      </c>
      <c r="B70" s="339" t="s">
        <v>549</v>
      </c>
      <c r="C70" s="339" t="s">
        <v>550</v>
      </c>
      <c r="D70" s="339" t="s">
        <v>551</v>
      </c>
    </row>
    <row r="71">
      <c r="A71" s="217">
        <v>71.0</v>
      </c>
      <c r="B71" s="339" t="s">
        <v>552</v>
      </c>
      <c r="C71" s="339"/>
      <c r="D71" s="339" t="s">
        <v>478</v>
      </c>
    </row>
    <row r="72">
      <c r="A72" s="217">
        <v>72.0</v>
      </c>
      <c r="B72" s="339" t="s">
        <v>553</v>
      </c>
      <c r="C72" s="339" t="s">
        <v>554</v>
      </c>
      <c r="D72" s="339" t="s">
        <v>551</v>
      </c>
    </row>
    <row r="73">
      <c r="A73" s="217">
        <v>73.0</v>
      </c>
      <c r="B73" s="339" t="s">
        <v>555</v>
      </c>
      <c r="C73" s="339"/>
      <c r="D73" s="339" t="s">
        <v>472</v>
      </c>
    </row>
    <row r="74">
      <c r="A74" s="217">
        <v>74.0</v>
      </c>
      <c r="B74" s="339" t="s">
        <v>556</v>
      </c>
      <c r="C74" s="339" t="s">
        <v>557</v>
      </c>
      <c r="D74" s="339" t="s">
        <v>558</v>
      </c>
    </row>
    <row r="75">
      <c r="A75" s="217">
        <v>75.0</v>
      </c>
      <c r="B75" s="339" t="s">
        <v>545</v>
      </c>
      <c r="C75" s="339"/>
      <c r="D75" s="339" t="s">
        <v>472</v>
      </c>
    </row>
    <row r="76">
      <c r="A76" s="217">
        <v>76.0</v>
      </c>
      <c r="B76" s="339" t="s">
        <v>559</v>
      </c>
      <c r="C76" s="339" t="s">
        <v>560</v>
      </c>
      <c r="D76" s="339" t="s">
        <v>558</v>
      </c>
    </row>
    <row r="77">
      <c r="A77" s="217">
        <v>77.0</v>
      </c>
      <c r="B77" s="339" t="s">
        <v>561</v>
      </c>
      <c r="C77" s="339" t="s">
        <v>562</v>
      </c>
      <c r="D77" s="339" t="s">
        <v>563</v>
      </c>
    </row>
    <row r="78">
      <c r="A78" s="217">
        <v>78.0</v>
      </c>
      <c r="B78" s="339" t="s">
        <v>564</v>
      </c>
      <c r="C78" s="339" t="s">
        <v>565</v>
      </c>
      <c r="D78" s="339" t="s">
        <v>566</v>
      </c>
    </row>
    <row r="79">
      <c r="A79" s="217">
        <v>79.0</v>
      </c>
      <c r="B79" s="339" t="s">
        <v>567</v>
      </c>
      <c r="C79" s="339" t="s">
        <v>568</v>
      </c>
      <c r="D79" s="339" t="s">
        <v>569</v>
      </c>
    </row>
    <row r="80">
      <c r="A80" s="217">
        <v>80.0</v>
      </c>
      <c r="B80" s="339" t="s">
        <v>570</v>
      </c>
      <c r="C80" s="339"/>
      <c r="D80" s="339" t="s">
        <v>566</v>
      </c>
    </row>
    <row r="81">
      <c r="A81" s="217">
        <v>81.0</v>
      </c>
      <c r="B81" s="339" t="s">
        <v>571</v>
      </c>
      <c r="C81" s="339"/>
      <c r="D81" s="339" t="s">
        <v>478</v>
      </c>
    </row>
    <row r="82">
      <c r="A82" s="217">
        <v>82.0</v>
      </c>
      <c r="B82" s="339" t="s">
        <v>572</v>
      </c>
      <c r="C82" s="339" t="s">
        <v>573</v>
      </c>
      <c r="D82" s="339" t="s">
        <v>481</v>
      </c>
    </row>
    <row r="83">
      <c r="A83" s="217">
        <v>83.0</v>
      </c>
      <c r="B83" s="339" t="s">
        <v>574</v>
      </c>
      <c r="C83" s="339"/>
      <c r="D83" s="339" t="s">
        <v>575</v>
      </c>
    </row>
    <row r="84">
      <c r="A84" s="217">
        <v>84.0</v>
      </c>
      <c r="B84" s="339" t="s">
        <v>576</v>
      </c>
      <c r="C84" s="339" t="s">
        <v>577</v>
      </c>
      <c r="D84" s="339" t="s">
        <v>578</v>
      </c>
    </row>
    <row r="85">
      <c r="A85" s="217">
        <v>85.0</v>
      </c>
      <c r="B85" s="339" t="s">
        <v>579</v>
      </c>
      <c r="C85" s="339" t="s">
        <v>580</v>
      </c>
      <c r="D85" s="339" t="s">
        <v>581</v>
      </c>
    </row>
    <row r="86">
      <c r="A86" s="217">
        <v>86.0</v>
      </c>
      <c r="B86" s="339" t="s">
        <v>582</v>
      </c>
      <c r="C86" s="339" t="s">
        <v>583</v>
      </c>
      <c r="D86" s="339" t="s">
        <v>584</v>
      </c>
    </row>
    <row r="87">
      <c r="A87" s="217">
        <v>87.0</v>
      </c>
      <c r="B87" s="339" t="s">
        <v>585</v>
      </c>
      <c r="C87" s="339" t="s">
        <v>586</v>
      </c>
      <c r="D87" s="339" t="s">
        <v>587</v>
      </c>
    </row>
    <row r="88">
      <c r="A88" s="217">
        <v>88.0</v>
      </c>
      <c r="B88" s="339" t="s">
        <v>588</v>
      </c>
      <c r="C88" s="339" t="s">
        <v>588</v>
      </c>
      <c r="D88" s="339" t="s">
        <v>589</v>
      </c>
    </row>
    <row r="89">
      <c r="A89" s="217">
        <v>89.0</v>
      </c>
      <c r="B89" s="339" t="s">
        <v>590</v>
      </c>
      <c r="C89" s="339" t="s">
        <v>590</v>
      </c>
      <c r="D89" s="339" t="s">
        <v>591</v>
      </c>
    </row>
    <row r="90">
      <c r="A90" s="217">
        <v>90.0</v>
      </c>
      <c r="B90" s="339" t="s">
        <v>592</v>
      </c>
      <c r="C90" s="339" t="s">
        <v>592</v>
      </c>
      <c r="D90" s="339" t="s">
        <v>453</v>
      </c>
    </row>
    <row r="91">
      <c r="A91" s="217">
        <v>91.0</v>
      </c>
      <c r="B91" s="339" t="s">
        <v>593</v>
      </c>
      <c r="C91" s="339" t="s">
        <v>593</v>
      </c>
      <c r="D91" s="339" t="s">
        <v>594</v>
      </c>
    </row>
    <row r="92">
      <c r="A92" s="217">
        <v>92.0</v>
      </c>
      <c r="B92" s="339" t="s">
        <v>595</v>
      </c>
      <c r="D92" s="339" t="s">
        <v>453</v>
      </c>
    </row>
    <row r="93">
      <c r="A93" s="217">
        <v>93.0</v>
      </c>
      <c r="B93" s="339" t="s">
        <v>596</v>
      </c>
      <c r="C93" s="339" t="s">
        <v>597</v>
      </c>
      <c r="D93" s="339" t="s">
        <v>598</v>
      </c>
    </row>
    <row r="94">
      <c r="A94" s="217">
        <v>94.0</v>
      </c>
      <c r="B94" s="339" t="s">
        <v>599</v>
      </c>
      <c r="C94" s="339"/>
      <c r="D94" s="339" t="s">
        <v>600</v>
      </c>
    </row>
    <row r="95">
      <c r="A95" s="217">
        <v>95.0</v>
      </c>
      <c r="B95" s="339" t="s">
        <v>601</v>
      </c>
      <c r="C95" s="339"/>
      <c r="D95" s="339" t="s">
        <v>602</v>
      </c>
    </row>
    <row r="96">
      <c r="A96" s="217">
        <v>96.0</v>
      </c>
      <c r="B96" s="339" t="s">
        <v>603</v>
      </c>
      <c r="C96" s="339"/>
      <c r="D96" s="339" t="s">
        <v>472</v>
      </c>
    </row>
    <row r="97">
      <c r="A97" s="217">
        <v>97.0</v>
      </c>
      <c r="B97" s="339" t="s">
        <v>604</v>
      </c>
      <c r="C97" s="339" t="s">
        <v>605</v>
      </c>
      <c r="D97" s="339" t="s">
        <v>606</v>
      </c>
    </row>
    <row r="98">
      <c r="A98" s="217">
        <v>98.0</v>
      </c>
      <c r="B98" s="339" t="s">
        <v>607</v>
      </c>
      <c r="D98" s="339" t="s">
        <v>472</v>
      </c>
    </row>
    <row r="99">
      <c r="A99" s="217">
        <v>99.0</v>
      </c>
      <c r="B99" s="339" t="s">
        <v>608</v>
      </c>
      <c r="C99" s="339" t="s">
        <v>609</v>
      </c>
      <c r="D99" s="339" t="s">
        <v>606</v>
      </c>
    </row>
    <row r="100">
      <c r="A100" s="217">
        <v>100.0</v>
      </c>
      <c r="B100" s="339" t="s">
        <v>610</v>
      </c>
      <c r="C100" s="339"/>
      <c r="D100" s="339" t="s">
        <v>470</v>
      </c>
    </row>
    <row r="101">
      <c r="A101" s="217">
        <v>101.0</v>
      </c>
      <c r="B101" s="339" t="s">
        <v>611</v>
      </c>
      <c r="D101" s="339" t="s">
        <v>612</v>
      </c>
    </row>
    <row r="102">
      <c r="A102" s="217">
        <v>102.0</v>
      </c>
      <c r="B102" s="339" t="s">
        <v>613</v>
      </c>
      <c r="C102" s="339"/>
      <c r="D102" s="339" t="s">
        <v>614</v>
      </c>
    </row>
    <row r="103">
      <c r="A103" s="217">
        <v>103.0</v>
      </c>
      <c r="B103" s="339" t="s">
        <v>615</v>
      </c>
      <c r="C103" s="339"/>
      <c r="D103" s="339" t="s">
        <v>616</v>
      </c>
    </row>
    <row r="104">
      <c r="A104" s="217">
        <v>104.0</v>
      </c>
      <c r="B104" s="339" t="s">
        <v>617</v>
      </c>
      <c r="C104" s="339"/>
      <c r="D104" s="339" t="s">
        <v>618</v>
      </c>
    </row>
    <row r="105">
      <c r="A105" s="217">
        <v>105.0</v>
      </c>
      <c r="B105" s="339" t="s">
        <v>619</v>
      </c>
      <c r="C105" s="339"/>
      <c r="D105" s="339" t="s">
        <v>620</v>
      </c>
    </row>
    <row r="106">
      <c r="A106" s="217">
        <v>106.0</v>
      </c>
      <c r="B106" s="339" t="s">
        <v>485</v>
      </c>
      <c r="C106" s="339"/>
      <c r="D106" s="339" t="s">
        <v>486</v>
      </c>
    </row>
    <row r="107">
      <c r="A107" s="217">
        <v>107.0</v>
      </c>
      <c r="B107" s="339" t="s">
        <v>487</v>
      </c>
      <c r="C107" s="339"/>
      <c r="D107" s="339" t="s">
        <v>453</v>
      </c>
    </row>
    <row r="108">
      <c r="A108" s="217">
        <v>108.0</v>
      </c>
      <c r="B108" s="339" t="s">
        <v>621</v>
      </c>
      <c r="C108" s="339" t="s">
        <v>622</v>
      </c>
      <c r="D108" s="339" t="s">
        <v>476</v>
      </c>
    </row>
    <row r="109">
      <c r="A109" s="217">
        <v>109.0</v>
      </c>
      <c r="B109" s="339" t="s">
        <v>623</v>
      </c>
      <c r="C109" s="339"/>
      <c r="D109" s="339" t="s">
        <v>624</v>
      </c>
    </row>
    <row r="110">
      <c r="A110" s="217">
        <v>110.0</v>
      </c>
      <c r="B110" s="339" t="s">
        <v>625</v>
      </c>
      <c r="C110" s="339" t="s">
        <v>626</v>
      </c>
      <c r="D110" s="339" t="s">
        <v>627</v>
      </c>
    </row>
    <row r="111">
      <c r="A111" s="217">
        <v>111.0</v>
      </c>
      <c r="B111" s="339" t="s">
        <v>628</v>
      </c>
      <c r="C111" s="339" t="s">
        <v>629</v>
      </c>
      <c r="D111" s="339" t="s">
        <v>476</v>
      </c>
    </row>
    <row r="112">
      <c r="A112" s="217">
        <v>112.0</v>
      </c>
      <c r="B112" s="339" t="s">
        <v>630</v>
      </c>
      <c r="C112" s="339"/>
      <c r="D112" s="339" t="s">
        <v>631</v>
      </c>
    </row>
    <row r="113">
      <c r="A113" s="217">
        <v>113.0</v>
      </c>
      <c r="B113" s="339" t="s">
        <v>632</v>
      </c>
      <c r="C113" s="339" t="s">
        <v>633</v>
      </c>
      <c r="D113" s="339" t="s">
        <v>634</v>
      </c>
    </row>
    <row r="114">
      <c r="A114" s="217">
        <v>114.0</v>
      </c>
      <c r="B114" s="339" t="s">
        <v>635</v>
      </c>
      <c r="C114" s="339" t="s">
        <v>636</v>
      </c>
      <c r="D114" s="339" t="s">
        <v>476</v>
      </c>
    </row>
    <row r="115">
      <c r="A115" s="217">
        <v>115.0</v>
      </c>
      <c r="B115" s="339" t="s">
        <v>637</v>
      </c>
      <c r="C115" s="339"/>
      <c r="D115" s="339" t="s">
        <v>638</v>
      </c>
    </row>
    <row r="116">
      <c r="A116" s="217">
        <v>116.0</v>
      </c>
      <c r="B116" s="339" t="s">
        <v>639</v>
      </c>
      <c r="C116" s="339" t="s">
        <v>640</v>
      </c>
      <c r="D116" s="339" t="s">
        <v>641</v>
      </c>
    </row>
    <row r="117">
      <c r="A117" s="217">
        <v>117.0</v>
      </c>
      <c r="B117" s="339" t="s">
        <v>642</v>
      </c>
      <c r="C117" s="339"/>
      <c r="D117" s="339" t="s">
        <v>643</v>
      </c>
    </row>
    <row r="118">
      <c r="A118" s="217">
        <v>118.0</v>
      </c>
      <c r="B118" s="339" t="s">
        <v>644</v>
      </c>
      <c r="C118" s="339" t="s">
        <v>644</v>
      </c>
      <c r="D118" s="339" t="s">
        <v>645</v>
      </c>
    </row>
    <row r="119">
      <c r="A119" s="217">
        <v>119.0</v>
      </c>
      <c r="B119" s="339" t="s">
        <v>646</v>
      </c>
      <c r="C119" s="339" t="s">
        <v>647</v>
      </c>
      <c r="D119" s="339" t="s">
        <v>645</v>
      </c>
    </row>
    <row r="120">
      <c r="A120" s="217">
        <v>120.0</v>
      </c>
      <c r="B120" s="339" t="s">
        <v>648</v>
      </c>
      <c r="C120" s="339" t="s">
        <v>649</v>
      </c>
      <c r="D120" s="339" t="s">
        <v>645</v>
      </c>
    </row>
    <row r="121">
      <c r="A121" s="217">
        <v>121.0</v>
      </c>
      <c r="B121" s="339" t="s">
        <v>650</v>
      </c>
      <c r="C121" s="339"/>
      <c r="D121" s="339" t="s">
        <v>651</v>
      </c>
    </row>
    <row r="122">
      <c r="A122" s="217">
        <v>122.0</v>
      </c>
      <c r="B122" s="339" t="s">
        <v>652</v>
      </c>
      <c r="C122" s="339"/>
      <c r="D122" s="339" t="s">
        <v>491</v>
      </c>
    </row>
    <row r="123">
      <c r="A123" s="217">
        <v>123.0</v>
      </c>
      <c r="B123" s="339" t="s">
        <v>653</v>
      </c>
      <c r="C123" s="339" t="s">
        <v>654</v>
      </c>
      <c r="D123" s="339" t="s">
        <v>655</v>
      </c>
    </row>
    <row r="124">
      <c r="A124" s="217">
        <v>124.0</v>
      </c>
      <c r="B124" s="339" t="s">
        <v>656</v>
      </c>
      <c r="C124" s="339" t="s">
        <v>657</v>
      </c>
      <c r="D124" s="339" t="s">
        <v>645</v>
      </c>
    </row>
    <row r="125">
      <c r="A125" s="217">
        <v>125.0</v>
      </c>
      <c r="B125" s="339" t="s">
        <v>658</v>
      </c>
      <c r="C125" s="339"/>
      <c r="D125" s="339" t="s">
        <v>659</v>
      </c>
    </row>
    <row r="126">
      <c r="A126" s="217">
        <v>126.0</v>
      </c>
      <c r="B126" s="339" t="s">
        <v>660</v>
      </c>
      <c r="C126" s="339"/>
      <c r="D126" s="339" t="s">
        <v>661</v>
      </c>
    </row>
    <row r="127">
      <c r="A127" s="217">
        <v>127.0</v>
      </c>
      <c r="B127" s="339" t="s">
        <v>662</v>
      </c>
      <c r="C127" s="339"/>
      <c r="D127" s="339" t="s">
        <v>663</v>
      </c>
    </row>
    <row r="128">
      <c r="A128" s="217">
        <v>128.0</v>
      </c>
      <c r="B128" s="339" t="s">
        <v>664</v>
      </c>
      <c r="C128" s="339" t="s">
        <v>665</v>
      </c>
      <c r="D128" s="339" t="s">
        <v>666</v>
      </c>
    </row>
    <row r="129">
      <c r="A129" s="217">
        <v>129.0</v>
      </c>
      <c r="B129" s="339" t="s">
        <v>667</v>
      </c>
      <c r="C129" s="339" t="s">
        <v>667</v>
      </c>
      <c r="D129" s="339" t="s">
        <v>668</v>
      </c>
    </row>
    <row r="130">
      <c r="A130" s="217">
        <v>130.0</v>
      </c>
      <c r="B130" s="339" t="s">
        <v>669</v>
      </c>
      <c r="C130" s="339"/>
      <c r="D130" s="339" t="s">
        <v>491</v>
      </c>
    </row>
    <row r="131">
      <c r="A131" s="217">
        <v>131.0</v>
      </c>
      <c r="B131" s="339" t="s">
        <v>670</v>
      </c>
      <c r="C131" s="339"/>
      <c r="D131" s="339" t="s">
        <v>600</v>
      </c>
    </row>
    <row r="132">
      <c r="A132" s="217">
        <v>132.0</v>
      </c>
      <c r="B132" s="339" t="s">
        <v>671</v>
      </c>
      <c r="C132" s="339" t="s">
        <v>450</v>
      </c>
      <c r="D132" s="339" t="s">
        <v>451</v>
      </c>
    </row>
    <row r="133">
      <c r="A133" s="217">
        <v>133.0</v>
      </c>
      <c r="B133" s="339" t="s">
        <v>672</v>
      </c>
      <c r="C133" s="339" t="s">
        <v>673</v>
      </c>
      <c r="D133" s="339" t="s">
        <v>476</v>
      </c>
    </row>
    <row r="134">
      <c r="A134" s="217">
        <v>134.0</v>
      </c>
      <c r="B134" s="339" t="s">
        <v>674</v>
      </c>
      <c r="C134" s="339"/>
      <c r="D134" s="339" t="s">
        <v>453</v>
      </c>
    </row>
    <row r="135">
      <c r="A135" s="217">
        <v>135.0</v>
      </c>
      <c r="B135" s="339" t="s">
        <v>488</v>
      </c>
      <c r="C135" s="339" t="s">
        <v>488</v>
      </c>
      <c r="D135" s="339" t="s">
        <v>489</v>
      </c>
    </row>
    <row r="136">
      <c r="A136" s="217">
        <v>136.0</v>
      </c>
      <c r="B136" s="339" t="s">
        <v>593</v>
      </c>
      <c r="C136" s="339" t="s">
        <v>593</v>
      </c>
      <c r="D136" s="339" t="s">
        <v>594</v>
      </c>
    </row>
    <row r="137">
      <c r="A137" s="217">
        <v>137.0</v>
      </c>
      <c r="B137" s="339" t="s">
        <v>675</v>
      </c>
      <c r="C137" s="339" t="s">
        <v>676</v>
      </c>
      <c r="D137" s="339" t="s">
        <v>677</v>
      </c>
    </row>
    <row r="138">
      <c r="A138" s="217">
        <v>138.0</v>
      </c>
      <c r="B138" s="339" t="s">
        <v>601</v>
      </c>
      <c r="C138" s="339"/>
      <c r="D138" s="339" t="s">
        <v>602</v>
      </c>
    </row>
    <row r="139">
      <c r="A139" s="217">
        <v>139.0</v>
      </c>
      <c r="B139" s="339" t="s">
        <v>678</v>
      </c>
      <c r="C139" s="339"/>
      <c r="D139" s="339" t="s">
        <v>472</v>
      </c>
    </row>
    <row r="140">
      <c r="A140" s="217">
        <v>140.0</v>
      </c>
      <c r="B140" s="339" t="s">
        <v>599</v>
      </c>
      <c r="C140" s="339"/>
      <c r="D140" s="339" t="s">
        <v>600</v>
      </c>
    </row>
    <row r="141">
      <c r="A141" s="217">
        <v>141.0</v>
      </c>
      <c r="B141" s="339" t="s">
        <v>679</v>
      </c>
      <c r="C141" s="339" t="s">
        <v>680</v>
      </c>
      <c r="D141" s="339" t="s">
        <v>681</v>
      </c>
    </row>
    <row r="142">
      <c r="A142" s="217">
        <v>142.0</v>
      </c>
      <c r="B142" s="339" t="s">
        <v>545</v>
      </c>
      <c r="D142" s="339" t="s">
        <v>472</v>
      </c>
    </row>
    <row r="143">
      <c r="A143" s="217">
        <v>143.0</v>
      </c>
      <c r="B143" s="339" t="s">
        <v>682</v>
      </c>
      <c r="C143" s="339" t="s">
        <v>683</v>
      </c>
      <c r="D143" s="339" t="s">
        <v>684</v>
      </c>
    </row>
    <row r="144">
      <c r="A144" s="217">
        <v>144.0</v>
      </c>
      <c r="B144" s="339" t="s">
        <v>485</v>
      </c>
      <c r="D144" s="339" t="s">
        <v>486</v>
      </c>
    </row>
    <row r="145">
      <c r="A145" s="217">
        <v>145.0</v>
      </c>
      <c r="B145" s="339" t="s">
        <v>492</v>
      </c>
      <c r="C145" s="339"/>
      <c r="D145" s="339" t="s">
        <v>493</v>
      </c>
    </row>
    <row r="146">
      <c r="A146" s="217">
        <v>146.0</v>
      </c>
      <c r="B146" s="339" t="s">
        <v>494</v>
      </c>
      <c r="D146" s="339" t="s">
        <v>495</v>
      </c>
    </row>
    <row r="147">
      <c r="A147" s="217">
        <v>147.0</v>
      </c>
      <c r="B147" s="339" t="s">
        <v>496</v>
      </c>
      <c r="C147" s="339"/>
      <c r="D147" s="339" t="s">
        <v>497</v>
      </c>
    </row>
    <row r="148">
      <c r="A148" s="217">
        <v>148.0</v>
      </c>
      <c r="B148" s="339" t="s">
        <v>685</v>
      </c>
      <c r="C148" s="339"/>
      <c r="D148" s="339" t="s">
        <v>686</v>
      </c>
    </row>
    <row r="149">
      <c r="A149" s="217">
        <v>149.0</v>
      </c>
      <c r="B149" s="339" t="s">
        <v>687</v>
      </c>
      <c r="C149" s="339"/>
      <c r="D149" s="339" t="s">
        <v>688</v>
      </c>
    </row>
    <row r="150">
      <c r="A150" s="217">
        <v>150.0</v>
      </c>
      <c r="B150" s="339" t="s">
        <v>689</v>
      </c>
      <c r="C150" s="339"/>
      <c r="D150" s="339" t="s">
        <v>690</v>
      </c>
    </row>
    <row r="151">
      <c r="A151" s="217">
        <v>151.0</v>
      </c>
      <c r="B151" s="339" t="s">
        <v>691</v>
      </c>
      <c r="C151" s="339"/>
      <c r="D151" s="339" t="s">
        <v>692</v>
      </c>
    </row>
    <row r="152">
      <c r="A152" s="217">
        <v>152.0</v>
      </c>
      <c r="B152" s="339" t="s">
        <v>693</v>
      </c>
      <c r="C152" s="339"/>
      <c r="D152" s="339" t="s">
        <v>694</v>
      </c>
    </row>
    <row r="153">
      <c r="A153" s="217">
        <v>153.0</v>
      </c>
      <c r="B153" s="339" t="s">
        <v>695</v>
      </c>
      <c r="C153" s="339"/>
      <c r="D153" s="339" t="s">
        <v>696</v>
      </c>
    </row>
    <row r="154">
      <c r="A154" s="217">
        <v>154.0</v>
      </c>
      <c r="B154" s="339" t="s">
        <v>697</v>
      </c>
      <c r="C154" s="339"/>
      <c r="D154" s="339" t="s">
        <v>698</v>
      </c>
    </row>
    <row r="155">
      <c r="A155" s="217">
        <v>155.0</v>
      </c>
      <c r="B155" s="339" t="s">
        <v>699</v>
      </c>
      <c r="C155" s="339"/>
      <c r="D155" s="339" t="s">
        <v>700</v>
      </c>
    </row>
    <row r="156">
      <c r="A156" s="217">
        <v>156.0</v>
      </c>
      <c r="B156" s="339" t="s">
        <v>701</v>
      </c>
      <c r="C156" s="339" t="s">
        <v>673</v>
      </c>
      <c r="D156" s="339" t="s">
        <v>476</v>
      </c>
    </row>
    <row r="157">
      <c r="A157" s="217">
        <v>157.0</v>
      </c>
      <c r="B157" s="339" t="s">
        <v>702</v>
      </c>
      <c r="C157" s="339" t="s">
        <v>703</v>
      </c>
      <c r="D157" s="339" t="s">
        <v>551</v>
      </c>
    </row>
    <row r="158">
      <c r="A158" s="217">
        <v>158.0</v>
      </c>
      <c r="B158" s="339" t="s">
        <v>704</v>
      </c>
      <c r="C158" s="339"/>
      <c r="D158" s="339" t="s">
        <v>478</v>
      </c>
    </row>
    <row r="159">
      <c r="A159" s="217">
        <v>159.0</v>
      </c>
      <c r="B159" s="339" t="s">
        <v>705</v>
      </c>
      <c r="C159" s="339" t="s">
        <v>706</v>
      </c>
      <c r="D159" s="339" t="s">
        <v>551</v>
      </c>
    </row>
    <row r="160">
      <c r="A160" s="217">
        <v>160.0</v>
      </c>
      <c r="B160" s="339" t="s">
        <v>707</v>
      </c>
      <c r="C160" s="339" t="s">
        <v>707</v>
      </c>
      <c r="D160" s="339" t="s">
        <v>708</v>
      </c>
    </row>
    <row r="161">
      <c r="A161" s="217">
        <v>161.0</v>
      </c>
      <c r="B161" s="339" t="s">
        <v>709</v>
      </c>
      <c r="C161" s="339" t="s">
        <v>709</v>
      </c>
      <c r="D161" s="339" t="s">
        <v>710</v>
      </c>
    </row>
    <row r="162">
      <c r="A162" s="217">
        <v>162.0</v>
      </c>
      <c r="B162" s="339" t="s">
        <v>711</v>
      </c>
      <c r="C162" s="339"/>
      <c r="D162" s="339" t="s">
        <v>708</v>
      </c>
    </row>
    <row r="163">
      <c r="A163" s="217">
        <v>163.0</v>
      </c>
      <c r="B163" s="339" t="s">
        <v>712</v>
      </c>
      <c r="C163" s="339"/>
      <c r="D163" s="339" t="s">
        <v>453</v>
      </c>
    </row>
    <row r="164">
      <c r="A164" s="217">
        <v>164.0</v>
      </c>
      <c r="B164" s="339" t="s">
        <v>678</v>
      </c>
      <c r="C164" s="339"/>
      <c r="D164" s="339" t="s">
        <v>472</v>
      </c>
    </row>
    <row r="165">
      <c r="A165" s="217">
        <v>165.0</v>
      </c>
      <c r="B165" s="339" t="s">
        <v>601</v>
      </c>
      <c r="C165" s="339"/>
      <c r="D165" s="339" t="s">
        <v>602</v>
      </c>
    </row>
    <row r="166">
      <c r="A166" s="217">
        <v>166.0</v>
      </c>
      <c r="B166" s="339" t="s">
        <v>713</v>
      </c>
      <c r="C166" s="339" t="s">
        <v>714</v>
      </c>
      <c r="D166" s="339" t="s">
        <v>551</v>
      </c>
    </row>
    <row r="167">
      <c r="A167" s="217">
        <v>167.0</v>
      </c>
      <c r="B167" s="339" t="s">
        <v>715</v>
      </c>
      <c r="C167" s="339"/>
      <c r="D167" s="339" t="s">
        <v>716</v>
      </c>
    </row>
    <row r="168">
      <c r="A168" s="217">
        <v>168.0</v>
      </c>
      <c r="B168" s="339" t="s">
        <v>717</v>
      </c>
      <c r="C168" s="339"/>
      <c r="D168" s="339" t="s">
        <v>718</v>
      </c>
    </row>
    <row r="169">
      <c r="A169" s="217">
        <v>169.0</v>
      </c>
      <c r="B169" s="339" t="s">
        <v>719</v>
      </c>
      <c r="C169" s="339" t="s">
        <v>673</v>
      </c>
      <c r="D169" s="339" t="s">
        <v>476</v>
      </c>
    </row>
    <row r="170">
      <c r="A170" s="217">
        <v>170.0</v>
      </c>
      <c r="B170" s="339" t="s">
        <v>720</v>
      </c>
      <c r="C170" s="339"/>
      <c r="D170" s="339" t="s">
        <v>478</v>
      </c>
    </row>
    <row r="171">
      <c r="A171" s="217">
        <v>171.0</v>
      </c>
      <c r="B171" s="339" t="s">
        <v>721</v>
      </c>
      <c r="C171" s="339" t="s">
        <v>722</v>
      </c>
      <c r="D171" s="339" t="s">
        <v>551</v>
      </c>
    </row>
    <row r="172">
      <c r="A172" s="217">
        <v>172.0</v>
      </c>
      <c r="B172" s="339" t="s">
        <v>723</v>
      </c>
      <c r="C172" s="339" t="s">
        <v>723</v>
      </c>
      <c r="D172" s="339" t="s">
        <v>724</v>
      </c>
    </row>
    <row r="173">
      <c r="A173" s="217">
        <v>173.0</v>
      </c>
      <c r="B173" s="339" t="s">
        <v>725</v>
      </c>
      <c r="C173" s="339" t="s">
        <v>725</v>
      </c>
      <c r="D173" s="339" t="s">
        <v>726</v>
      </c>
    </row>
    <row r="174">
      <c r="A174" s="217">
        <v>174.0</v>
      </c>
      <c r="B174" s="339" t="s">
        <v>727</v>
      </c>
      <c r="C174" s="339" t="s">
        <v>727</v>
      </c>
      <c r="D174" s="339" t="s">
        <v>728</v>
      </c>
    </row>
    <row r="175">
      <c r="A175" s="217">
        <v>175.0</v>
      </c>
      <c r="B175" s="339" t="s">
        <v>729</v>
      </c>
      <c r="C175" s="339" t="s">
        <v>729</v>
      </c>
      <c r="D175" s="339" t="s">
        <v>730</v>
      </c>
    </row>
    <row r="176">
      <c r="A176" s="217">
        <v>176.0</v>
      </c>
      <c r="B176" s="339" t="s">
        <v>731</v>
      </c>
      <c r="C176" s="339"/>
      <c r="D176" s="339" t="s">
        <v>728</v>
      </c>
    </row>
    <row r="177">
      <c r="A177" s="217">
        <v>177.0</v>
      </c>
      <c r="B177" s="339" t="s">
        <v>732</v>
      </c>
      <c r="C177" s="339" t="s">
        <v>733</v>
      </c>
      <c r="D177" s="339" t="s">
        <v>734</v>
      </c>
    </row>
    <row r="178">
      <c r="A178" s="217">
        <v>178.0</v>
      </c>
      <c r="B178" s="339" t="s">
        <v>735</v>
      </c>
      <c r="C178" s="339"/>
      <c r="D178" s="339" t="s">
        <v>631</v>
      </c>
    </row>
    <row r="179">
      <c r="A179" s="217">
        <v>179.0</v>
      </c>
      <c r="B179" s="339" t="s">
        <v>736</v>
      </c>
      <c r="C179" s="339" t="s">
        <v>737</v>
      </c>
      <c r="D179" s="339" t="s">
        <v>738</v>
      </c>
    </row>
    <row r="180">
      <c r="A180" s="217">
        <v>180.0</v>
      </c>
      <c r="B180" s="339" t="s">
        <v>739</v>
      </c>
      <c r="C180" s="339" t="s">
        <v>740</v>
      </c>
      <c r="D180" s="339" t="s">
        <v>734</v>
      </c>
    </row>
    <row r="181">
      <c r="A181" s="217">
        <v>181.0</v>
      </c>
      <c r="B181" s="339" t="s">
        <v>741</v>
      </c>
      <c r="C181" s="339"/>
      <c r="D181" s="339" t="s">
        <v>638</v>
      </c>
    </row>
    <row r="182">
      <c r="A182" s="217">
        <v>182.0</v>
      </c>
      <c r="B182" s="339" t="s">
        <v>742</v>
      </c>
      <c r="C182" s="339" t="s">
        <v>743</v>
      </c>
      <c r="D182" s="339" t="s">
        <v>744</v>
      </c>
    </row>
    <row r="183">
      <c r="A183" s="217">
        <v>183.0</v>
      </c>
      <c r="B183" s="339" t="s">
        <v>745</v>
      </c>
      <c r="C183" s="339"/>
      <c r="D183" s="339" t="s">
        <v>643</v>
      </c>
    </row>
    <row r="184">
      <c r="A184" s="217">
        <v>184.0</v>
      </c>
      <c r="B184" s="339" t="s">
        <v>746</v>
      </c>
      <c r="C184" s="339" t="s">
        <v>747</v>
      </c>
      <c r="D184" s="339" t="s">
        <v>748</v>
      </c>
    </row>
    <row r="185">
      <c r="A185" s="217">
        <v>185.0</v>
      </c>
      <c r="B185" s="339" t="s">
        <v>749</v>
      </c>
      <c r="C185" s="339"/>
      <c r="D185" s="339" t="s">
        <v>453</v>
      </c>
    </row>
    <row r="186">
      <c r="A186" s="217">
        <v>186.0</v>
      </c>
      <c r="B186" s="339" t="s">
        <v>750</v>
      </c>
      <c r="C186" s="339"/>
      <c r="D186" s="339" t="s">
        <v>690</v>
      </c>
    </row>
    <row r="187">
      <c r="A187" s="217">
        <v>187.0</v>
      </c>
      <c r="B187" s="339" t="s">
        <v>751</v>
      </c>
      <c r="C187" s="339"/>
      <c r="D187" s="339" t="s">
        <v>692</v>
      </c>
    </row>
    <row r="188">
      <c r="A188" s="217">
        <v>188.0</v>
      </c>
      <c r="B188" s="339" t="s">
        <v>752</v>
      </c>
      <c r="C188" s="339"/>
      <c r="D188" s="339" t="s">
        <v>600</v>
      </c>
    </row>
    <row r="189">
      <c r="A189" s="217">
        <v>189.0</v>
      </c>
      <c r="B189" s="339" t="s">
        <v>753</v>
      </c>
      <c r="C189" s="339" t="s">
        <v>754</v>
      </c>
      <c r="D189" s="339" t="s">
        <v>755</v>
      </c>
    </row>
    <row r="190">
      <c r="A190" s="217">
        <v>190.0</v>
      </c>
      <c r="B190" s="339" t="s">
        <v>756</v>
      </c>
      <c r="C190" s="339" t="s">
        <v>593</v>
      </c>
      <c r="D190" s="339" t="s">
        <v>594</v>
      </c>
    </row>
    <row r="191">
      <c r="A191" s="217">
        <v>191.0</v>
      </c>
      <c r="B191" s="339" t="s">
        <v>757</v>
      </c>
      <c r="C191" s="339" t="s">
        <v>758</v>
      </c>
      <c r="D191" s="339" t="s">
        <v>759</v>
      </c>
    </row>
    <row r="192">
      <c r="A192" s="217">
        <v>192.0</v>
      </c>
      <c r="B192" s="339" t="s">
        <v>760</v>
      </c>
      <c r="C192" s="339" t="s">
        <v>761</v>
      </c>
      <c r="D192" s="339" t="s">
        <v>762</v>
      </c>
    </row>
    <row r="193">
      <c r="A193" s="217">
        <v>193.0</v>
      </c>
      <c r="B193" s="339" t="s">
        <v>669</v>
      </c>
      <c r="C193" s="339"/>
      <c r="D193" s="339" t="s">
        <v>491</v>
      </c>
    </row>
    <row r="194">
      <c r="A194" s="217">
        <v>194.0</v>
      </c>
      <c r="B194" s="339" t="s">
        <v>485</v>
      </c>
      <c r="C194" s="339"/>
      <c r="D194" s="339" t="s">
        <v>486</v>
      </c>
    </row>
    <row r="195">
      <c r="A195" s="217">
        <v>195.0</v>
      </c>
      <c r="B195" s="339" t="s">
        <v>492</v>
      </c>
      <c r="C195" s="339"/>
      <c r="D195" s="339" t="s">
        <v>493</v>
      </c>
    </row>
    <row r="196">
      <c r="A196" s="217">
        <v>196.0</v>
      </c>
      <c r="B196" s="339" t="s">
        <v>494</v>
      </c>
      <c r="C196" s="339"/>
      <c r="D196" s="339" t="s">
        <v>495</v>
      </c>
    </row>
    <row r="197">
      <c r="A197" s="217">
        <v>197.0</v>
      </c>
      <c r="B197" s="339" t="s">
        <v>496</v>
      </c>
      <c r="C197" s="339"/>
      <c r="D197" s="339" t="s">
        <v>497</v>
      </c>
    </row>
    <row r="198">
      <c r="A198" s="217">
        <v>198.0</v>
      </c>
      <c r="B198" s="339" t="s">
        <v>685</v>
      </c>
      <c r="C198" s="339"/>
      <c r="D198" s="339" t="s">
        <v>686</v>
      </c>
    </row>
    <row r="199">
      <c r="A199" s="217">
        <v>199.0</v>
      </c>
      <c r="B199" s="339" t="s">
        <v>687</v>
      </c>
      <c r="C199" s="339"/>
      <c r="D199" s="339" t="s">
        <v>688</v>
      </c>
    </row>
    <row r="200">
      <c r="A200" s="217">
        <v>200.0</v>
      </c>
      <c r="B200" s="339" t="s">
        <v>763</v>
      </c>
      <c r="C200" s="339"/>
      <c r="D200" s="339" t="s">
        <v>764</v>
      </c>
    </row>
    <row r="201">
      <c r="A201" s="217">
        <v>201.0</v>
      </c>
      <c r="B201" s="339" t="s">
        <v>765</v>
      </c>
      <c r="C201" s="339"/>
      <c r="D201" s="339" t="s">
        <v>766</v>
      </c>
    </row>
    <row r="202">
      <c r="A202" s="217">
        <v>202.0</v>
      </c>
      <c r="B202" s="339" t="s">
        <v>767</v>
      </c>
      <c r="C202" s="339"/>
      <c r="D202" s="339" t="s">
        <v>768</v>
      </c>
    </row>
    <row r="203">
      <c r="A203" s="217">
        <v>203.0</v>
      </c>
      <c r="B203" s="339" t="s">
        <v>769</v>
      </c>
      <c r="C203" s="339"/>
      <c r="D203" s="339" t="s">
        <v>770</v>
      </c>
    </row>
    <row r="204">
      <c r="A204" s="217">
        <v>204.0</v>
      </c>
      <c r="B204" s="339" t="s">
        <v>771</v>
      </c>
      <c r="C204" s="339"/>
      <c r="D204" s="339" t="s">
        <v>772</v>
      </c>
    </row>
    <row r="205">
      <c r="A205" s="217">
        <v>205.0</v>
      </c>
      <c r="B205" s="339" t="s">
        <v>773</v>
      </c>
      <c r="C205" s="339"/>
      <c r="D205" s="339" t="s">
        <v>774</v>
      </c>
    </row>
    <row r="206">
      <c r="A206" s="217">
        <v>206.0</v>
      </c>
      <c r="B206" s="339" t="s">
        <v>775</v>
      </c>
      <c r="C206" s="339" t="s">
        <v>776</v>
      </c>
      <c r="D206" s="339" t="s">
        <v>777</v>
      </c>
    </row>
    <row r="207">
      <c r="A207" s="217">
        <v>207.0</v>
      </c>
      <c r="B207" s="339" t="s">
        <v>778</v>
      </c>
      <c r="C207" s="339" t="s">
        <v>779</v>
      </c>
      <c r="D207" s="339" t="s">
        <v>780</v>
      </c>
    </row>
    <row r="208">
      <c r="A208" s="217">
        <v>208.0</v>
      </c>
      <c r="B208" s="339" t="s">
        <v>781</v>
      </c>
      <c r="C208" s="339"/>
      <c r="D208" s="339" t="s">
        <v>782</v>
      </c>
    </row>
    <row r="209">
      <c r="A209" s="217">
        <v>209.0</v>
      </c>
      <c r="B209" s="339" t="s">
        <v>783</v>
      </c>
      <c r="C209" s="339" t="s">
        <v>784</v>
      </c>
      <c r="D209" s="339" t="s">
        <v>785</v>
      </c>
    </row>
    <row r="210">
      <c r="A210" s="217">
        <v>210.0</v>
      </c>
      <c r="B210" s="339" t="s">
        <v>786</v>
      </c>
      <c r="C210" s="339" t="s">
        <v>786</v>
      </c>
      <c r="D210" s="339" t="s">
        <v>787</v>
      </c>
    </row>
    <row r="211">
      <c r="A211" s="217">
        <v>211.0</v>
      </c>
      <c r="B211" s="339" t="s">
        <v>788</v>
      </c>
      <c r="C211" s="339" t="s">
        <v>789</v>
      </c>
      <c r="D211" s="339" t="s">
        <v>790</v>
      </c>
    </row>
    <row r="212">
      <c r="A212" s="217">
        <v>212.0</v>
      </c>
      <c r="B212" s="339" t="s">
        <v>791</v>
      </c>
      <c r="C212" s="339"/>
      <c r="D212" s="339" t="s">
        <v>792</v>
      </c>
    </row>
    <row r="213">
      <c r="A213" s="217">
        <v>213.0</v>
      </c>
      <c r="B213" s="339" t="s">
        <v>793</v>
      </c>
      <c r="C213" s="339" t="s">
        <v>794</v>
      </c>
      <c r="D213" s="339" t="s">
        <v>578</v>
      </c>
    </row>
    <row r="214">
      <c r="A214" s="217">
        <v>214.0</v>
      </c>
      <c r="B214" s="339" t="s">
        <v>727</v>
      </c>
      <c r="C214" s="339" t="s">
        <v>727</v>
      </c>
      <c r="D214" s="339" t="s">
        <v>728</v>
      </c>
    </row>
    <row r="215">
      <c r="A215" s="217">
        <v>215.0</v>
      </c>
      <c r="B215" s="339" t="s">
        <v>795</v>
      </c>
      <c r="C215" s="339"/>
      <c r="D215" s="339" t="s">
        <v>514</v>
      </c>
    </row>
    <row r="216">
      <c r="A216" s="217">
        <v>216.0</v>
      </c>
      <c r="B216" s="339" t="s">
        <v>796</v>
      </c>
      <c r="C216" s="339"/>
      <c r="D216" s="339" t="s">
        <v>730</v>
      </c>
    </row>
    <row r="217">
      <c r="A217" s="217">
        <v>217.0</v>
      </c>
      <c r="B217" s="339" t="s">
        <v>797</v>
      </c>
      <c r="C217" s="339" t="s">
        <v>798</v>
      </c>
      <c r="D217" s="339" t="s">
        <v>799</v>
      </c>
    </row>
    <row r="218">
      <c r="A218" s="217">
        <v>218.0</v>
      </c>
      <c r="B218" s="339" t="s">
        <v>800</v>
      </c>
      <c r="C218" s="339" t="s">
        <v>801</v>
      </c>
      <c r="D218" s="339" t="s">
        <v>802</v>
      </c>
    </row>
    <row r="219">
      <c r="A219" s="217">
        <v>219.0</v>
      </c>
      <c r="B219" s="339" t="s">
        <v>622</v>
      </c>
      <c r="C219" s="339" t="s">
        <v>622</v>
      </c>
      <c r="D219" s="339" t="s">
        <v>476</v>
      </c>
    </row>
    <row r="220">
      <c r="A220" s="217">
        <v>220.0</v>
      </c>
      <c r="B220" s="339" t="s">
        <v>803</v>
      </c>
      <c r="C220" s="339"/>
      <c r="D220" s="339" t="s">
        <v>799</v>
      </c>
    </row>
    <row r="221">
      <c r="A221" s="217">
        <v>221.0</v>
      </c>
      <c r="B221" s="339" t="s">
        <v>804</v>
      </c>
      <c r="C221" s="339" t="s">
        <v>804</v>
      </c>
      <c r="D221" s="339" t="s">
        <v>805</v>
      </c>
    </row>
    <row r="222">
      <c r="A222" s="217">
        <v>222.0</v>
      </c>
      <c r="B222" s="339" t="s">
        <v>685</v>
      </c>
      <c r="C222" s="339"/>
      <c r="D222" s="339" t="s">
        <v>686</v>
      </c>
    </row>
    <row r="223">
      <c r="A223" s="217">
        <v>223.0</v>
      </c>
      <c r="B223" s="339" t="s">
        <v>689</v>
      </c>
      <c r="C223" s="339"/>
      <c r="D223" s="339" t="s">
        <v>690</v>
      </c>
    </row>
    <row r="224">
      <c r="A224" s="217">
        <v>224.0</v>
      </c>
      <c r="B224" s="339" t="s">
        <v>691</v>
      </c>
      <c r="C224" s="339"/>
      <c r="D224" s="339" t="s">
        <v>692</v>
      </c>
    </row>
    <row r="225">
      <c r="A225" s="217">
        <v>225.0</v>
      </c>
      <c r="B225" s="339" t="s">
        <v>485</v>
      </c>
      <c r="C225" s="339"/>
      <c r="D225" s="339" t="s">
        <v>486</v>
      </c>
    </row>
    <row r="226">
      <c r="A226" s="217">
        <v>226.0</v>
      </c>
      <c r="B226" s="339" t="s">
        <v>492</v>
      </c>
      <c r="C226" s="339"/>
      <c r="D226" s="339" t="s">
        <v>493</v>
      </c>
    </row>
    <row r="227">
      <c r="A227" s="217">
        <v>227.0</v>
      </c>
      <c r="B227" s="339" t="s">
        <v>806</v>
      </c>
      <c r="D227" s="339" t="s">
        <v>491</v>
      </c>
    </row>
    <row r="228">
      <c r="A228" s="217">
        <v>228.0</v>
      </c>
      <c r="B228" s="339" t="s">
        <v>485</v>
      </c>
      <c r="C228" s="339"/>
      <c r="D228" s="339" t="s">
        <v>486</v>
      </c>
    </row>
    <row r="229">
      <c r="A229" s="217">
        <v>229.0</v>
      </c>
      <c r="B229" s="339" t="s">
        <v>492</v>
      </c>
      <c r="C229" s="339"/>
      <c r="D229" s="339" t="s">
        <v>493</v>
      </c>
    </row>
    <row r="230">
      <c r="A230" s="217">
        <v>230.0</v>
      </c>
      <c r="B230" s="339" t="s">
        <v>807</v>
      </c>
      <c r="C230" s="339"/>
      <c r="D230" s="339" t="s">
        <v>808</v>
      </c>
    </row>
    <row r="231">
      <c r="A231" s="217">
        <v>231.0</v>
      </c>
      <c r="B231" s="339" t="s">
        <v>809</v>
      </c>
      <c r="C231" s="339" t="s">
        <v>810</v>
      </c>
      <c r="D231" s="339" t="s">
        <v>508</v>
      </c>
    </row>
    <row r="232">
      <c r="A232" s="217">
        <v>232.0</v>
      </c>
      <c r="B232" s="339" t="s">
        <v>811</v>
      </c>
      <c r="C232" s="339" t="s">
        <v>811</v>
      </c>
      <c r="D232" s="339" t="s">
        <v>812</v>
      </c>
    </row>
    <row r="233">
      <c r="A233" s="217">
        <v>233.0</v>
      </c>
      <c r="B233" s="339" t="s">
        <v>813</v>
      </c>
      <c r="C233" s="339" t="s">
        <v>813</v>
      </c>
      <c r="D233" s="339" t="s">
        <v>814</v>
      </c>
    </row>
    <row r="234">
      <c r="A234" s="217">
        <v>234.0</v>
      </c>
      <c r="B234" s="339" t="s">
        <v>815</v>
      </c>
      <c r="C234" s="339" t="s">
        <v>815</v>
      </c>
      <c r="D234" s="339" t="s">
        <v>816</v>
      </c>
    </row>
    <row r="235">
      <c r="A235" s="217">
        <v>235.0</v>
      </c>
      <c r="B235" s="339" t="s">
        <v>817</v>
      </c>
      <c r="C235" s="339"/>
      <c r="D235" s="339" t="s">
        <v>812</v>
      </c>
    </row>
    <row r="236">
      <c r="A236" s="217">
        <v>236.0</v>
      </c>
      <c r="B236" s="339" t="s">
        <v>818</v>
      </c>
      <c r="C236" s="339"/>
      <c r="D236" s="339" t="s">
        <v>575</v>
      </c>
    </row>
    <row r="237">
      <c r="A237" s="217">
        <v>237.0</v>
      </c>
      <c r="B237" s="339" t="s">
        <v>819</v>
      </c>
      <c r="C237" s="339"/>
      <c r="D237" s="339" t="s">
        <v>453</v>
      </c>
    </row>
    <row r="238">
      <c r="A238" s="217">
        <v>238.0</v>
      </c>
      <c r="B238" s="339" t="s">
        <v>820</v>
      </c>
      <c r="C238" s="339" t="s">
        <v>821</v>
      </c>
      <c r="D238" s="339" t="s">
        <v>481</v>
      </c>
    </row>
    <row r="239">
      <c r="A239" s="217">
        <v>239.0</v>
      </c>
      <c r="B239" s="339" t="s">
        <v>822</v>
      </c>
      <c r="D239" s="339" t="s">
        <v>453</v>
      </c>
    </row>
    <row r="240">
      <c r="A240" s="217">
        <v>240.0</v>
      </c>
      <c r="B240" s="339" t="s">
        <v>823</v>
      </c>
      <c r="C240" s="339" t="s">
        <v>824</v>
      </c>
      <c r="D240" s="339" t="s">
        <v>551</v>
      </c>
    </row>
    <row r="241">
      <c r="A241" s="217">
        <v>241.0</v>
      </c>
      <c r="B241" s="339" t="s">
        <v>825</v>
      </c>
      <c r="D241" s="339" t="s">
        <v>612</v>
      </c>
    </row>
    <row r="242">
      <c r="A242" s="217">
        <v>242.0</v>
      </c>
      <c r="B242" s="339" t="s">
        <v>826</v>
      </c>
      <c r="C242" s="339"/>
      <c r="D242" s="339" t="s">
        <v>614</v>
      </c>
    </row>
    <row r="243">
      <c r="A243" s="217">
        <v>243.0</v>
      </c>
      <c r="B243" s="339" t="s">
        <v>827</v>
      </c>
      <c r="D243" s="339" t="s">
        <v>616</v>
      </c>
    </row>
    <row r="244">
      <c r="A244" s="339">
        <v>244.0</v>
      </c>
      <c r="B244" s="339" t="s">
        <v>828</v>
      </c>
      <c r="D244" s="339" t="s">
        <v>618</v>
      </c>
    </row>
    <row r="245">
      <c r="A245" s="217">
        <v>245.0</v>
      </c>
      <c r="B245" s="339" t="s">
        <v>829</v>
      </c>
      <c r="D245" s="339" t="s">
        <v>620</v>
      </c>
    </row>
    <row r="246">
      <c r="A246" s="217">
        <v>246.0</v>
      </c>
      <c r="B246" s="339" t="s">
        <v>830</v>
      </c>
      <c r="D246" s="339" t="s">
        <v>814</v>
      </c>
    </row>
    <row r="247">
      <c r="A247" s="217">
        <v>247.0</v>
      </c>
      <c r="B247" s="339" t="s">
        <v>831</v>
      </c>
      <c r="C247" s="339"/>
      <c r="D247" s="339" t="s">
        <v>816</v>
      </c>
    </row>
    <row r="248">
      <c r="A248" s="217">
        <v>248.0</v>
      </c>
      <c r="B248" s="339" t="s">
        <v>832</v>
      </c>
      <c r="C248" s="339"/>
      <c r="D248" s="339" t="s">
        <v>787</v>
      </c>
    </row>
    <row r="249">
      <c r="A249" s="217">
        <v>249.0</v>
      </c>
      <c r="B249" s="339" t="s">
        <v>833</v>
      </c>
      <c r="C249" s="339"/>
      <c r="D249" s="339" t="s">
        <v>456</v>
      </c>
    </row>
    <row r="250">
      <c r="A250" s="217">
        <v>250.0</v>
      </c>
      <c r="B250" s="339" t="s">
        <v>834</v>
      </c>
      <c r="C250" s="339" t="s">
        <v>835</v>
      </c>
      <c r="D250" s="339" t="s">
        <v>563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75.13"/>
  </cols>
  <sheetData>
    <row r="1">
      <c r="A1" s="339" t="s">
        <v>0</v>
      </c>
      <c r="B1" s="339" t="s">
        <v>436</v>
      </c>
    </row>
    <row r="2">
      <c r="A2" s="339" t="s">
        <v>1</v>
      </c>
      <c r="B2" s="339" t="s">
        <v>438</v>
      </c>
    </row>
    <row r="3">
      <c r="A3" s="339" t="s">
        <v>1</v>
      </c>
      <c r="B3" s="339" t="s">
        <v>441</v>
      </c>
    </row>
    <row r="4">
      <c r="A4" s="339" t="s">
        <v>1</v>
      </c>
      <c r="B4" s="339" t="s">
        <v>444</v>
      </c>
    </row>
    <row r="5">
      <c r="A5" s="339" t="s">
        <v>5</v>
      </c>
      <c r="B5" s="339" t="s">
        <v>446</v>
      </c>
    </row>
    <row r="6">
      <c r="A6" s="339" t="s">
        <v>5</v>
      </c>
      <c r="B6" s="339" t="s">
        <v>448</v>
      </c>
    </row>
    <row r="7">
      <c r="A7" s="339" t="s">
        <v>10</v>
      </c>
      <c r="B7" s="339" t="s">
        <v>451</v>
      </c>
    </row>
    <row r="8">
      <c r="A8" s="339" t="s">
        <v>10</v>
      </c>
      <c r="B8" s="339" t="s">
        <v>453</v>
      </c>
    </row>
    <row r="9">
      <c r="A9" s="339" t="s">
        <v>12</v>
      </c>
      <c r="B9" s="339" t="s">
        <v>451</v>
      </c>
    </row>
    <row r="10">
      <c r="A10" s="339" t="s">
        <v>12</v>
      </c>
      <c r="B10" s="339" t="s">
        <v>453</v>
      </c>
    </row>
    <row r="11">
      <c r="A11" s="339" t="s">
        <v>13</v>
      </c>
      <c r="B11" s="339" t="s">
        <v>456</v>
      </c>
    </row>
    <row r="12">
      <c r="A12" s="339" t="s">
        <v>13</v>
      </c>
      <c r="B12" s="339" t="s">
        <v>458</v>
      </c>
    </row>
    <row r="13">
      <c r="A13" s="339" t="s">
        <v>13</v>
      </c>
      <c r="B13" s="339" t="s">
        <v>460</v>
      </c>
    </row>
    <row r="14">
      <c r="A14" s="339" t="s">
        <v>13</v>
      </c>
      <c r="B14" s="339" t="s">
        <v>462</v>
      </c>
    </row>
    <row r="15">
      <c r="A15" s="339" t="s">
        <v>13</v>
      </c>
      <c r="B15" s="339" t="s">
        <v>464</v>
      </c>
    </row>
    <row r="16">
      <c r="A16" s="339" t="s">
        <v>13</v>
      </c>
      <c r="B16" s="339" t="s">
        <v>466</v>
      </c>
    </row>
    <row r="17">
      <c r="A17" s="339" t="s">
        <v>13</v>
      </c>
      <c r="B17" s="339" t="s">
        <v>468</v>
      </c>
    </row>
    <row r="18">
      <c r="A18" s="339" t="s">
        <v>15</v>
      </c>
      <c r="B18" s="339" t="s">
        <v>470</v>
      </c>
    </row>
    <row r="19">
      <c r="A19" s="339" t="s">
        <v>15</v>
      </c>
      <c r="B19" s="339" t="s">
        <v>472</v>
      </c>
    </row>
    <row r="20">
      <c r="A20" s="339" t="s">
        <v>20</v>
      </c>
      <c r="B20" s="339" t="s">
        <v>470</v>
      </c>
    </row>
    <row r="21">
      <c r="A21" s="339" t="s">
        <v>20</v>
      </c>
      <c r="B21" s="339" t="s">
        <v>472</v>
      </c>
    </row>
    <row r="22">
      <c r="A22" s="339" t="s">
        <v>28</v>
      </c>
      <c r="B22" s="339" t="s">
        <v>476</v>
      </c>
    </row>
    <row r="23">
      <c r="A23" s="339" t="s">
        <v>29</v>
      </c>
      <c r="B23" s="339" t="s">
        <v>478</v>
      </c>
    </row>
    <row r="24">
      <c r="A24" s="339" t="s">
        <v>29</v>
      </c>
      <c r="B24" s="339" t="s">
        <v>481</v>
      </c>
    </row>
    <row r="25">
      <c r="A25" s="339" t="s">
        <v>35</v>
      </c>
      <c r="B25" s="339" t="s">
        <v>478</v>
      </c>
    </row>
    <row r="26">
      <c r="A26" s="339" t="s">
        <v>35</v>
      </c>
      <c r="B26" s="339" t="s">
        <v>481</v>
      </c>
    </row>
    <row r="27">
      <c r="A27" s="339" t="s">
        <v>31</v>
      </c>
      <c r="B27" s="339" t="s">
        <v>486</v>
      </c>
    </row>
    <row r="28">
      <c r="A28" s="339" t="s">
        <v>31</v>
      </c>
      <c r="B28" s="339" t="s">
        <v>453</v>
      </c>
    </row>
    <row r="29">
      <c r="A29" s="339" t="s">
        <v>34</v>
      </c>
      <c r="B29" s="339" t="s">
        <v>489</v>
      </c>
    </row>
    <row r="30">
      <c r="A30" s="339" t="s">
        <v>34</v>
      </c>
      <c r="B30" s="339" t="s">
        <v>491</v>
      </c>
    </row>
    <row r="31">
      <c r="A31" s="339" t="s">
        <v>42</v>
      </c>
      <c r="B31" s="339" t="s">
        <v>486</v>
      </c>
    </row>
    <row r="32">
      <c r="A32" s="339" t="s">
        <v>42</v>
      </c>
      <c r="B32" s="339" t="s">
        <v>493</v>
      </c>
    </row>
    <row r="33">
      <c r="A33" s="339" t="s">
        <v>42</v>
      </c>
      <c r="B33" s="339" t="s">
        <v>495</v>
      </c>
    </row>
    <row r="34">
      <c r="A34" s="339" t="s">
        <v>42</v>
      </c>
      <c r="B34" s="339" t="s">
        <v>497</v>
      </c>
    </row>
    <row r="35">
      <c r="A35" s="339" t="s">
        <v>33</v>
      </c>
      <c r="B35" s="339" t="s">
        <v>470</v>
      </c>
    </row>
    <row r="36">
      <c r="A36" s="339" t="s">
        <v>33</v>
      </c>
      <c r="B36" s="339" t="s">
        <v>472</v>
      </c>
    </row>
    <row r="37">
      <c r="A37" s="339" t="s">
        <v>33</v>
      </c>
      <c r="B37" s="339" t="s">
        <v>481</v>
      </c>
    </row>
    <row r="38">
      <c r="A38" s="339" t="s">
        <v>46</v>
      </c>
      <c r="B38" s="339" t="s">
        <v>504</v>
      </c>
    </row>
    <row r="39">
      <c r="A39" s="339" t="s">
        <v>48</v>
      </c>
      <c r="B39" s="339" t="s">
        <v>489</v>
      </c>
    </row>
    <row r="40">
      <c r="A40" s="339" t="s">
        <v>48</v>
      </c>
      <c r="B40" s="339" t="s">
        <v>453</v>
      </c>
    </row>
    <row r="41">
      <c r="A41" s="339" t="s">
        <v>49</v>
      </c>
      <c r="B41" s="339" t="s">
        <v>478</v>
      </c>
    </row>
    <row r="42">
      <c r="A42" s="339" t="s">
        <v>49</v>
      </c>
      <c r="B42" s="339" t="s">
        <v>508</v>
      </c>
    </row>
    <row r="43">
      <c r="A43" s="339" t="s">
        <v>47</v>
      </c>
      <c r="B43" s="339" t="s">
        <v>470</v>
      </c>
    </row>
    <row r="44">
      <c r="A44" s="339" t="s">
        <v>47</v>
      </c>
      <c r="B44" s="339" t="s">
        <v>481</v>
      </c>
    </row>
    <row r="45">
      <c r="A45" s="339" t="s">
        <v>50</v>
      </c>
      <c r="B45" s="339" t="s">
        <v>470</v>
      </c>
    </row>
    <row r="46">
      <c r="A46" s="339" t="s">
        <v>51</v>
      </c>
      <c r="B46" s="339" t="s">
        <v>514</v>
      </c>
    </row>
    <row r="47">
      <c r="A47" s="339" t="s">
        <v>52</v>
      </c>
      <c r="B47" s="339" t="s">
        <v>478</v>
      </c>
    </row>
    <row r="48">
      <c r="A48" s="339" t="s">
        <v>52</v>
      </c>
      <c r="B48" s="339" t="s">
        <v>508</v>
      </c>
    </row>
    <row r="49">
      <c r="A49" s="339" t="s">
        <v>36</v>
      </c>
      <c r="B49" s="339" t="s">
        <v>470</v>
      </c>
    </row>
    <row r="50">
      <c r="A50" s="339" t="s">
        <v>36</v>
      </c>
      <c r="B50" s="339" t="s">
        <v>472</v>
      </c>
    </row>
    <row r="51">
      <c r="A51" s="339" t="s">
        <v>18</v>
      </c>
      <c r="B51" s="339" t="s">
        <v>521</v>
      </c>
    </row>
    <row r="52">
      <c r="A52" s="339" t="s">
        <v>53</v>
      </c>
      <c r="B52" s="339" t="s">
        <v>523</v>
      </c>
    </row>
    <row r="53">
      <c r="A53" s="339" t="s">
        <v>53</v>
      </c>
      <c r="B53" s="339" t="s">
        <v>453</v>
      </c>
    </row>
    <row r="54">
      <c r="A54" s="339" t="s">
        <v>54</v>
      </c>
      <c r="B54" s="339" t="s">
        <v>478</v>
      </c>
    </row>
    <row r="55">
      <c r="A55" s="339" t="s">
        <v>54</v>
      </c>
      <c r="B55" s="339" t="s">
        <v>508</v>
      </c>
    </row>
    <row r="56">
      <c r="A56" s="339" t="s">
        <v>7</v>
      </c>
      <c r="B56" s="339" t="s">
        <v>441</v>
      </c>
    </row>
    <row r="57">
      <c r="A57" s="339" t="s">
        <v>56</v>
      </c>
      <c r="B57" s="339" t="s">
        <v>451</v>
      </c>
    </row>
    <row r="58">
      <c r="A58" s="339" t="s">
        <v>56</v>
      </c>
      <c r="B58" s="339" t="s">
        <v>508</v>
      </c>
    </row>
    <row r="59">
      <c r="A59" s="339" t="s">
        <v>57</v>
      </c>
      <c r="B59" s="339" t="s">
        <v>451</v>
      </c>
    </row>
    <row r="60">
      <c r="A60" s="339" t="s">
        <v>2</v>
      </c>
      <c r="B60" s="339" t="s">
        <v>535</v>
      </c>
    </row>
    <row r="61">
      <c r="A61" s="339" t="s">
        <v>2</v>
      </c>
      <c r="B61" s="339" t="s">
        <v>456</v>
      </c>
    </row>
    <row r="62">
      <c r="A62" s="339" t="s">
        <v>58</v>
      </c>
      <c r="B62" s="339" t="s">
        <v>535</v>
      </c>
    </row>
    <row r="63">
      <c r="A63" s="339" t="s">
        <v>60</v>
      </c>
      <c r="B63" s="339" t="s">
        <v>451</v>
      </c>
    </row>
    <row r="64">
      <c r="A64" s="339" t="s">
        <v>60</v>
      </c>
      <c r="B64" s="339" t="s">
        <v>541</v>
      </c>
    </row>
    <row r="65">
      <c r="A65" s="339" t="s">
        <v>61</v>
      </c>
      <c r="B65" s="339" t="s">
        <v>472</v>
      </c>
    </row>
    <row r="66">
      <c r="A66" s="339" t="s">
        <v>61</v>
      </c>
      <c r="B66" s="339" t="s">
        <v>453</v>
      </c>
    </row>
    <row r="67">
      <c r="A67" s="339" t="s">
        <v>69</v>
      </c>
      <c r="B67" s="339" t="s">
        <v>472</v>
      </c>
    </row>
    <row r="68">
      <c r="A68" s="339" t="s">
        <v>69</v>
      </c>
      <c r="B68" s="339" t="s">
        <v>453</v>
      </c>
    </row>
    <row r="69">
      <c r="A69" s="339" t="s">
        <v>63</v>
      </c>
      <c r="B69" s="339" t="s">
        <v>451</v>
      </c>
    </row>
    <row r="70">
      <c r="A70" s="339" t="s">
        <v>63</v>
      </c>
      <c r="B70" s="339" t="s">
        <v>551</v>
      </c>
    </row>
    <row r="71">
      <c r="A71" s="339" t="s">
        <v>71</v>
      </c>
      <c r="B71" s="339" t="s">
        <v>478</v>
      </c>
    </row>
    <row r="72">
      <c r="A72" s="339" t="s">
        <v>71</v>
      </c>
      <c r="B72" s="339" t="s">
        <v>551</v>
      </c>
    </row>
    <row r="73">
      <c r="A73" s="339" t="s">
        <v>70</v>
      </c>
      <c r="B73" s="339" t="s">
        <v>472</v>
      </c>
    </row>
    <row r="74">
      <c r="A74" s="339" t="s">
        <v>70</v>
      </c>
      <c r="B74" s="339" t="s">
        <v>558</v>
      </c>
    </row>
    <row r="75">
      <c r="A75" s="339" t="s">
        <v>72</v>
      </c>
      <c r="B75" s="339" t="s">
        <v>472</v>
      </c>
    </row>
    <row r="76">
      <c r="A76" s="339" t="s">
        <v>72</v>
      </c>
      <c r="B76" s="339" t="s">
        <v>558</v>
      </c>
    </row>
    <row r="77">
      <c r="A77" s="339" t="s">
        <v>65</v>
      </c>
      <c r="B77" s="339" t="s">
        <v>563</v>
      </c>
    </row>
    <row r="78">
      <c r="A78" s="339" t="s">
        <v>73</v>
      </c>
      <c r="B78" s="339" t="s">
        <v>566</v>
      </c>
    </row>
    <row r="79">
      <c r="A79" s="339" t="s">
        <v>73</v>
      </c>
      <c r="B79" s="339" t="s">
        <v>569</v>
      </c>
    </row>
    <row r="80">
      <c r="A80" s="339" t="s">
        <v>76</v>
      </c>
      <c r="B80" s="339" t="s">
        <v>566</v>
      </c>
    </row>
    <row r="81">
      <c r="A81" s="339" t="s">
        <v>78</v>
      </c>
      <c r="B81" s="339" t="s">
        <v>478</v>
      </c>
    </row>
    <row r="82">
      <c r="A82" s="339" t="s">
        <v>78</v>
      </c>
      <c r="B82" s="339" t="s">
        <v>481</v>
      </c>
    </row>
    <row r="83">
      <c r="A83" s="339" t="s">
        <v>74</v>
      </c>
      <c r="B83" s="339" t="s">
        <v>575</v>
      </c>
    </row>
    <row r="84">
      <c r="A84" s="339" t="s">
        <v>74</v>
      </c>
      <c r="B84" s="339" t="s">
        <v>578</v>
      </c>
    </row>
    <row r="85">
      <c r="A85" s="339" t="s">
        <v>75</v>
      </c>
      <c r="B85" s="339" t="s">
        <v>581</v>
      </c>
    </row>
    <row r="86">
      <c r="A86" s="339" t="s">
        <v>75</v>
      </c>
      <c r="B86" s="339" t="s">
        <v>584</v>
      </c>
    </row>
    <row r="87">
      <c r="A87" s="339" t="s">
        <v>80</v>
      </c>
      <c r="B87" s="339" t="s">
        <v>587</v>
      </c>
    </row>
    <row r="88">
      <c r="A88" s="339" t="s">
        <v>80</v>
      </c>
      <c r="B88" s="339" t="s">
        <v>589</v>
      </c>
    </row>
    <row r="89">
      <c r="A89" s="339" t="s">
        <v>80</v>
      </c>
      <c r="B89" s="339" t="s">
        <v>591</v>
      </c>
    </row>
    <row r="90">
      <c r="A90" s="339" t="s">
        <v>81</v>
      </c>
      <c r="B90" s="339" t="s">
        <v>453</v>
      </c>
    </row>
    <row r="91">
      <c r="A91" s="339" t="s">
        <v>81</v>
      </c>
      <c r="B91" s="339" t="s">
        <v>594</v>
      </c>
    </row>
    <row r="92">
      <c r="A92" s="339" t="s">
        <v>84</v>
      </c>
      <c r="B92" s="339" t="s">
        <v>453</v>
      </c>
    </row>
    <row r="93">
      <c r="A93" s="339" t="s">
        <v>87</v>
      </c>
      <c r="B93" s="339" t="s">
        <v>598</v>
      </c>
    </row>
    <row r="94">
      <c r="A94" s="339" t="s">
        <v>87</v>
      </c>
      <c r="B94" s="339" t="s">
        <v>600</v>
      </c>
    </row>
    <row r="95">
      <c r="A95" s="339" t="s">
        <v>88</v>
      </c>
      <c r="B95" s="339" t="s">
        <v>602</v>
      </c>
    </row>
    <row r="96">
      <c r="A96" s="339" t="s">
        <v>88</v>
      </c>
      <c r="B96" s="339" t="s">
        <v>472</v>
      </c>
    </row>
    <row r="97">
      <c r="A97" s="339" t="s">
        <v>88</v>
      </c>
      <c r="B97" s="339" t="s">
        <v>606</v>
      </c>
    </row>
    <row r="98">
      <c r="A98" s="339" t="s">
        <v>93</v>
      </c>
      <c r="B98" s="339" t="s">
        <v>472</v>
      </c>
    </row>
    <row r="99">
      <c r="A99" s="339" t="s">
        <v>93</v>
      </c>
      <c r="B99" s="339" t="s">
        <v>606</v>
      </c>
    </row>
    <row r="100">
      <c r="A100" s="339" t="s">
        <v>89</v>
      </c>
      <c r="B100" s="339" t="s">
        <v>470</v>
      </c>
    </row>
    <row r="101">
      <c r="A101" s="339" t="s">
        <v>89</v>
      </c>
      <c r="B101" s="339" t="s">
        <v>612</v>
      </c>
    </row>
    <row r="102">
      <c r="A102" s="339" t="s">
        <v>89</v>
      </c>
      <c r="B102" s="339" t="s">
        <v>614</v>
      </c>
    </row>
    <row r="103">
      <c r="A103" s="339" t="s">
        <v>89</v>
      </c>
      <c r="B103" s="339" t="s">
        <v>616</v>
      </c>
    </row>
    <row r="104">
      <c r="A104" s="339" t="s">
        <v>89</v>
      </c>
      <c r="B104" s="339" t="s">
        <v>618</v>
      </c>
    </row>
    <row r="105">
      <c r="A105" s="339" t="s">
        <v>89</v>
      </c>
      <c r="B105" s="339" t="s">
        <v>620</v>
      </c>
    </row>
    <row r="106">
      <c r="A106" s="339" t="s">
        <v>92</v>
      </c>
      <c r="B106" s="339" t="s">
        <v>486</v>
      </c>
    </row>
    <row r="107">
      <c r="A107" s="339" t="s">
        <v>92</v>
      </c>
      <c r="B107" s="339" t="s">
        <v>453</v>
      </c>
    </row>
    <row r="108">
      <c r="A108" s="339" t="s">
        <v>37</v>
      </c>
      <c r="B108" s="339" t="s">
        <v>476</v>
      </c>
    </row>
    <row r="109">
      <c r="A109" s="339" t="s">
        <v>101</v>
      </c>
      <c r="B109" s="339" t="s">
        <v>624</v>
      </c>
    </row>
    <row r="110">
      <c r="A110" s="339" t="s">
        <v>101</v>
      </c>
      <c r="B110" s="339" t="s">
        <v>627</v>
      </c>
    </row>
    <row r="111">
      <c r="A111" s="339" t="s">
        <v>100</v>
      </c>
      <c r="B111" s="339" t="s">
        <v>476</v>
      </c>
    </row>
    <row r="112">
      <c r="A112" s="339" t="s">
        <v>104</v>
      </c>
      <c r="B112" s="339" t="s">
        <v>631</v>
      </c>
    </row>
    <row r="113">
      <c r="A113" s="339" t="s">
        <v>104</v>
      </c>
      <c r="B113" s="339" t="s">
        <v>634</v>
      </c>
    </row>
    <row r="114">
      <c r="A114" s="339" t="s">
        <v>103</v>
      </c>
      <c r="B114" s="339" t="s">
        <v>476</v>
      </c>
    </row>
    <row r="115">
      <c r="A115" s="339" t="s">
        <v>107</v>
      </c>
      <c r="B115" s="339" t="s">
        <v>638</v>
      </c>
    </row>
    <row r="116">
      <c r="A116" s="339" t="s">
        <v>107</v>
      </c>
      <c r="B116" s="339" t="s">
        <v>641</v>
      </c>
    </row>
    <row r="117">
      <c r="A117" s="339" t="s">
        <v>106</v>
      </c>
      <c r="B117" s="339" t="s">
        <v>643</v>
      </c>
    </row>
    <row r="118">
      <c r="A118" s="339" t="s">
        <v>106</v>
      </c>
      <c r="B118" s="339" t="s">
        <v>645</v>
      </c>
    </row>
    <row r="119">
      <c r="A119" s="339" t="s">
        <v>110</v>
      </c>
      <c r="B119" s="339" t="s">
        <v>645</v>
      </c>
    </row>
    <row r="120">
      <c r="A120" s="339" t="s">
        <v>111</v>
      </c>
      <c r="B120" s="339" t="s">
        <v>645</v>
      </c>
    </row>
    <row r="121">
      <c r="A121" s="339" t="s">
        <v>114</v>
      </c>
      <c r="B121" s="339" t="s">
        <v>651</v>
      </c>
    </row>
    <row r="122">
      <c r="A122" s="339" t="s">
        <v>114</v>
      </c>
      <c r="B122" s="339" t="s">
        <v>491</v>
      </c>
    </row>
    <row r="123">
      <c r="A123" s="339" t="s">
        <v>114</v>
      </c>
      <c r="B123" s="339" t="s">
        <v>655</v>
      </c>
    </row>
    <row r="124">
      <c r="A124" s="339" t="s">
        <v>113</v>
      </c>
      <c r="B124" s="339" t="s">
        <v>645</v>
      </c>
    </row>
    <row r="125">
      <c r="A125" s="339" t="s">
        <v>118</v>
      </c>
      <c r="B125" s="339" t="s">
        <v>659</v>
      </c>
    </row>
    <row r="126">
      <c r="A126" s="339" t="s">
        <v>118</v>
      </c>
      <c r="B126" s="339" t="s">
        <v>661</v>
      </c>
    </row>
    <row r="127">
      <c r="A127" s="339" t="s">
        <v>118</v>
      </c>
      <c r="B127" s="339" t="s">
        <v>663</v>
      </c>
    </row>
    <row r="128">
      <c r="A128" s="339" t="s">
        <v>118</v>
      </c>
      <c r="B128" s="339" t="s">
        <v>666</v>
      </c>
    </row>
    <row r="129">
      <c r="A129" s="339" t="s">
        <v>117</v>
      </c>
      <c r="B129" s="339" t="s">
        <v>668</v>
      </c>
    </row>
    <row r="130">
      <c r="A130" s="339" t="s">
        <v>117</v>
      </c>
      <c r="B130" s="339" t="s">
        <v>491</v>
      </c>
    </row>
    <row r="131">
      <c r="A131" s="339" t="s">
        <v>117</v>
      </c>
      <c r="B131" s="339" t="s">
        <v>600</v>
      </c>
    </row>
    <row r="132">
      <c r="A132" s="339" t="s">
        <v>123</v>
      </c>
      <c r="B132" s="339" t="s">
        <v>451</v>
      </c>
    </row>
    <row r="133">
      <c r="A133" s="339" t="s">
        <v>123</v>
      </c>
      <c r="B133" s="339" t="s">
        <v>476</v>
      </c>
    </row>
    <row r="134">
      <c r="A134" s="339" t="s">
        <v>122</v>
      </c>
      <c r="B134" s="339" t="s">
        <v>453</v>
      </c>
    </row>
    <row r="135">
      <c r="A135" s="339" t="s">
        <v>122</v>
      </c>
      <c r="B135" s="339" t="s">
        <v>489</v>
      </c>
    </row>
    <row r="136">
      <c r="A136" s="339" t="s">
        <v>122</v>
      </c>
      <c r="B136" s="339" t="s">
        <v>594</v>
      </c>
    </row>
    <row r="137">
      <c r="A137" s="339" t="s">
        <v>124</v>
      </c>
      <c r="B137" s="339" t="s">
        <v>677</v>
      </c>
    </row>
    <row r="138">
      <c r="A138" s="339" t="s">
        <v>124</v>
      </c>
      <c r="B138" s="339" t="s">
        <v>602</v>
      </c>
    </row>
    <row r="139">
      <c r="A139" s="339" t="s">
        <v>125</v>
      </c>
      <c r="B139" s="339" t="s">
        <v>472</v>
      </c>
    </row>
    <row r="140">
      <c r="A140" s="339" t="s">
        <v>125</v>
      </c>
      <c r="B140" s="339" t="s">
        <v>600</v>
      </c>
    </row>
    <row r="141">
      <c r="A141" s="339" t="s">
        <v>125</v>
      </c>
      <c r="B141" s="339" t="s">
        <v>681</v>
      </c>
    </row>
    <row r="142">
      <c r="A142" s="339" t="s">
        <v>126</v>
      </c>
      <c r="B142" s="339" t="s">
        <v>472</v>
      </c>
    </row>
    <row r="143">
      <c r="A143" s="339" t="s">
        <v>126</v>
      </c>
      <c r="B143" s="339" t="s">
        <v>684</v>
      </c>
    </row>
    <row r="144">
      <c r="A144" s="339" t="s">
        <v>40</v>
      </c>
      <c r="B144" s="339" t="s">
        <v>486</v>
      </c>
    </row>
    <row r="145">
      <c r="A145" s="339" t="s">
        <v>40</v>
      </c>
      <c r="B145" s="339" t="s">
        <v>493</v>
      </c>
    </row>
    <row r="146">
      <c r="A146" s="339" t="s">
        <v>40</v>
      </c>
      <c r="B146" s="339" t="s">
        <v>495</v>
      </c>
    </row>
    <row r="147">
      <c r="A147" s="339" t="s">
        <v>40</v>
      </c>
      <c r="B147" s="339" t="s">
        <v>497</v>
      </c>
    </row>
    <row r="148">
      <c r="A148" s="339" t="s">
        <v>40</v>
      </c>
      <c r="B148" s="339" t="s">
        <v>686</v>
      </c>
    </row>
    <row r="149">
      <c r="A149" s="339" t="s">
        <v>40</v>
      </c>
      <c r="B149" s="339" t="s">
        <v>688</v>
      </c>
    </row>
    <row r="150">
      <c r="A150" s="339" t="s">
        <v>40</v>
      </c>
      <c r="B150" s="339" t="s">
        <v>690</v>
      </c>
    </row>
    <row r="151">
      <c r="A151" s="339" t="s">
        <v>40</v>
      </c>
      <c r="B151" s="339" t="s">
        <v>692</v>
      </c>
    </row>
    <row r="152">
      <c r="A152" s="339" t="s">
        <v>85</v>
      </c>
      <c r="B152" s="339" t="s">
        <v>694</v>
      </c>
    </row>
    <row r="153">
      <c r="A153" s="339" t="s">
        <v>85</v>
      </c>
      <c r="B153" s="339" t="s">
        <v>696</v>
      </c>
    </row>
    <row r="154">
      <c r="A154" s="339" t="s">
        <v>85</v>
      </c>
      <c r="B154" s="339" t="s">
        <v>698</v>
      </c>
    </row>
    <row r="155">
      <c r="A155" s="339" t="s">
        <v>85</v>
      </c>
      <c r="B155" s="339" t="s">
        <v>700</v>
      </c>
    </row>
    <row r="156">
      <c r="A156" s="339" t="s">
        <v>90</v>
      </c>
      <c r="B156" s="339" t="s">
        <v>476</v>
      </c>
    </row>
    <row r="157">
      <c r="A157" s="339" t="s">
        <v>90</v>
      </c>
      <c r="B157" s="339" t="s">
        <v>551</v>
      </c>
    </row>
    <row r="158">
      <c r="A158" s="339" t="s">
        <v>135</v>
      </c>
      <c r="B158" s="339" t="s">
        <v>478</v>
      </c>
    </row>
    <row r="159">
      <c r="A159" s="339" t="s">
        <v>135</v>
      </c>
      <c r="B159" s="339" t="s">
        <v>551</v>
      </c>
    </row>
    <row r="160">
      <c r="A160" s="339" t="s">
        <v>82</v>
      </c>
      <c r="B160" s="339" t="s">
        <v>708</v>
      </c>
    </row>
    <row r="161">
      <c r="A161" s="339" t="s">
        <v>82</v>
      </c>
      <c r="B161" s="339" t="s">
        <v>710</v>
      </c>
    </row>
    <row r="162">
      <c r="A162" s="339" t="s">
        <v>136</v>
      </c>
      <c r="B162" s="339" t="s">
        <v>708</v>
      </c>
    </row>
    <row r="163">
      <c r="A163" s="339" t="s">
        <v>139</v>
      </c>
      <c r="B163" s="339" t="s">
        <v>453</v>
      </c>
    </row>
    <row r="164">
      <c r="A164" s="339" t="s">
        <v>140</v>
      </c>
      <c r="B164" s="339" t="s">
        <v>472</v>
      </c>
    </row>
    <row r="165">
      <c r="A165" s="339" t="s">
        <v>140</v>
      </c>
      <c r="B165" s="339" t="s">
        <v>602</v>
      </c>
    </row>
    <row r="166">
      <c r="A166" s="339" t="s">
        <v>140</v>
      </c>
      <c r="B166" s="339" t="s">
        <v>551</v>
      </c>
    </row>
    <row r="167">
      <c r="A167" s="339" t="s">
        <v>137</v>
      </c>
      <c r="B167" s="339" t="s">
        <v>716</v>
      </c>
    </row>
    <row r="168">
      <c r="A168" s="339" t="s">
        <v>137</v>
      </c>
      <c r="B168" s="339" t="s">
        <v>718</v>
      </c>
    </row>
    <row r="169">
      <c r="A169" s="339" t="s">
        <v>142</v>
      </c>
      <c r="B169" s="339" t="s">
        <v>476</v>
      </c>
    </row>
    <row r="170">
      <c r="A170" s="339" t="s">
        <v>144</v>
      </c>
      <c r="B170" s="339" t="s">
        <v>478</v>
      </c>
    </row>
    <row r="171">
      <c r="A171" s="339" t="s">
        <v>144</v>
      </c>
      <c r="B171" s="339" t="s">
        <v>551</v>
      </c>
    </row>
    <row r="172">
      <c r="A172" s="339" t="s">
        <v>83</v>
      </c>
      <c r="B172" s="339" t="s">
        <v>724</v>
      </c>
    </row>
    <row r="173">
      <c r="A173" s="339" t="s">
        <v>83</v>
      </c>
      <c r="B173" s="339" t="s">
        <v>726</v>
      </c>
    </row>
    <row r="174">
      <c r="A174" s="339" t="s">
        <v>145</v>
      </c>
      <c r="B174" s="339" t="s">
        <v>728</v>
      </c>
    </row>
    <row r="175">
      <c r="A175" s="339" t="s">
        <v>145</v>
      </c>
      <c r="B175" s="339" t="s">
        <v>730</v>
      </c>
    </row>
    <row r="176">
      <c r="A176" s="339" t="s">
        <v>147</v>
      </c>
      <c r="B176" s="339" t="s">
        <v>728</v>
      </c>
    </row>
    <row r="177">
      <c r="A177" s="339" t="s">
        <v>150</v>
      </c>
      <c r="B177" s="339" t="s">
        <v>734</v>
      </c>
    </row>
    <row r="178">
      <c r="A178" s="339" t="s">
        <v>155</v>
      </c>
      <c r="B178" s="339" t="s">
        <v>631</v>
      </c>
    </row>
    <row r="179">
      <c r="A179" s="339" t="s">
        <v>155</v>
      </c>
      <c r="B179" s="339" t="s">
        <v>738</v>
      </c>
    </row>
    <row r="180">
      <c r="A180" s="339" t="s">
        <v>154</v>
      </c>
      <c r="B180" s="339" t="s">
        <v>734</v>
      </c>
    </row>
    <row r="181">
      <c r="A181" s="339" t="s">
        <v>157</v>
      </c>
      <c r="B181" s="339" t="s">
        <v>638</v>
      </c>
    </row>
    <row r="182">
      <c r="A182" s="339" t="s">
        <v>157</v>
      </c>
      <c r="B182" s="339" t="s">
        <v>744</v>
      </c>
    </row>
    <row r="183">
      <c r="A183" s="339" t="s">
        <v>156</v>
      </c>
      <c r="B183" s="339" t="s">
        <v>643</v>
      </c>
    </row>
    <row r="184">
      <c r="A184" s="339" t="s">
        <v>156</v>
      </c>
      <c r="B184" s="339" t="s">
        <v>748</v>
      </c>
    </row>
    <row r="185">
      <c r="A185" s="339" t="s">
        <v>158</v>
      </c>
      <c r="B185" s="339" t="s">
        <v>453</v>
      </c>
    </row>
    <row r="186">
      <c r="A186" s="339" t="s">
        <v>158</v>
      </c>
      <c r="B186" s="339" t="s">
        <v>690</v>
      </c>
    </row>
    <row r="187">
      <c r="A187" s="339" t="s">
        <v>158</v>
      </c>
      <c r="B187" s="339" t="s">
        <v>692</v>
      </c>
    </row>
    <row r="188">
      <c r="A188" s="339" t="s">
        <v>158</v>
      </c>
      <c r="B188" s="339" t="s">
        <v>600</v>
      </c>
    </row>
    <row r="189">
      <c r="A189" s="339" t="s">
        <v>158</v>
      </c>
      <c r="B189" s="339" t="s">
        <v>755</v>
      </c>
    </row>
    <row r="190">
      <c r="A190" s="339" t="s">
        <v>158</v>
      </c>
      <c r="B190" s="339" t="s">
        <v>594</v>
      </c>
    </row>
    <row r="191">
      <c r="A191" s="339" t="s">
        <v>160</v>
      </c>
      <c r="B191" s="339" t="s">
        <v>759</v>
      </c>
    </row>
    <row r="192">
      <c r="A192" s="339" t="s">
        <v>160</v>
      </c>
      <c r="B192" s="339" t="s">
        <v>762</v>
      </c>
    </row>
    <row r="193">
      <c r="A193" s="339" t="s">
        <v>161</v>
      </c>
      <c r="B193" s="339" t="s">
        <v>491</v>
      </c>
    </row>
    <row r="194">
      <c r="A194" s="339" t="s">
        <v>161</v>
      </c>
      <c r="B194" s="339" t="s">
        <v>486</v>
      </c>
    </row>
    <row r="195">
      <c r="A195" s="339" t="s">
        <v>161</v>
      </c>
      <c r="B195" s="339" t="s">
        <v>493</v>
      </c>
    </row>
    <row r="196">
      <c r="A196" s="339" t="s">
        <v>161</v>
      </c>
      <c r="B196" s="339" t="s">
        <v>495</v>
      </c>
    </row>
    <row r="197">
      <c r="A197" s="339" t="s">
        <v>161</v>
      </c>
      <c r="B197" s="339" t="s">
        <v>497</v>
      </c>
    </row>
    <row r="198">
      <c r="A198" s="339" t="s">
        <v>161</v>
      </c>
      <c r="B198" s="339" t="s">
        <v>686</v>
      </c>
    </row>
    <row r="199">
      <c r="A199" s="339" t="s">
        <v>161</v>
      </c>
      <c r="B199" s="339" t="s">
        <v>688</v>
      </c>
    </row>
    <row r="200">
      <c r="A200" s="339" t="s">
        <v>112</v>
      </c>
      <c r="B200" s="339" t="s">
        <v>764</v>
      </c>
    </row>
    <row r="201">
      <c r="A201" s="339" t="s">
        <v>112</v>
      </c>
      <c r="B201" s="339" t="s">
        <v>766</v>
      </c>
    </row>
    <row r="202">
      <c r="A202" s="339" t="s">
        <v>112</v>
      </c>
      <c r="B202" s="339" t="s">
        <v>768</v>
      </c>
    </row>
    <row r="203">
      <c r="A203" s="339" t="s">
        <v>112</v>
      </c>
      <c r="B203" s="339" t="s">
        <v>770</v>
      </c>
    </row>
    <row r="204">
      <c r="A204" s="339" t="s">
        <v>112</v>
      </c>
      <c r="B204" s="339" t="s">
        <v>772</v>
      </c>
    </row>
    <row r="205">
      <c r="A205" s="339" t="s">
        <v>112</v>
      </c>
      <c r="B205" s="339" t="s">
        <v>774</v>
      </c>
    </row>
    <row r="206">
      <c r="A206" s="339" t="s">
        <v>151</v>
      </c>
      <c r="B206" s="339" t="s">
        <v>777</v>
      </c>
    </row>
    <row r="207">
      <c r="A207" s="339" t="s">
        <v>168</v>
      </c>
      <c r="B207" s="339" t="s">
        <v>780</v>
      </c>
    </row>
    <row r="208">
      <c r="A208" s="339" t="s">
        <v>169</v>
      </c>
      <c r="B208" s="339" t="s">
        <v>782</v>
      </c>
    </row>
    <row r="209">
      <c r="A209" s="339" t="s">
        <v>169</v>
      </c>
      <c r="B209" s="339" t="s">
        <v>785</v>
      </c>
    </row>
    <row r="210">
      <c r="A210" s="339" t="s">
        <v>152</v>
      </c>
      <c r="B210" s="339" t="s">
        <v>787</v>
      </c>
    </row>
    <row r="211">
      <c r="A211" s="339" t="s">
        <v>152</v>
      </c>
      <c r="B211" s="339" t="s">
        <v>790</v>
      </c>
    </row>
    <row r="212">
      <c r="A212" s="339" t="s">
        <v>153</v>
      </c>
      <c r="B212" s="339" t="s">
        <v>792</v>
      </c>
    </row>
    <row r="213">
      <c r="A213" s="339" t="s">
        <v>153</v>
      </c>
      <c r="B213" s="339" t="s">
        <v>578</v>
      </c>
    </row>
    <row r="214">
      <c r="A214" s="339" t="s">
        <v>172</v>
      </c>
      <c r="B214" s="339" t="s">
        <v>728</v>
      </c>
    </row>
    <row r="215">
      <c r="A215" s="339" t="s">
        <v>172</v>
      </c>
      <c r="B215" s="339" t="s">
        <v>514</v>
      </c>
    </row>
    <row r="216">
      <c r="A216" s="339" t="s">
        <v>148</v>
      </c>
      <c r="B216" s="339" t="s">
        <v>730</v>
      </c>
    </row>
    <row r="217">
      <c r="A217" s="339" t="s">
        <v>175</v>
      </c>
      <c r="B217" s="339" t="s">
        <v>799</v>
      </c>
    </row>
    <row r="218">
      <c r="A218" s="339" t="s">
        <v>175</v>
      </c>
      <c r="B218" s="339" t="s">
        <v>802</v>
      </c>
    </row>
    <row r="219">
      <c r="A219" s="339" t="s">
        <v>174</v>
      </c>
      <c r="B219" s="339" t="s">
        <v>476</v>
      </c>
    </row>
    <row r="220">
      <c r="A220" s="339" t="s">
        <v>177</v>
      </c>
      <c r="B220" s="339" t="s">
        <v>799</v>
      </c>
    </row>
    <row r="221">
      <c r="A221" s="339" t="s">
        <v>179</v>
      </c>
      <c r="B221" s="339" t="s">
        <v>805</v>
      </c>
    </row>
    <row r="222">
      <c r="A222" s="339" t="s">
        <v>181</v>
      </c>
      <c r="B222" s="339" t="s">
        <v>686</v>
      </c>
    </row>
    <row r="223">
      <c r="A223" s="339" t="s">
        <v>181</v>
      </c>
      <c r="B223" s="339" t="s">
        <v>690</v>
      </c>
    </row>
    <row r="224">
      <c r="A224" s="339" t="s">
        <v>181</v>
      </c>
      <c r="B224" s="339" t="s">
        <v>692</v>
      </c>
    </row>
    <row r="225">
      <c r="A225" s="339" t="s">
        <v>181</v>
      </c>
      <c r="B225" s="339" t="s">
        <v>486</v>
      </c>
    </row>
    <row r="226">
      <c r="A226" s="339" t="s">
        <v>181</v>
      </c>
      <c r="B226" s="339" t="s">
        <v>493</v>
      </c>
    </row>
    <row r="227">
      <c r="A227" s="339" t="s">
        <v>181</v>
      </c>
      <c r="B227" s="339" t="s">
        <v>491</v>
      </c>
    </row>
    <row r="228">
      <c r="A228" s="339" t="s">
        <v>182</v>
      </c>
      <c r="B228" s="339" t="s">
        <v>486</v>
      </c>
    </row>
    <row r="229">
      <c r="A229" s="339" t="s">
        <v>182</v>
      </c>
      <c r="B229" s="339" t="s">
        <v>493</v>
      </c>
    </row>
    <row r="230">
      <c r="A230" s="339" t="s">
        <v>176</v>
      </c>
      <c r="B230" s="339" t="s">
        <v>808</v>
      </c>
    </row>
    <row r="231">
      <c r="A231" s="339" t="s">
        <v>176</v>
      </c>
      <c r="B231" s="339" t="s">
        <v>508</v>
      </c>
    </row>
    <row r="232">
      <c r="A232" s="339" t="s">
        <v>146</v>
      </c>
      <c r="B232" s="339" t="s">
        <v>812</v>
      </c>
    </row>
    <row r="233">
      <c r="A233" s="339" t="s">
        <v>146</v>
      </c>
      <c r="B233" s="339" t="s">
        <v>814</v>
      </c>
    </row>
    <row r="234">
      <c r="A234" s="339" t="s">
        <v>146</v>
      </c>
      <c r="B234" s="339" t="s">
        <v>816</v>
      </c>
    </row>
    <row r="235">
      <c r="A235" s="339" t="s">
        <v>184</v>
      </c>
      <c r="B235" s="339" t="s">
        <v>812</v>
      </c>
    </row>
    <row r="236">
      <c r="A236" s="339" t="s">
        <v>188</v>
      </c>
      <c r="B236" s="339" t="s">
        <v>575</v>
      </c>
    </row>
    <row r="237">
      <c r="A237" s="339" t="s">
        <v>188</v>
      </c>
      <c r="B237" s="339" t="s">
        <v>453</v>
      </c>
    </row>
    <row r="238">
      <c r="A238" s="339" t="s">
        <v>188</v>
      </c>
      <c r="B238" s="339" t="s">
        <v>481</v>
      </c>
    </row>
    <row r="239">
      <c r="A239" s="339" t="s">
        <v>189</v>
      </c>
      <c r="B239" s="339" t="s">
        <v>453</v>
      </c>
    </row>
    <row r="240">
      <c r="A240" s="339" t="s">
        <v>189</v>
      </c>
      <c r="B240" s="339" t="s">
        <v>551</v>
      </c>
    </row>
    <row r="241">
      <c r="A241" s="339" t="s">
        <v>190</v>
      </c>
      <c r="B241" s="339" t="s">
        <v>612</v>
      </c>
    </row>
    <row r="242">
      <c r="A242" s="339" t="s">
        <v>190</v>
      </c>
      <c r="B242" s="339" t="s">
        <v>614</v>
      </c>
    </row>
    <row r="243">
      <c r="A243" s="339" t="s">
        <v>190</v>
      </c>
      <c r="B243" s="339" t="s">
        <v>616</v>
      </c>
    </row>
    <row r="244">
      <c r="A244" s="339" t="s">
        <v>190</v>
      </c>
      <c r="B244" s="339" t="s">
        <v>618</v>
      </c>
    </row>
    <row r="245">
      <c r="A245" s="339" t="s">
        <v>190</v>
      </c>
      <c r="B245" s="339" t="s">
        <v>620</v>
      </c>
    </row>
    <row r="246">
      <c r="A246" s="339" t="s">
        <v>185</v>
      </c>
      <c r="B246" s="339" t="s">
        <v>814</v>
      </c>
    </row>
    <row r="247">
      <c r="A247" s="339" t="s">
        <v>186</v>
      </c>
      <c r="B247" s="339" t="s">
        <v>816</v>
      </c>
    </row>
    <row r="248">
      <c r="A248" s="339" t="s">
        <v>66</v>
      </c>
      <c r="B248" s="339" t="s">
        <v>787</v>
      </c>
    </row>
    <row r="249">
      <c r="A249" s="339" t="s">
        <v>3</v>
      </c>
      <c r="B249" s="339" t="s">
        <v>456</v>
      </c>
    </row>
    <row r="250">
      <c r="A250" s="339" t="s">
        <v>198</v>
      </c>
      <c r="B250" s="339" t="s">
        <v>563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4.38"/>
    <col customWidth="1" min="3" max="3" width="3.0"/>
    <col customWidth="1" min="4" max="11" width="25.13"/>
  </cols>
  <sheetData>
    <row r="1">
      <c r="A1" s="3">
        <f t="shared" ref="A1:A558" si="1">ROW()</f>
        <v>1</v>
      </c>
      <c r="B1" s="340" t="s">
        <v>0</v>
      </c>
      <c r="C1" s="3" t="str">
        <f t="shared" ref="C1:C68" si="2">"=&gt;"</f>
        <v>=&gt;</v>
      </c>
      <c r="D1" s="341" t="s">
        <v>836</v>
      </c>
      <c r="E1" s="342" t="s">
        <v>837</v>
      </c>
      <c r="F1" s="3" t="s">
        <v>838</v>
      </c>
      <c r="G1" s="3" t="s">
        <v>62</v>
      </c>
      <c r="H1" s="3" t="s">
        <v>64</v>
      </c>
      <c r="I1" s="343" t="s">
        <v>839</v>
      </c>
      <c r="J1" s="3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>
        <f t="shared" si="1"/>
        <v>2</v>
      </c>
      <c r="B2" s="341" t="s">
        <v>836</v>
      </c>
      <c r="C2" s="3" t="str">
        <f t="shared" si="2"/>
        <v>=&gt;</v>
      </c>
      <c r="D2" s="7" t="s">
        <v>840</v>
      </c>
      <c r="E2" s="344" t="s">
        <v>841</v>
      </c>
      <c r="F2" s="341" t="s">
        <v>836</v>
      </c>
      <c r="G2" s="3"/>
      <c r="H2" s="3"/>
      <c r="I2" s="3"/>
      <c r="J2" s="3"/>
      <c r="K2" s="3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">
        <f t="shared" si="1"/>
        <v>3</v>
      </c>
      <c r="B3" s="341" t="s">
        <v>836</v>
      </c>
      <c r="C3" s="3" t="str">
        <f t="shared" si="2"/>
        <v>=&gt;</v>
      </c>
      <c r="D3" s="7" t="s">
        <v>842</v>
      </c>
      <c r="E3" s="345" t="s">
        <v>843</v>
      </c>
      <c r="F3" s="341" t="s">
        <v>836</v>
      </c>
      <c r="G3" s="3"/>
      <c r="H3" s="3"/>
      <c r="I3" s="3"/>
      <c r="J3" s="3"/>
      <c r="K3" s="3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">
        <f t="shared" si="1"/>
        <v>4</v>
      </c>
      <c r="B4" s="341" t="s">
        <v>836</v>
      </c>
      <c r="C4" s="3" t="str">
        <f t="shared" si="2"/>
        <v>=&gt;</v>
      </c>
      <c r="D4" s="3" t="s">
        <v>844</v>
      </c>
      <c r="E4" s="346" t="s">
        <v>845</v>
      </c>
      <c r="F4" s="341" t="s">
        <v>836</v>
      </c>
      <c r="G4" s="3"/>
      <c r="H4" s="3"/>
      <c r="I4" s="3"/>
      <c r="J4" s="3"/>
      <c r="K4" s="3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">
        <f t="shared" si="1"/>
        <v>5</v>
      </c>
      <c r="B5" s="341" t="s">
        <v>836</v>
      </c>
      <c r="C5" s="3" t="str">
        <f t="shared" si="2"/>
        <v>=&gt;</v>
      </c>
      <c r="D5" s="3" t="s">
        <v>846</v>
      </c>
      <c r="E5" s="347" t="s">
        <v>847</v>
      </c>
      <c r="F5" s="341" t="s">
        <v>836</v>
      </c>
      <c r="G5" s="3"/>
      <c r="H5" s="3"/>
      <c r="I5" s="3"/>
      <c r="J5" s="3"/>
      <c r="K5" s="3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">
        <f t="shared" si="1"/>
        <v>6</v>
      </c>
      <c r="B6" s="341" t="s">
        <v>836</v>
      </c>
      <c r="C6" s="3" t="str">
        <f t="shared" si="2"/>
        <v>=&gt;</v>
      </c>
      <c r="D6" s="348" t="s">
        <v>848</v>
      </c>
      <c r="E6" s="341" t="s">
        <v>836</v>
      </c>
      <c r="F6" s="3"/>
      <c r="G6" s="3"/>
      <c r="H6" s="3"/>
      <c r="I6" s="3"/>
      <c r="J6" s="3"/>
      <c r="K6" s="3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">
        <f t="shared" si="1"/>
        <v>7</v>
      </c>
      <c r="B7" s="341" t="s">
        <v>836</v>
      </c>
      <c r="C7" s="3" t="str">
        <f t="shared" si="2"/>
        <v>=&gt;</v>
      </c>
      <c r="D7" s="3" t="s">
        <v>14</v>
      </c>
      <c r="E7" s="349" t="s">
        <v>849</v>
      </c>
      <c r="F7" s="341" t="s">
        <v>836</v>
      </c>
      <c r="G7" s="3"/>
      <c r="H7" s="3"/>
      <c r="I7" s="3"/>
      <c r="J7" s="3"/>
      <c r="K7" s="3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">
        <f t="shared" si="1"/>
        <v>8</v>
      </c>
      <c r="B8" s="341" t="s">
        <v>836</v>
      </c>
      <c r="C8" s="3" t="str">
        <f t="shared" si="2"/>
        <v>=&gt;</v>
      </c>
      <c r="D8" s="3" t="s">
        <v>8</v>
      </c>
      <c r="E8" s="3"/>
      <c r="F8" s="3"/>
      <c r="G8" s="3"/>
      <c r="H8" s="3"/>
      <c r="I8" s="3"/>
      <c r="J8" s="3"/>
      <c r="K8" s="3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">
        <f t="shared" si="1"/>
        <v>9</v>
      </c>
      <c r="B9" s="344" t="s">
        <v>841</v>
      </c>
      <c r="C9" s="3" t="str">
        <f t="shared" si="2"/>
        <v>=&gt;</v>
      </c>
      <c r="D9" s="7" t="s">
        <v>850</v>
      </c>
      <c r="E9" s="350" t="s">
        <v>851</v>
      </c>
      <c r="F9" s="21" t="s">
        <v>6</v>
      </c>
      <c r="G9" s="7"/>
      <c r="H9" s="15"/>
      <c r="I9" s="3"/>
      <c r="J9" s="3"/>
      <c r="K9" s="3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">
        <f t="shared" si="1"/>
        <v>10</v>
      </c>
      <c r="B10" s="344" t="s">
        <v>841</v>
      </c>
      <c r="C10" s="3" t="str">
        <f t="shared" si="2"/>
        <v>=&gt;</v>
      </c>
      <c r="D10" s="351" t="s">
        <v>852</v>
      </c>
      <c r="E10" s="21"/>
      <c r="F10" s="21"/>
      <c r="G10" s="7"/>
      <c r="H10" s="15"/>
      <c r="I10" s="3"/>
      <c r="J10" s="3"/>
      <c r="K10" s="3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">
        <f t="shared" si="1"/>
        <v>11</v>
      </c>
      <c r="B11" s="350" t="s">
        <v>851</v>
      </c>
      <c r="C11" s="3" t="str">
        <f t="shared" si="2"/>
        <v>=&gt;</v>
      </c>
      <c r="D11" s="3" t="s">
        <v>14</v>
      </c>
      <c r="E11" s="352" t="s">
        <v>853</v>
      </c>
      <c r="F11" s="353" t="s">
        <v>854</v>
      </c>
      <c r="G11" s="7"/>
      <c r="H11" s="15"/>
      <c r="I11" s="3"/>
      <c r="J11" s="3"/>
      <c r="K11" s="3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">
        <f t="shared" si="1"/>
        <v>12</v>
      </c>
      <c r="B12" s="352" t="s">
        <v>853</v>
      </c>
      <c r="C12" s="3" t="str">
        <f t="shared" si="2"/>
        <v>=&gt;</v>
      </c>
      <c r="D12" s="3" t="str">
        <f>"="</f>
        <v>=</v>
      </c>
      <c r="E12" s="354" t="s">
        <v>855</v>
      </c>
      <c r="F12" s="21"/>
      <c r="G12" s="7"/>
      <c r="H12" s="15"/>
      <c r="I12" s="3"/>
      <c r="J12" s="3"/>
      <c r="K12" s="3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">
        <f t="shared" si="1"/>
        <v>13</v>
      </c>
      <c r="B13" s="352" t="s">
        <v>853</v>
      </c>
      <c r="C13" s="3" t="str">
        <f t="shared" si="2"/>
        <v>=&gt;</v>
      </c>
      <c r="D13" s="3" t="s">
        <v>8</v>
      </c>
      <c r="E13" s="3"/>
      <c r="F13" s="21"/>
      <c r="G13" s="7"/>
      <c r="H13" s="15"/>
      <c r="I13" s="3"/>
      <c r="J13" s="3"/>
      <c r="K13" s="3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">
        <f t="shared" si="1"/>
        <v>14</v>
      </c>
      <c r="B14" s="355" t="s">
        <v>855</v>
      </c>
      <c r="C14" s="3" t="str">
        <f t="shared" si="2"/>
        <v>=&gt;</v>
      </c>
      <c r="D14" s="356" t="s">
        <v>856</v>
      </c>
      <c r="E14" s="357" t="s">
        <v>857</v>
      </c>
      <c r="F14" s="8"/>
      <c r="G14" s="8"/>
      <c r="H14" s="8"/>
      <c r="I14" s="8"/>
      <c r="J14" s="8"/>
      <c r="K14" s="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">
        <f t="shared" si="1"/>
        <v>15</v>
      </c>
      <c r="B15" s="356" t="s">
        <v>856</v>
      </c>
      <c r="C15" s="3" t="str">
        <f t="shared" si="2"/>
        <v>=&gt;</v>
      </c>
      <c r="D15" s="358" t="s">
        <v>858</v>
      </c>
      <c r="E15" s="359" t="s">
        <v>859</v>
      </c>
      <c r="F15" s="8"/>
      <c r="G15" s="8"/>
      <c r="H15" s="8"/>
      <c r="I15" s="8"/>
      <c r="J15" s="8"/>
      <c r="K15" s="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">
        <f t="shared" si="1"/>
        <v>16</v>
      </c>
      <c r="B16" s="358" t="s">
        <v>858</v>
      </c>
      <c r="C16" s="3" t="str">
        <f t="shared" si="2"/>
        <v>=&gt;</v>
      </c>
      <c r="D16" s="360" t="s">
        <v>860</v>
      </c>
      <c r="E16" s="8"/>
      <c r="F16" s="8"/>
      <c r="G16" s="8"/>
      <c r="H16" s="8"/>
      <c r="I16" s="8"/>
      <c r="J16" s="8"/>
      <c r="K16" s="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">
        <f t="shared" si="1"/>
        <v>17</v>
      </c>
      <c r="B17" s="358" t="s">
        <v>858</v>
      </c>
      <c r="C17" s="3" t="str">
        <f t="shared" si="2"/>
        <v>=&gt;</v>
      </c>
      <c r="D17" s="361" t="s">
        <v>861</v>
      </c>
      <c r="E17" s="8"/>
      <c r="F17" s="8"/>
      <c r="G17" s="8"/>
      <c r="H17" s="8"/>
      <c r="I17" s="8"/>
      <c r="J17" s="8"/>
      <c r="K17" s="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">
        <f t="shared" si="1"/>
        <v>18</v>
      </c>
      <c r="B18" s="358" t="s">
        <v>858</v>
      </c>
      <c r="C18" s="3" t="str">
        <f t="shared" si="2"/>
        <v>=&gt;</v>
      </c>
      <c r="D18" s="8" t="s">
        <v>62</v>
      </c>
      <c r="E18" s="355" t="s">
        <v>855</v>
      </c>
      <c r="F18" s="8" t="s">
        <v>64</v>
      </c>
      <c r="G18" s="8"/>
      <c r="H18" s="8"/>
      <c r="I18" s="8"/>
      <c r="J18" s="8"/>
      <c r="K18" s="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">
        <f t="shared" si="1"/>
        <v>19</v>
      </c>
      <c r="B19" s="362" t="s">
        <v>860</v>
      </c>
      <c r="C19" s="3" t="str">
        <f t="shared" si="2"/>
        <v>=&gt;</v>
      </c>
      <c r="D19" s="8" t="s">
        <v>862</v>
      </c>
      <c r="E19" s="8" t="s">
        <v>62</v>
      </c>
      <c r="F19" s="363" t="s">
        <v>863</v>
      </c>
      <c r="G19" s="8" t="s">
        <v>64</v>
      </c>
      <c r="H19" s="8"/>
      <c r="I19" s="8"/>
      <c r="J19" s="8"/>
      <c r="K19" s="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">
        <f t="shared" si="1"/>
        <v>20</v>
      </c>
      <c r="B20" s="362" t="s">
        <v>860</v>
      </c>
      <c r="C20" s="3" t="str">
        <f t="shared" si="2"/>
        <v>=&gt;</v>
      </c>
      <c r="D20" s="8" t="s">
        <v>864</v>
      </c>
      <c r="E20" s="8" t="s">
        <v>62</v>
      </c>
      <c r="F20" s="364" t="s">
        <v>865</v>
      </c>
      <c r="G20" s="8" t="s">
        <v>64</v>
      </c>
      <c r="H20" s="8"/>
      <c r="I20" s="8"/>
      <c r="J20" s="8"/>
      <c r="K20" s="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">
        <f t="shared" si="1"/>
        <v>21</v>
      </c>
      <c r="B21" s="362" t="s">
        <v>860</v>
      </c>
      <c r="C21" s="3" t="str">
        <f t="shared" si="2"/>
        <v>=&gt;</v>
      </c>
      <c r="D21" s="8" t="s">
        <v>866</v>
      </c>
      <c r="E21" s="8" t="s">
        <v>62</v>
      </c>
      <c r="F21" s="364" t="s">
        <v>865</v>
      </c>
      <c r="G21" s="365" t="s">
        <v>38</v>
      </c>
      <c r="H21" s="366" t="s">
        <v>28</v>
      </c>
      <c r="I21" s="8" t="s">
        <v>64</v>
      </c>
      <c r="J21" s="8"/>
      <c r="K21" s="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">
        <f t="shared" si="1"/>
        <v>22</v>
      </c>
      <c r="B22" s="362" t="s">
        <v>860</v>
      </c>
      <c r="C22" s="3" t="str">
        <f t="shared" si="2"/>
        <v>=&gt;</v>
      </c>
      <c r="D22" s="8" t="s">
        <v>867</v>
      </c>
      <c r="E22" s="8" t="s">
        <v>62</v>
      </c>
      <c r="F22" s="355" t="s">
        <v>855</v>
      </c>
      <c r="G22" s="8" t="s">
        <v>64</v>
      </c>
      <c r="H22" s="8"/>
      <c r="I22" s="8"/>
      <c r="J22" s="8"/>
      <c r="K22" s="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">
        <f t="shared" si="1"/>
        <v>23</v>
      </c>
      <c r="B23" s="362" t="s">
        <v>860</v>
      </c>
      <c r="C23" s="3" t="str">
        <f t="shared" si="2"/>
        <v>=&gt;</v>
      </c>
      <c r="D23" s="8" t="s">
        <v>133</v>
      </c>
      <c r="E23" s="8" t="s">
        <v>62</v>
      </c>
      <c r="F23" s="355" t="s">
        <v>855</v>
      </c>
      <c r="G23" s="365" t="s">
        <v>38</v>
      </c>
      <c r="H23" s="355" t="s">
        <v>855</v>
      </c>
      <c r="I23" s="8" t="s">
        <v>64</v>
      </c>
      <c r="J23" s="8"/>
      <c r="K23" s="8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">
        <f t="shared" si="1"/>
        <v>24</v>
      </c>
      <c r="B24" s="362" t="s">
        <v>860</v>
      </c>
      <c r="C24" s="3" t="str">
        <f t="shared" si="2"/>
        <v>=&gt;</v>
      </c>
      <c r="D24" s="21" t="s">
        <v>868</v>
      </c>
      <c r="E24" s="8"/>
      <c r="F24" s="8"/>
      <c r="G24" s="8"/>
      <c r="H24" s="8"/>
      <c r="I24" s="8"/>
      <c r="J24" s="8"/>
      <c r="K24" s="8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">
        <f t="shared" si="1"/>
        <v>25</v>
      </c>
      <c r="B25" s="367" t="s">
        <v>863</v>
      </c>
      <c r="C25" s="3" t="str">
        <f t="shared" si="2"/>
        <v>=&gt;</v>
      </c>
      <c r="D25" s="360" t="s">
        <v>860</v>
      </c>
      <c r="E25" s="368" t="s">
        <v>869</v>
      </c>
      <c r="F25" s="369" t="s">
        <v>870</v>
      </c>
      <c r="G25" s="370" t="s">
        <v>871</v>
      </c>
      <c r="H25" s="8"/>
      <c r="I25" s="8"/>
      <c r="J25" s="8"/>
      <c r="K25" s="8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">
        <f t="shared" si="1"/>
        <v>26</v>
      </c>
      <c r="B26" s="367" t="s">
        <v>863</v>
      </c>
      <c r="C26" s="3" t="str">
        <f t="shared" si="2"/>
        <v>=&gt;</v>
      </c>
      <c r="D26" s="371" t="s">
        <v>872</v>
      </c>
      <c r="E26" s="372" t="s">
        <v>873</v>
      </c>
      <c r="F26" s="373" t="s">
        <v>874</v>
      </c>
      <c r="G26" s="374" t="s">
        <v>875</v>
      </c>
      <c r="H26" s="8"/>
      <c r="I26" s="8"/>
      <c r="J26" s="8"/>
      <c r="K26" s="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">
        <f t="shared" si="1"/>
        <v>27</v>
      </c>
      <c r="B27" s="367" t="s">
        <v>863</v>
      </c>
      <c r="C27" s="3" t="str">
        <f t="shared" si="2"/>
        <v>=&gt;</v>
      </c>
      <c r="D27" s="375" t="s">
        <v>876</v>
      </c>
      <c r="E27" s="376" t="s">
        <v>877</v>
      </c>
      <c r="F27" s="377" t="s">
        <v>878</v>
      </c>
      <c r="G27" s="8"/>
      <c r="H27" s="8"/>
      <c r="I27" s="8"/>
      <c r="J27" s="8"/>
      <c r="K27" s="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">
        <f t="shared" si="1"/>
        <v>28</v>
      </c>
      <c r="B28" s="367" t="s">
        <v>863</v>
      </c>
      <c r="C28" s="3" t="str">
        <f t="shared" si="2"/>
        <v>=&gt;</v>
      </c>
      <c r="D28" s="378" t="s">
        <v>879</v>
      </c>
      <c r="E28" s="379" t="s">
        <v>880</v>
      </c>
      <c r="F28" s="8"/>
      <c r="G28" s="8"/>
      <c r="H28" s="8"/>
      <c r="I28" s="8"/>
      <c r="J28" s="8"/>
      <c r="K28" s="8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">
        <f t="shared" si="1"/>
        <v>29</v>
      </c>
      <c r="B29" s="367" t="s">
        <v>863</v>
      </c>
      <c r="C29" s="3" t="str">
        <f t="shared" si="2"/>
        <v>=&gt;</v>
      </c>
      <c r="D29" s="361" t="s">
        <v>861</v>
      </c>
      <c r="E29" s="380" t="s">
        <v>881</v>
      </c>
      <c r="F29" s="381" t="s">
        <v>882</v>
      </c>
      <c r="G29" s="382" t="s">
        <v>883</v>
      </c>
      <c r="H29" s="8"/>
      <c r="I29" s="8"/>
      <c r="J29" s="8"/>
      <c r="K29" s="8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">
        <f t="shared" si="1"/>
        <v>30</v>
      </c>
      <c r="B30" s="367" t="s">
        <v>863</v>
      </c>
      <c r="C30" s="3" t="str">
        <f t="shared" si="2"/>
        <v>=&gt;</v>
      </c>
      <c r="D30" s="8" t="s">
        <v>62</v>
      </c>
      <c r="E30" s="383" t="s">
        <v>884</v>
      </c>
      <c r="F30" s="8"/>
      <c r="G30" s="8"/>
      <c r="H30" s="8"/>
      <c r="I30" s="8"/>
      <c r="J30" s="8"/>
      <c r="K30" s="8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">
        <f t="shared" si="1"/>
        <v>31</v>
      </c>
      <c r="B31" s="367" t="s">
        <v>863</v>
      </c>
      <c r="C31" s="3" t="str">
        <f t="shared" si="2"/>
        <v>=&gt;</v>
      </c>
      <c r="D31" s="8" t="s">
        <v>885</v>
      </c>
      <c r="E31" s="384" t="s">
        <v>886</v>
      </c>
      <c r="F31" s="8"/>
      <c r="G31" s="8"/>
      <c r="H31" s="8"/>
      <c r="I31" s="8"/>
      <c r="J31" s="8"/>
      <c r="K31" s="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">
        <f t="shared" si="1"/>
        <v>32</v>
      </c>
      <c r="B32" s="368" t="s">
        <v>869</v>
      </c>
      <c r="C32" s="3" t="str">
        <f t="shared" si="2"/>
        <v>=&gt;</v>
      </c>
      <c r="D32" s="8" t="s">
        <v>887</v>
      </c>
      <c r="E32" s="385" t="s">
        <v>888</v>
      </c>
      <c r="F32" s="368" t="s">
        <v>869</v>
      </c>
      <c r="G32" s="8"/>
      <c r="H32" s="8"/>
      <c r="I32" s="8"/>
      <c r="J32" s="8"/>
      <c r="K32" s="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">
        <f t="shared" si="1"/>
        <v>33</v>
      </c>
      <c r="B33" s="368" t="s">
        <v>869</v>
      </c>
      <c r="C33" s="3" t="str">
        <f t="shared" si="2"/>
        <v>=&gt;</v>
      </c>
      <c r="D33" s="8" t="s">
        <v>120</v>
      </c>
      <c r="E33" s="385" t="s">
        <v>888</v>
      </c>
      <c r="F33" s="368" t="s">
        <v>869</v>
      </c>
      <c r="G33" s="8"/>
      <c r="H33" s="8"/>
      <c r="I33" s="8"/>
      <c r="J33" s="8"/>
      <c r="K33" s="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">
        <f t="shared" si="1"/>
        <v>34</v>
      </c>
      <c r="B34" s="368" t="s">
        <v>869</v>
      </c>
      <c r="C34" s="3" t="str">
        <f t="shared" si="2"/>
        <v>=&gt;</v>
      </c>
      <c r="D34" s="8" t="s">
        <v>121</v>
      </c>
      <c r="E34" s="385" t="s">
        <v>888</v>
      </c>
      <c r="F34" s="368" t="s">
        <v>869</v>
      </c>
      <c r="G34" s="8"/>
      <c r="H34" s="8"/>
      <c r="I34" s="8"/>
      <c r="J34" s="8"/>
      <c r="K34" s="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">
        <f t="shared" si="1"/>
        <v>35</v>
      </c>
      <c r="B35" s="368" t="s">
        <v>869</v>
      </c>
      <c r="C35" s="3" t="str">
        <f t="shared" si="2"/>
        <v>=&gt;</v>
      </c>
      <c r="D35" s="8" t="s">
        <v>8</v>
      </c>
      <c r="E35" s="8"/>
      <c r="F35" s="8"/>
      <c r="G35" s="8"/>
      <c r="H35" s="8"/>
      <c r="I35" s="8"/>
      <c r="J35" s="8"/>
      <c r="K35" s="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">
        <f t="shared" si="1"/>
        <v>36</v>
      </c>
      <c r="B36" s="385" t="s">
        <v>888</v>
      </c>
      <c r="C36" s="3" t="str">
        <f t="shared" si="2"/>
        <v>=&gt;</v>
      </c>
      <c r="D36" s="360" t="s">
        <v>860</v>
      </c>
      <c r="E36" s="8"/>
      <c r="F36" s="8"/>
      <c r="G36" s="8"/>
      <c r="H36" s="8"/>
      <c r="I36" s="8"/>
      <c r="J36" s="8"/>
      <c r="K36" s="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">
        <f t="shared" si="1"/>
        <v>37</v>
      </c>
      <c r="B37" s="385" t="s">
        <v>888</v>
      </c>
      <c r="C37" s="3" t="str">
        <f t="shared" si="2"/>
        <v>=&gt;</v>
      </c>
      <c r="D37" s="361" t="s">
        <v>861</v>
      </c>
      <c r="E37" s="8"/>
      <c r="F37" s="8"/>
      <c r="G37" s="8"/>
      <c r="H37" s="8"/>
      <c r="I37" s="8"/>
      <c r="J37" s="8"/>
      <c r="K37" s="8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">
        <f t="shared" si="1"/>
        <v>38</v>
      </c>
      <c r="B38" s="385" t="s">
        <v>888</v>
      </c>
      <c r="C38" s="3" t="str">
        <f t="shared" si="2"/>
        <v>=&gt;</v>
      </c>
      <c r="D38" s="8" t="s">
        <v>62</v>
      </c>
      <c r="E38" s="386" t="s">
        <v>889</v>
      </c>
      <c r="F38" s="8"/>
      <c r="G38" s="8"/>
      <c r="H38" s="8"/>
      <c r="I38" s="8"/>
      <c r="J38" s="8"/>
      <c r="K38" s="8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">
        <f t="shared" si="1"/>
        <v>39</v>
      </c>
      <c r="B39" s="387" t="s">
        <v>861</v>
      </c>
      <c r="C39" s="3" t="str">
        <f t="shared" si="2"/>
        <v>=&gt;</v>
      </c>
      <c r="D39" s="8" t="s">
        <v>14</v>
      </c>
      <c r="E39" s="388" t="s">
        <v>890</v>
      </c>
      <c r="F39" s="8"/>
      <c r="G39" s="8"/>
      <c r="H39" s="8"/>
      <c r="I39" s="8"/>
      <c r="J39" s="8"/>
      <c r="K39" s="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89">
        <f t="shared" si="1"/>
        <v>40</v>
      </c>
      <c r="B40" s="387" t="s">
        <v>861</v>
      </c>
      <c r="C40" s="3" t="str">
        <f t="shared" si="2"/>
        <v>=&gt;</v>
      </c>
      <c r="D40" s="390" t="s">
        <v>891</v>
      </c>
      <c r="E40" s="391" t="s">
        <v>892</v>
      </c>
      <c r="F40" s="8"/>
      <c r="G40" s="8"/>
      <c r="H40" s="8"/>
      <c r="I40" s="8"/>
      <c r="J40" s="8"/>
      <c r="K40" s="8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">
        <f t="shared" si="1"/>
        <v>41</v>
      </c>
      <c r="B41" s="388" t="s">
        <v>890</v>
      </c>
      <c r="C41" s="3" t="str">
        <f t="shared" si="2"/>
        <v>=&gt;</v>
      </c>
      <c r="D41" s="392" t="s">
        <v>893</v>
      </c>
      <c r="E41" s="393" t="s">
        <v>894</v>
      </c>
      <c r="F41" s="3"/>
      <c r="G41" s="3"/>
      <c r="H41" s="3"/>
      <c r="I41" s="3"/>
      <c r="J41" s="3"/>
      <c r="K41" s="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">
        <f t="shared" si="1"/>
        <v>42</v>
      </c>
      <c r="B42" s="392" t="s">
        <v>893</v>
      </c>
      <c r="C42" s="3" t="str">
        <f t="shared" si="2"/>
        <v>=&gt;</v>
      </c>
      <c r="D42" s="3" t="s">
        <v>62</v>
      </c>
      <c r="E42" s="394" t="s">
        <v>895</v>
      </c>
      <c r="F42" s="3" t="s">
        <v>64</v>
      </c>
      <c r="G42" s="8"/>
      <c r="H42" s="3"/>
      <c r="I42" s="3"/>
      <c r="J42" s="3"/>
      <c r="K42" s="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">
        <f t="shared" si="1"/>
        <v>43</v>
      </c>
      <c r="B43" s="392" t="s">
        <v>893</v>
      </c>
      <c r="C43" s="3" t="str">
        <f t="shared" si="2"/>
        <v>=&gt;</v>
      </c>
      <c r="D43" s="3" t="s">
        <v>8</v>
      </c>
      <c r="E43" s="3"/>
      <c r="F43" s="3"/>
      <c r="G43" s="8"/>
      <c r="H43" s="3"/>
      <c r="I43" s="3"/>
      <c r="J43" s="3"/>
      <c r="K43" s="3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">
        <f t="shared" si="1"/>
        <v>44</v>
      </c>
      <c r="B44" s="394" t="s">
        <v>895</v>
      </c>
      <c r="C44" s="3" t="str">
        <f t="shared" si="2"/>
        <v>=&gt;</v>
      </c>
      <c r="D44" s="395" t="s">
        <v>28</v>
      </c>
      <c r="E44" s="396" t="s">
        <v>896</v>
      </c>
      <c r="F44" s="3"/>
      <c r="G44" s="8"/>
      <c r="H44" s="3"/>
      <c r="I44" s="3"/>
      <c r="J44" s="3"/>
      <c r="K44" s="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">
        <f t="shared" si="1"/>
        <v>45</v>
      </c>
      <c r="B45" s="394" t="s">
        <v>895</v>
      </c>
      <c r="C45" s="3" t="str">
        <f t="shared" si="2"/>
        <v>=&gt;</v>
      </c>
      <c r="D45" s="3" t="s">
        <v>8</v>
      </c>
      <c r="E45" s="3"/>
      <c r="F45" s="8"/>
      <c r="G45" s="3"/>
      <c r="H45" s="3"/>
      <c r="I45" s="3"/>
      <c r="J45" s="3"/>
      <c r="K45" s="3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89">
        <f t="shared" si="1"/>
        <v>46</v>
      </c>
      <c r="B46" s="366" t="s">
        <v>28</v>
      </c>
      <c r="C46" s="3" t="str">
        <f t="shared" si="2"/>
        <v>=&gt;</v>
      </c>
      <c r="D46" s="360" t="s">
        <v>860</v>
      </c>
      <c r="E46" s="368" t="s">
        <v>869</v>
      </c>
      <c r="F46" s="369" t="s">
        <v>870</v>
      </c>
      <c r="G46" s="370" t="s">
        <v>871</v>
      </c>
      <c r="H46" s="8"/>
      <c r="I46" s="8"/>
      <c r="J46" s="8"/>
      <c r="K46" s="8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89">
        <f t="shared" si="1"/>
        <v>47</v>
      </c>
      <c r="B47" s="366" t="s">
        <v>28</v>
      </c>
      <c r="C47" s="3" t="str">
        <f t="shared" si="2"/>
        <v>=&gt;</v>
      </c>
      <c r="D47" s="371" t="s">
        <v>872</v>
      </c>
      <c r="E47" s="372" t="s">
        <v>873</v>
      </c>
      <c r="F47" s="373" t="s">
        <v>874</v>
      </c>
      <c r="G47" s="374" t="s">
        <v>875</v>
      </c>
      <c r="H47" s="8"/>
      <c r="I47" s="8"/>
      <c r="J47" s="8"/>
      <c r="K47" s="8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89">
        <f t="shared" si="1"/>
        <v>48</v>
      </c>
      <c r="B48" s="366" t="s">
        <v>28</v>
      </c>
      <c r="C48" s="3" t="str">
        <f t="shared" si="2"/>
        <v>=&gt;</v>
      </c>
      <c r="D48" s="375" t="s">
        <v>876</v>
      </c>
      <c r="E48" s="376" t="s">
        <v>877</v>
      </c>
      <c r="F48" s="377" t="s">
        <v>878</v>
      </c>
      <c r="G48" s="8"/>
      <c r="H48" s="21"/>
      <c r="I48" s="8"/>
      <c r="J48" s="8"/>
      <c r="K48" s="8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89">
        <f t="shared" si="1"/>
        <v>49</v>
      </c>
      <c r="B49" s="366" t="s">
        <v>28</v>
      </c>
      <c r="C49" s="3" t="str">
        <f t="shared" si="2"/>
        <v>=&gt;</v>
      </c>
      <c r="D49" s="378" t="s">
        <v>879</v>
      </c>
      <c r="E49" s="379" t="s">
        <v>880</v>
      </c>
      <c r="F49" s="8"/>
      <c r="G49" s="8"/>
      <c r="H49" s="8"/>
      <c r="I49" s="8"/>
      <c r="J49" s="8"/>
      <c r="K49" s="8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89">
        <f t="shared" si="1"/>
        <v>50</v>
      </c>
      <c r="B50" s="366" t="s">
        <v>28</v>
      </c>
      <c r="C50" s="3" t="str">
        <f t="shared" si="2"/>
        <v>=&gt;</v>
      </c>
      <c r="D50" s="8" t="s">
        <v>62</v>
      </c>
      <c r="E50" s="383" t="s">
        <v>884</v>
      </c>
      <c r="F50" s="8"/>
      <c r="G50" s="8"/>
      <c r="H50" s="8"/>
      <c r="I50" s="8"/>
      <c r="J50" s="8"/>
      <c r="K50" s="8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89">
        <f t="shared" si="1"/>
        <v>51</v>
      </c>
      <c r="B51" s="366" t="s">
        <v>28</v>
      </c>
      <c r="C51" s="3" t="str">
        <f t="shared" si="2"/>
        <v>=&gt;</v>
      </c>
      <c r="D51" s="8" t="s">
        <v>885</v>
      </c>
      <c r="E51" s="384" t="s">
        <v>886</v>
      </c>
      <c r="F51" s="8"/>
      <c r="G51" s="8"/>
      <c r="H51" s="8"/>
      <c r="I51" s="8"/>
      <c r="J51" s="8"/>
      <c r="K51" s="8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89">
        <f t="shared" si="1"/>
        <v>52</v>
      </c>
      <c r="B52" s="366" t="s">
        <v>28</v>
      </c>
      <c r="C52" s="3" t="str">
        <f t="shared" si="2"/>
        <v>=&gt;</v>
      </c>
      <c r="D52" s="8" t="s">
        <v>30</v>
      </c>
      <c r="E52" s="397" t="s">
        <v>897</v>
      </c>
      <c r="F52" s="8" t="s">
        <v>32</v>
      </c>
      <c r="G52" s="8"/>
      <c r="H52" s="8"/>
      <c r="I52" s="8"/>
      <c r="J52" s="8"/>
      <c r="K52" s="8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89">
        <f t="shared" si="1"/>
        <v>53</v>
      </c>
      <c r="B53" s="366" t="s">
        <v>28</v>
      </c>
      <c r="C53" s="3" t="str">
        <f t="shared" si="2"/>
        <v>=&gt;</v>
      </c>
      <c r="D53" s="390" t="s">
        <v>891</v>
      </c>
      <c r="E53" s="398" t="s">
        <v>898</v>
      </c>
      <c r="F53" s="8"/>
      <c r="G53" s="8"/>
      <c r="H53" s="8"/>
      <c r="I53" s="8"/>
      <c r="J53" s="8"/>
      <c r="K53" s="8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89">
        <f t="shared" si="1"/>
        <v>54</v>
      </c>
      <c r="B54" s="366" t="s">
        <v>28</v>
      </c>
      <c r="C54" s="3" t="str">
        <f t="shared" si="2"/>
        <v>=&gt;</v>
      </c>
      <c r="D54" s="21" t="s">
        <v>14</v>
      </c>
      <c r="E54" s="380" t="s">
        <v>881</v>
      </c>
      <c r="F54" s="381" t="s">
        <v>882</v>
      </c>
      <c r="G54" s="382" t="s">
        <v>883</v>
      </c>
      <c r="H54" s="8"/>
      <c r="I54" s="8"/>
      <c r="J54" s="8"/>
      <c r="K54" s="8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89">
        <f t="shared" si="1"/>
        <v>55</v>
      </c>
      <c r="B55" s="398" t="s">
        <v>898</v>
      </c>
      <c r="C55" s="3" t="str">
        <f t="shared" si="2"/>
        <v>=&gt;</v>
      </c>
      <c r="D55" s="391" t="s">
        <v>892</v>
      </c>
      <c r="E55" s="380" t="s">
        <v>881</v>
      </c>
      <c r="F55" s="381" t="s">
        <v>882</v>
      </c>
      <c r="G55" s="382" t="s">
        <v>883</v>
      </c>
      <c r="H55" s="8"/>
      <c r="I55" s="8"/>
      <c r="J55" s="8"/>
      <c r="K55" s="8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89">
        <f t="shared" si="1"/>
        <v>56</v>
      </c>
      <c r="B56" s="398" t="s">
        <v>898</v>
      </c>
      <c r="C56" s="3" t="str">
        <f t="shared" si="2"/>
        <v>=&gt;</v>
      </c>
      <c r="D56" s="3" t="s">
        <v>8</v>
      </c>
      <c r="E56" s="3"/>
      <c r="F56" s="8"/>
      <c r="G56" s="3"/>
      <c r="H56" s="8"/>
      <c r="I56" s="8"/>
      <c r="J56" s="8"/>
      <c r="K56" s="8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">
        <f t="shared" si="1"/>
        <v>57</v>
      </c>
      <c r="B57" s="399" t="s">
        <v>897</v>
      </c>
      <c r="C57" s="3" t="str">
        <f t="shared" si="2"/>
        <v>=&gt;</v>
      </c>
      <c r="D57" s="400" t="s">
        <v>899</v>
      </c>
      <c r="E57" s="3"/>
      <c r="F57" s="8"/>
      <c r="G57" s="3"/>
      <c r="H57" s="3"/>
      <c r="I57" s="3"/>
      <c r="J57" s="3"/>
      <c r="K57" s="3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>
        <f t="shared" si="1"/>
        <v>58</v>
      </c>
      <c r="B58" s="399" t="s">
        <v>897</v>
      </c>
      <c r="C58" s="3" t="str">
        <f t="shared" si="2"/>
        <v>=&gt;</v>
      </c>
      <c r="D58" s="3" t="s">
        <v>14</v>
      </c>
      <c r="E58" s="401" t="s">
        <v>900</v>
      </c>
      <c r="F58" s="3"/>
      <c r="G58" s="3"/>
      <c r="H58" s="3"/>
      <c r="I58" s="3"/>
      <c r="J58" s="3"/>
      <c r="K58" s="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">
        <f t="shared" si="1"/>
        <v>59</v>
      </c>
      <c r="B59" s="399" t="s">
        <v>897</v>
      </c>
      <c r="C59" s="3" t="str">
        <f t="shared" si="2"/>
        <v>=&gt;</v>
      </c>
      <c r="D59" s="3" t="s">
        <v>8</v>
      </c>
      <c r="E59" s="3"/>
      <c r="F59" s="3"/>
      <c r="G59" s="3"/>
      <c r="H59" s="3"/>
      <c r="I59" s="3"/>
      <c r="J59" s="3"/>
      <c r="K59" s="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89">
        <f t="shared" si="1"/>
        <v>60</v>
      </c>
      <c r="B60" s="400" t="s">
        <v>899</v>
      </c>
      <c r="C60" s="3" t="str">
        <f t="shared" si="2"/>
        <v>=&gt;</v>
      </c>
      <c r="D60" s="402" t="s">
        <v>868</v>
      </c>
      <c r="E60" s="403" t="s">
        <v>901</v>
      </c>
      <c r="F60" s="3"/>
      <c r="G60" s="3"/>
      <c r="H60" s="3"/>
      <c r="I60" s="3"/>
      <c r="J60" s="3"/>
      <c r="K60" s="3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89">
        <f t="shared" si="1"/>
        <v>61</v>
      </c>
      <c r="B61" s="400" t="s">
        <v>899</v>
      </c>
      <c r="C61" s="3" t="str">
        <f t="shared" si="2"/>
        <v>=&gt;</v>
      </c>
      <c r="D61" s="402" t="s">
        <v>902</v>
      </c>
      <c r="E61" s="403" t="s">
        <v>901</v>
      </c>
      <c r="F61" s="3"/>
      <c r="G61" s="3"/>
      <c r="H61" s="3"/>
      <c r="I61" s="3"/>
      <c r="J61" s="3"/>
      <c r="K61" s="3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89">
        <f t="shared" si="1"/>
        <v>62</v>
      </c>
      <c r="B62" s="400" t="s">
        <v>899</v>
      </c>
      <c r="C62" s="3" t="str">
        <f t="shared" si="2"/>
        <v>=&gt;</v>
      </c>
      <c r="D62" s="402" t="s">
        <v>903</v>
      </c>
      <c r="E62" s="403" t="s">
        <v>901</v>
      </c>
      <c r="F62" s="3"/>
      <c r="G62" s="3"/>
      <c r="H62" s="3"/>
      <c r="I62" s="3"/>
      <c r="J62" s="3"/>
      <c r="K62" s="3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89">
        <f t="shared" si="1"/>
        <v>63</v>
      </c>
      <c r="B63" s="400" t="s">
        <v>899</v>
      </c>
      <c r="C63" s="3" t="str">
        <f t="shared" si="2"/>
        <v>=&gt;</v>
      </c>
      <c r="D63" s="402" t="s">
        <v>904</v>
      </c>
      <c r="E63" s="403" t="s">
        <v>901</v>
      </c>
      <c r="F63" s="3"/>
      <c r="G63" s="3"/>
      <c r="H63" s="3"/>
      <c r="I63" s="3"/>
      <c r="J63" s="3"/>
      <c r="K63" s="3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">
        <f t="shared" si="1"/>
        <v>64</v>
      </c>
      <c r="B64" s="400" t="s">
        <v>899</v>
      </c>
      <c r="C64" s="3" t="str">
        <f t="shared" si="2"/>
        <v>=&gt;</v>
      </c>
      <c r="D64" s="3" t="s">
        <v>30</v>
      </c>
      <c r="E64" s="399" t="s">
        <v>897</v>
      </c>
      <c r="F64" s="3" t="s">
        <v>32</v>
      </c>
      <c r="G64" s="403" t="s">
        <v>901</v>
      </c>
      <c r="H64" s="8"/>
      <c r="I64" s="3"/>
      <c r="J64" s="3"/>
      <c r="K64" s="3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">
        <f t="shared" si="1"/>
        <v>65</v>
      </c>
      <c r="B65" s="403" t="s">
        <v>901</v>
      </c>
      <c r="C65" s="3" t="str">
        <f t="shared" si="2"/>
        <v>=&gt;</v>
      </c>
      <c r="D65" s="3" t="s">
        <v>38</v>
      </c>
      <c r="E65" s="404" t="s">
        <v>905</v>
      </c>
      <c r="F65" s="3"/>
      <c r="G65" s="3"/>
      <c r="H65" s="3"/>
      <c r="I65" s="3"/>
      <c r="J65" s="3"/>
      <c r="K65" s="3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">
        <f t="shared" si="1"/>
        <v>66</v>
      </c>
      <c r="B66" s="403" t="s">
        <v>901</v>
      </c>
      <c r="C66" s="3" t="str">
        <f t="shared" si="2"/>
        <v>=&gt;</v>
      </c>
      <c r="D66" s="3" t="s">
        <v>8</v>
      </c>
      <c r="E66" s="3"/>
      <c r="F66" s="3"/>
      <c r="G66" s="3"/>
      <c r="H66" s="3"/>
      <c r="I66" s="3"/>
      <c r="J66" s="3"/>
      <c r="K66" s="3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">
        <f t="shared" si="1"/>
        <v>67</v>
      </c>
      <c r="B67" s="404" t="s">
        <v>905</v>
      </c>
      <c r="C67" s="3" t="str">
        <f t="shared" si="2"/>
        <v>=&gt;</v>
      </c>
      <c r="D67" s="3" t="s">
        <v>14</v>
      </c>
      <c r="E67" s="403" t="s">
        <v>901</v>
      </c>
      <c r="F67" s="3"/>
      <c r="G67" s="3"/>
      <c r="H67" s="3"/>
      <c r="I67" s="3"/>
      <c r="J67" s="3"/>
      <c r="K67" s="3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">
        <f t="shared" si="1"/>
        <v>68</v>
      </c>
      <c r="B68" s="404" t="s">
        <v>905</v>
      </c>
      <c r="C68" s="3" t="str">
        <f t="shared" si="2"/>
        <v>=&gt;</v>
      </c>
      <c r="D68" s="400" t="s">
        <v>899</v>
      </c>
      <c r="E68" s="3"/>
      <c r="F68" s="3"/>
      <c r="G68" s="3"/>
      <c r="H68" s="3"/>
      <c r="I68" s="3"/>
      <c r="J68" s="3"/>
      <c r="K68" s="3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">
        <f t="shared" si="1"/>
        <v>69</v>
      </c>
      <c r="B69" s="404" t="s">
        <v>905</v>
      </c>
      <c r="C69" s="3"/>
      <c r="D69" s="8" t="s">
        <v>8</v>
      </c>
      <c r="E69" s="3"/>
      <c r="F69" s="3"/>
      <c r="G69" s="3"/>
      <c r="H69" s="3"/>
      <c r="I69" s="3"/>
      <c r="J69" s="3"/>
      <c r="K69" s="3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">
        <f t="shared" si="1"/>
        <v>70</v>
      </c>
      <c r="B70" s="405" t="s">
        <v>872</v>
      </c>
      <c r="C70" s="3" t="str">
        <f t="shared" ref="C70:C558" si="3">"=&gt;"</f>
        <v>=&gt;</v>
      </c>
      <c r="D70" s="8" t="s">
        <v>134</v>
      </c>
      <c r="E70" s="8" t="s">
        <v>62</v>
      </c>
      <c r="F70" s="355" t="s">
        <v>855</v>
      </c>
      <c r="G70" s="8" t="s">
        <v>64</v>
      </c>
      <c r="H70" s="8"/>
      <c r="I70" s="8"/>
      <c r="J70" s="8"/>
      <c r="K70" s="8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">
        <f t="shared" si="1"/>
        <v>71</v>
      </c>
      <c r="B71" s="405" t="s">
        <v>872</v>
      </c>
      <c r="C71" s="3" t="str">
        <f t="shared" si="3"/>
        <v>=&gt;</v>
      </c>
      <c r="D71" s="8" t="s">
        <v>906</v>
      </c>
      <c r="E71" s="8" t="s">
        <v>62</v>
      </c>
      <c r="F71" s="8" t="s">
        <v>64</v>
      </c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">
        <f t="shared" si="1"/>
        <v>72</v>
      </c>
      <c r="B72" s="405" t="s">
        <v>872</v>
      </c>
      <c r="C72" s="3" t="str">
        <f t="shared" si="3"/>
        <v>=&gt;</v>
      </c>
      <c r="D72" s="8" t="s">
        <v>907</v>
      </c>
      <c r="E72" s="8" t="s">
        <v>62</v>
      </c>
      <c r="F72" s="363" t="s">
        <v>863</v>
      </c>
      <c r="G72" s="8" t="s">
        <v>64</v>
      </c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">
        <f t="shared" si="1"/>
        <v>73</v>
      </c>
      <c r="B73" s="405" t="s">
        <v>872</v>
      </c>
      <c r="C73" s="3" t="str">
        <f t="shared" si="3"/>
        <v>=&gt;</v>
      </c>
      <c r="D73" s="21" t="s">
        <v>902</v>
      </c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">
        <f t="shared" si="1"/>
        <v>74</v>
      </c>
      <c r="B74" s="406" t="s">
        <v>879</v>
      </c>
      <c r="C74" s="3" t="str">
        <f t="shared" si="3"/>
        <v>=&gt;</v>
      </c>
      <c r="D74" s="8" t="s">
        <v>908</v>
      </c>
      <c r="E74" s="8" t="s">
        <v>62</v>
      </c>
      <c r="F74" s="407" t="s">
        <v>909</v>
      </c>
      <c r="G74" s="365" t="s">
        <v>38</v>
      </c>
      <c r="H74" s="407" t="s">
        <v>909</v>
      </c>
      <c r="I74" s="8" t="s">
        <v>64</v>
      </c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">
        <f t="shared" si="1"/>
        <v>75</v>
      </c>
      <c r="B75" s="406" t="s">
        <v>879</v>
      </c>
      <c r="C75" s="3" t="str">
        <f t="shared" si="3"/>
        <v>=&gt;</v>
      </c>
      <c r="D75" s="8" t="s">
        <v>910</v>
      </c>
      <c r="E75" s="8" t="s">
        <v>62</v>
      </c>
      <c r="F75" s="363" t="s">
        <v>863</v>
      </c>
      <c r="G75" s="8" t="s">
        <v>64</v>
      </c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">
        <f t="shared" si="1"/>
        <v>76</v>
      </c>
      <c r="B76" s="406" t="s">
        <v>879</v>
      </c>
      <c r="C76" s="3" t="str">
        <f t="shared" si="3"/>
        <v>=&gt;</v>
      </c>
      <c r="D76" s="21" t="s">
        <v>903</v>
      </c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">
        <f t="shared" si="1"/>
        <v>77</v>
      </c>
      <c r="B77" s="407" t="s">
        <v>909</v>
      </c>
      <c r="C77" s="3" t="str">
        <f t="shared" si="3"/>
        <v>=&gt;</v>
      </c>
      <c r="D77" s="8" t="s">
        <v>30</v>
      </c>
      <c r="E77" s="397" t="s">
        <v>897</v>
      </c>
      <c r="F77" s="8" t="s">
        <v>32</v>
      </c>
      <c r="G77" s="8"/>
      <c r="H77" s="8"/>
      <c r="I77" s="8"/>
      <c r="J77" s="8"/>
      <c r="K77" s="8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">
        <f t="shared" si="1"/>
        <v>78</v>
      </c>
      <c r="B78" s="407" t="s">
        <v>909</v>
      </c>
      <c r="C78" s="3" t="str">
        <f t="shared" si="3"/>
        <v>=&gt;</v>
      </c>
      <c r="D78" s="361" t="s">
        <v>861</v>
      </c>
      <c r="E78" s="8"/>
      <c r="F78" s="8"/>
      <c r="G78" s="8"/>
      <c r="H78" s="8"/>
      <c r="I78" s="8"/>
      <c r="J78" s="8"/>
      <c r="K78" s="8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">
        <f t="shared" si="1"/>
        <v>79</v>
      </c>
      <c r="B79" s="408" t="s">
        <v>891</v>
      </c>
      <c r="C79" s="3" t="str">
        <f t="shared" si="3"/>
        <v>=&gt;</v>
      </c>
      <c r="D79" s="8" t="s">
        <v>911</v>
      </c>
      <c r="E79" s="8" t="s">
        <v>62</v>
      </c>
      <c r="F79" s="364" t="s">
        <v>865</v>
      </c>
      <c r="G79" s="365" t="s">
        <v>38</v>
      </c>
      <c r="H79" s="366" t="s">
        <v>28</v>
      </c>
      <c r="I79" s="8" t="s">
        <v>64</v>
      </c>
      <c r="J79" s="8"/>
      <c r="K79" s="8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">
        <f t="shared" si="1"/>
        <v>80</v>
      </c>
      <c r="B80" s="408" t="s">
        <v>891</v>
      </c>
      <c r="C80" s="3" t="str">
        <f t="shared" si="3"/>
        <v>=&gt;</v>
      </c>
      <c r="D80" s="8" t="s">
        <v>912</v>
      </c>
      <c r="E80" s="8" t="s">
        <v>62</v>
      </c>
      <c r="F80" s="364" t="s">
        <v>865</v>
      </c>
      <c r="G80" s="8" t="s">
        <v>64</v>
      </c>
      <c r="H80" s="8"/>
      <c r="I80" s="8"/>
      <c r="J80" s="8"/>
      <c r="K80" s="8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">
        <f t="shared" si="1"/>
        <v>81</v>
      </c>
      <c r="B81" s="408" t="s">
        <v>891</v>
      </c>
      <c r="C81" s="3" t="str">
        <f t="shared" si="3"/>
        <v>=&gt;</v>
      </c>
      <c r="D81" s="8" t="s">
        <v>913</v>
      </c>
      <c r="E81" s="8" t="s">
        <v>62</v>
      </c>
      <c r="F81" s="364" t="s">
        <v>865</v>
      </c>
      <c r="G81" s="8" t="s">
        <v>64</v>
      </c>
      <c r="H81" s="8"/>
      <c r="I81" s="8"/>
      <c r="J81" s="8"/>
      <c r="K81" s="8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89">
        <f t="shared" si="1"/>
        <v>82</v>
      </c>
      <c r="B82" s="408" t="s">
        <v>891</v>
      </c>
      <c r="C82" s="3" t="str">
        <f t="shared" si="3"/>
        <v>=&gt;</v>
      </c>
      <c r="D82" s="8" t="s">
        <v>914</v>
      </c>
      <c r="E82" s="8" t="s">
        <v>62</v>
      </c>
      <c r="F82" s="364" t="s">
        <v>865</v>
      </c>
      <c r="G82" s="365" t="s">
        <v>38</v>
      </c>
      <c r="H82" s="355" t="s">
        <v>855</v>
      </c>
      <c r="I82" s="8" t="s">
        <v>64</v>
      </c>
      <c r="J82" s="409"/>
      <c r="K82" s="40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">
        <f t="shared" si="1"/>
        <v>83</v>
      </c>
      <c r="B83" s="364" t="s">
        <v>865</v>
      </c>
      <c r="C83" s="3" t="str">
        <f t="shared" si="3"/>
        <v>=&gt;</v>
      </c>
      <c r="D83" s="8" t="s">
        <v>30</v>
      </c>
      <c r="E83" s="410" t="s">
        <v>905</v>
      </c>
      <c r="F83" s="8" t="s">
        <v>32</v>
      </c>
      <c r="G83" s="8"/>
      <c r="H83" s="8"/>
      <c r="I83" s="8"/>
      <c r="J83" s="8"/>
      <c r="K83" s="8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">
        <f t="shared" si="1"/>
        <v>84</v>
      </c>
      <c r="B84" s="364" t="s">
        <v>865</v>
      </c>
      <c r="C84" s="3" t="str">
        <f t="shared" si="3"/>
        <v>=&gt;</v>
      </c>
      <c r="D84" s="361" t="s">
        <v>861</v>
      </c>
      <c r="E84" s="8"/>
      <c r="F84" s="8"/>
      <c r="G84" s="8"/>
      <c r="H84" s="8"/>
      <c r="I84" s="8"/>
      <c r="J84" s="8"/>
      <c r="K84" s="8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">
        <f t="shared" si="1"/>
        <v>85</v>
      </c>
      <c r="B85" s="411" t="s">
        <v>876</v>
      </c>
      <c r="C85" s="3" t="str">
        <f t="shared" si="3"/>
        <v>=&gt;</v>
      </c>
      <c r="D85" s="8" t="s">
        <v>915</v>
      </c>
      <c r="E85" s="8" t="s">
        <v>62</v>
      </c>
      <c r="F85" s="412" t="s">
        <v>916</v>
      </c>
      <c r="G85" s="8" t="s">
        <v>64</v>
      </c>
      <c r="H85" s="8"/>
      <c r="I85" s="8"/>
      <c r="J85" s="8"/>
      <c r="K85" s="8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">
        <f t="shared" si="1"/>
        <v>86</v>
      </c>
      <c r="B86" s="411" t="s">
        <v>876</v>
      </c>
      <c r="C86" s="3" t="str">
        <f t="shared" si="3"/>
        <v>=&gt;</v>
      </c>
      <c r="D86" s="8" t="s">
        <v>917</v>
      </c>
      <c r="E86" s="8" t="s">
        <v>62</v>
      </c>
      <c r="F86" s="8" t="s">
        <v>64</v>
      </c>
      <c r="G86" s="8"/>
      <c r="H86" s="8"/>
      <c r="I86" s="8"/>
      <c r="J86" s="8"/>
      <c r="K86" s="8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">
        <f t="shared" si="1"/>
        <v>87</v>
      </c>
      <c r="B87" s="411" t="s">
        <v>876</v>
      </c>
      <c r="C87" s="3" t="str">
        <f t="shared" si="3"/>
        <v>=&gt;</v>
      </c>
      <c r="D87" s="8" t="s">
        <v>918</v>
      </c>
      <c r="E87" s="8" t="s">
        <v>62</v>
      </c>
      <c r="F87" s="412" t="s">
        <v>916</v>
      </c>
      <c r="G87" s="365" t="s">
        <v>38</v>
      </c>
      <c r="H87" s="355" t="s">
        <v>855</v>
      </c>
      <c r="I87" s="413" t="s">
        <v>38</v>
      </c>
      <c r="J87" s="355" t="s">
        <v>855</v>
      </c>
      <c r="K87" s="8" t="s">
        <v>64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">
        <f t="shared" si="1"/>
        <v>88</v>
      </c>
      <c r="B88" s="411" t="s">
        <v>876</v>
      </c>
      <c r="C88" s="3" t="str">
        <f t="shared" si="3"/>
        <v>=&gt;</v>
      </c>
      <c r="D88" s="8" t="s">
        <v>919</v>
      </c>
      <c r="E88" s="8" t="s">
        <v>62</v>
      </c>
      <c r="F88" s="414" t="s">
        <v>920</v>
      </c>
      <c r="G88" s="365" t="s">
        <v>38</v>
      </c>
      <c r="H88" s="414" t="s">
        <v>920</v>
      </c>
      <c r="I88" s="8" t="s">
        <v>64</v>
      </c>
      <c r="J88" s="8"/>
      <c r="K88" s="8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">
        <f t="shared" si="1"/>
        <v>89</v>
      </c>
      <c r="B89" s="411" t="s">
        <v>876</v>
      </c>
      <c r="C89" s="3" t="str">
        <f t="shared" si="3"/>
        <v>=&gt;</v>
      </c>
      <c r="D89" s="8" t="s">
        <v>921</v>
      </c>
      <c r="E89" s="8" t="s">
        <v>62</v>
      </c>
      <c r="F89" s="363" t="s">
        <v>863</v>
      </c>
      <c r="G89" s="8" t="s">
        <v>64</v>
      </c>
      <c r="H89" s="8"/>
      <c r="I89" s="8"/>
      <c r="J89" s="8"/>
      <c r="K89" s="8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>
        <f t="shared" si="1"/>
        <v>90</v>
      </c>
      <c r="B90" s="411" t="s">
        <v>876</v>
      </c>
      <c r="C90" s="3" t="str">
        <f t="shared" si="3"/>
        <v>=&gt;</v>
      </c>
      <c r="D90" s="21" t="s">
        <v>904</v>
      </c>
      <c r="E90" s="8"/>
      <c r="F90" s="8"/>
      <c r="G90" s="8"/>
      <c r="H90" s="8"/>
      <c r="I90" s="8"/>
      <c r="J90" s="8"/>
      <c r="K90" s="8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>
        <f t="shared" si="1"/>
        <v>91</v>
      </c>
      <c r="B91" s="412" t="s">
        <v>916</v>
      </c>
      <c r="C91" s="3" t="str">
        <f t="shared" si="3"/>
        <v>=&gt;</v>
      </c>
      <c r="D91" s="415" t="s">
        <v>922</v>
      </c>
      <c r="E91" s="416" t="s">
        <v>923</v>
      </c>
      <c r="F91" s="8"/>
      <c r="G91" s="8"/>
      <c r="H91" s="8"/>
      <c r="I91" s="8"/>
      <c r="J91" s="8"/>
      <c r="K91" s="8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>
        <f t="shared" si="1"/>
        <v>92</v>
      </c>
      <c r="B92" s="415" t="s">
        <v>922</v>
      </c>
      <c r="C92" s="3" t="str">
        <f t="shared" si="3"/>
        <v>=&gt;</v>
      </c>
      <c r="D92" s="375" t="s">
        <v>876</v>
      </c>
      <c r="E92" s="8"/>
      <c r="F92" s="8"/>
      <c r="G92" s="8"/>
      <c r="H92" s="8"/>
      <c r="I92" s="8"/>
      <c r="J92" s="8"/>
      <c r="K92" s="8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>
        <f t="shared" si="1"/>
        <v>93</v>
      </c>
      <c r="B93" s="415" t="s">
        <v>922</v>
      </c>
      <c r="C93" s="3" t="str">
        <f t="shared" si="3"/>
        <v>=&gt;</v>
      </c>
      <c r="D93" s="361" t="s">
        <v>861</v>
      </c>
      <c r="E93" s="8"/>
      <c r="F93" s="8"/>
      <c r="G93" s="8"/>
      <c r="H93" s="8"/>
      <c r="I93" s="8"/>
      <c r="J93" s="8"/>
      <c r="K93" s="8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>
        <f t="shared" si="1"/>
        <v>94</v>
      </c>
      <c r="B94" s="415" t="s">
        <v>922</v>
      </c>
      <c r="C94" s="3" t="str">
        <f t="shared" si="3"/>
        <v>=&gt;</v>
      </c>
      <c r="D94" s="8" t="s">
        <v>62</v>
      </c>
      <c r="E94" s="412" t="s">
        <v>916</v>
      </c>
      <c r="F94" s="8" t="s">
        <v>64</v>
      </c>
      <c r="G94" s="8"/>
      <c r="H94" s="8"/>
      <c r="I94" s="8"/>
      <c r="J94" s="8"/>
      <c r="K94" s="8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>
        <f t="shared" si="1"/>
        <v>95</v>
      </c>
      <c r="B95" s="416" t="s">
        <v>923</v>
      </c>
      <c r="C95" s="3" t="str">
        <f t="shared" si="3"/>
        <v>=&gt;</v>
      </c>
      <c r="D95" s="417" t="s">
        <v>924</v>
      </c>
      <c r="E95" s="415" t="s">
        <v>922</v>
      </c>
      <c r="F95" s="416" t="s">
        <v>923</v>
      </c>
      <c r="G95" s="8"/>
      <c r="H95" s="8"/>
      <c r="I95" s="8"/>
      <c r="J95" s="8"/>
      <c r="K95" s="8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>
        <f t="shared" si="1"/>
        <v>96</v>
      </c>
      <c r="B96" s="416" t="s">
        <v>923</v>
      </c>
      <c r="C96" s="3" t="str">
        <f t="shared" si="3"/>
        <v>=&gt;</v>
      </c>
      <c r="D96" s="8" t="s">
        <v>8</v>
      </c>
      <c r="E96" s="8"/>
      <c r="F96" s="8"/>
      <c r="G96" s="8"/>
      <c r="H96" s="8"/>
      <c r="I96" s="8"/>
      <c r="J96" s="8"/>
      <c r="K96" s="8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>
        <f t="shared" si="1"/>
        <v>97</v>
      </c>
      <c r="B97" s="414" t="s">
        <v>920</v>
      </c>
      <c r="C97" s="3" t="str">
        <f t="shared" si="3"/>
        <v>=&gt;</v>
      </c>
      <c r="D97" s="418" t="s">
        <v>925</v>
      </c>
      <c r="E97" s="419" t="s">
        <v>926</v>
      </c>
      <c r="F97" s="8"/>
      <c r="G97" s="8"/>
      <c r="H97" s="8"/>
      <c r="I97" s="8"/>
      <c r="J97" s="8"/>
      <c r="K97" s="8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>
        <f t="shared" si="1"/>
        <v>98</v>
      </c>
      <c r="B98" s="418" t="s">
        <v>925</v>
      </c>
      <c r="C98" s="3" t="str">
        <f t="shared" si="3"/>
        <v>=&gt;</v>
      </c>
      <c r="D98" s="420" t="s">
        <v>927</v>
      </c>
      <c r="E98" s="421" t="s">
        <v>928</v>
      </c>
      <c r="F98" s="8"/>
      <c r="G98" s="8"/>
      <c r="H98" s="8"/>
      <c r="I98" s="8"/>
      <c r="J98" s="8"/>
      <c r="K98" s="8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>
        <f t="shared" si="1"/>
        <v>99</v>
      </c>
      <c r="B99" s="420" t="s">
        <v>927</v>
      </c>
      <c r="C99" s="3" t="str">
        <f t="shared" si="3"/>
        <v>=&gt;</v>
      </c>
      <c r="D99" s="371" t="s">
        <v>872</v>
      </c>
      <c r="E99" s="8"/>
      <c r="F99" s="8"/>
      <c r="G99" s="8"/>
      <c r="H99" s="8"/>
      <c r="I99" s="8"/>
      <c r="J99" s="8"/>
      <c r="K99" s="8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>
        <f t="shared" si="1"/>
        <v>100</v>
      </c>
      <c r="B100" s="420" t="s">
        <v>927</v>
      </c>
      <c r="C100" s="3" t="str">
        <f t="shared" si="3"/>
        <v>=&gt;</v>
      </c>
      <c r="D100" s="361" t="s">
        <v>861</v>
      </c>
      <c r="E100" s="8"/>
      <c r="F100" s="8"/>
      <c r="G100" s="8"/>
      <c r="H100" s="8"/>
      <c r="I100" s="8"/>
      <c r="J100" s="8"/>
      <c r="K100" s="8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>
        <f t="shared" si="1"/>
        <v>101</v>
      </c>
      <c r="B101" s="420" t="s">
        <v>927</v>
      </c>
      <c r="C101" s="3" t="str">
        <f t="shared" si="3"/>
        <v>=&gt;</v>
      </c>
      <c r="D101" s="8" t="s">
        <v>62</v>
      </c>
      <c r="E101" s="414" t="s">
        <v>920</v>
      </c>
      <c r="F101" s="8" t="s">
        <v>64</v>
      </c>
      <c r="G101" s="8"/>
      <c r="H101" s="8"/>
      <c r="I101" s="8"/>
      <c r="J101" s="8"/>
      <c r="K101" s="8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>
        <f t="shared" si="1"/>
        <v>102</v>
      </c>
      <c r="B102" s="421" t="s">
        <v>928</v>
      </c>
      <c r="C102" s="3" t="str">
        <f t="shared" si="3"/>
        <v>=&gt;</v>
      </c>
      <c r="D102" s="8" t="s">
        <v>887</v>
      </c>
      <c r="E102" s="420" t="s">
        <v>927</v>
      </c>
      <c r="F102" s="421" t="s">
        <v>928</v>
      </c>
      <c r="G102" s="8"/>
      <c r="H102" s="8"/>
      <c r="I102" s="8"/>
      <c r="J102" s="8"/>
      <c r="K102" s="8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>
        <f t="shared" si="1"/>
        <v>103</v>
      </c>
      <c r="B103" s="421" t="s">
        <v>928</v>
      </c>
      <c r="C103" s="3" t="str">
        <f t="shared" si="3"/>
        <v>=&gt;</v>
      </c>
      <c r="D103" s="8" t="s">
        <v>120</v>
      </c>
      <c r="E103" s="420" t="s">
        <v>927</v>
      </c>
      <c r="F103" s="421" t="s">
        <v>928</v>
      </c>
      <c r="G103" s="8"/>
      <c r="H103" s="8"/>
      <c r="I103" s="8"/>
      <c r="J103" s="8"/>
      <c r="K103" s="8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>
        <f t="shared" si="1"/>
        <v>104</v>
      </c>
      <c r="B104" s="421" t="s">
        <v>928</v>
      </c>
      <c r="C104" s="3" t="str">
        <f t="shared" si="3"/>
        <v>=&gt;</v>
      </c>
      <c r="D104" s="8" t="s">
        <v>8</v>
      </c>
      <c r="E104" s="8"/>
      <c r="F104" s="8"/>
      <c r="G104" s="8"/>
      <c r="H104" s="8"/>
      <c r="I104" s="8"/>
      <c r="J104" s="8"/>
      <c r="K104" s="8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>
        <f t="shared" si="1"/>
        <v>105</v>
      </c>
      <c r="B105" s="419" t="s">
        <v>926</v>
      </c>
      <c r="C105" s="3" t="str">
        <f t="shared" si="3"/>
        <v>=&gt;</v>
      </c>
      <c r="D105" s="417" t="s">
        <v>924</v>
      </c>
      <c r="E105" s="418" t="s">
        <v>925</v>
      </c>
      <c r="F105" s="419" t="s">
        <v>926</v>
      </c>
      <c r="G105" s="8"/>
      <c r="H105" s="8"/>
      <c r="I105" s="8"/>
      <c r="J105" s="8"/>
      <c r="K105" s="8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>
        <f t="shared" si="1"/>
        <v>106</v>
      </c>
      <c r="B106" s="419" t="s">
        <v>926</v>
      </c>
      <c r="C106" s="3" t="str">
        <f t="shared" si="3"/>
        <v>=&gt;</v>
      </c>
      <c r="D106" s="8" t="s">
        <v>41</v>
      </c>
      <c r="E106" s="418" t="s">
        <v>925</v>
      </c>
      <c r="F106" s="419" t="s">
        <v>926</v>
      </c>
      <c r="G106" s="8"/>
      <c r="H106" s="8"/>
      <c r="I106" s="8"/>
      <c r="J106" s="8"/>
      <c r="K106" s="8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>
        <f t="shared" si="1"/>
        <v>107</v>
      </c>
      <c r="B107" s="419" t="s">
        <v>926</v>
      </c>
      <c r="C107" s="3" t="str">
        <f t="shared" si="3"/>
        <v>=&gt;</v>
      </c>
      <c r="D107" s="8" t="s">
        <v>8</v>
      </c>
      <c r="E107" s="8"/>
      <c r="F107" s="8"/>
      <c r="G107" s="8"/>
      <c r="H107" s="8"/>
      <c r="I107" s="8"/>
      <c r="J107" s="8"/>
      <c r="K107" s="8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>
        <f t="shared" si="1"/>
        <v>108</v>
      </c>
      <c r="B108" s="401" t="s">
        <v>900</v>
      </c>
      <c r="C108" s="3" t="str">
        <f t="shared" si="3"/>
        <v>=&gt;</v>
      </c>
      <c r="D108" s="3" t="s">
        <v>38</v>
      </c>
      <c r="E108" s="404" t="s">
        <v>905</v>
      </c>
      <c r="F108" s="3"/>
      <c r="G108" s="3"/>
      <c r="H108" s="3"/>
      <c r="I108" s="3"/>
      <c r="J108" s="3"/>
      <c r="K108" s="3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>
        <f t="shared" si="1"/>
        <v>109</v>
      </c>
      <c r="B109" s="401" t="s">
        <v>900</v>
      </c>
      <c r="C109" s="3" t="str">
        <f t="shared" si="3"/>
        <v>=&gt;</v>
      </c>
      <c r="D109" s="3" t="str">
        <f>"="</f>
        <v>=</v>
      </c>
      <c r="E109" s="395" t="s">
        <v>28</v>
      </c>
      <c r="F109" s="3" t="s">
        <v>6</v>
      </c>
      <c r="G109" s="422" t="s">
        <v>929</v>
      </c>
      <c r="H109" s="3"/>
      <c r="I109" s="3"/>
      <c r="J109" s="3"/>
      <c r="K109" s="3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>
        <f t="shared" si="1"/>
        <v>110</v>
      </c>
      <c r="B110" s="401" t="s">
        <v>900</v>
      </c>
      <c r="C110" s="3" t="str">
        <f t="shared" si="3"/>
        <v>=&gt;</v>
      </c>
      <c r="D110" s="3" t="s">
        <v>8</v>
      </c>
      <c r="E110" s="3"/>
      <c r="F110" s="3"/>
      <c r="G110" s="3"/>
      <c r="H110" s="3"/>
      <c r="I110" s="3"/>
      <c r="J110" s="3"/>
      <c r="K110" s="3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>
        <f t="shared" si="1"/>
        <v>111</v>
      </c>
      <c r="B111" s="422" t="s">
        <v>929</v>
      </c>
      <c r="C111" s="3" t="str">
        <f t="shared" si="3"/>
        <v>=&gt;</v>
      </c>
      <c r="D111" s="3" t="s">
        <v>14</v>
      </c>
      <c r="E111" s="3" t="str">
        <f>"="</f>
        <v>=</v>
      </c>
      <c r="F111" s="395" t="s">
        <v>28</v>
      </c>
      <c r="G111" s="3" t="s">
        <v>6</v>
      </c>
      <c r="H111" s="422" t="s">
        <v>929</v>
      </c>
      <c r="I111" s="3"/>
      <c r="J111" s="3"/>
      <c r="K111" s="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>
        <f t="shared" si="1"/>
        <v>112</v>
      </c>
      <c r="B112" s="422" t="s">
        <v>929</v>
      </c>
      <c r="C112" s="3" t="str">
        <f t="shared" si="3"/>
        <v>=&gt;</v>
      </c>
      <c r="D112" s="3" t="s">
        <v>8</v>
      </c>
      <c r="E112" s="3"/>
      <c r="F112" s="3"/>
      <c r="G112" s="3"/>
      <c r="H112" s="3"/>
      <c r="I112" s="3"/>
      <c r="J112" s="3"/>
      <c r="K112" s="3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>
        <f t="shared" si="1"/>
        <v>113</v>
      </c>
      <c r="B113" s="396" t="s">
        <v>896</v>
      </c>
      <c r="C113" s="3" t="str">
        <f t="shared" si="3"/>
        <v>=&gt;</v>
      </c>
      <c r="D113" s="3" t="s">
        <v>38</v>
      </c>
      <c r="E113" s="395" t="s">
        <v>28</v>
      </c>
      <c r="F113" s="396" t="s">
        <v>896</v>
      </c>
      <c r="G113" s="3"/>
      <c r="H113" s="3"/>
      <c r="I113" s="3"/>
      <c r="J113" s="3"/>
      <c r="K113" s="3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>
        <f t="shared" si="1"/>
        <v>114</v>
      </c>
      <c r="B114" s="396" t="s">
        <v>896</v>
      </c>
      <c r="C114" s="3" t="str">
        <f t="shared" si="3"/>
        <v>=&gt;</v>
      </c>
      <c r="D114" s="3" t="s">
        <v>8</v>
      </c>
      <c r="E114" s="3"/>
      <c r="F114" s="3"/>
      <c r="G114" s="3"/>
      <c r="H114" s="3"/>
      <c r="I114" s="3"/>
      <c r="J114" s="3"/>
      <c r="K114" s="3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>
        <f t="shared" si="1"/>
        <v>115</v>
      </c>
      <c r="B115" s="393" t="s">
        <v>894</v>
      </c>
      <c r="C115" s="3" t="str">
        <f t="shared" si="3"/>
        <v>=&gt;</v>
      </c>
      <c r="D115" s="423" t="s">
        <v>892</v>
      </c>
      <c r="E115" s="3"/>
      <c r="F115" s="8"/>
      <c r="G115" s="8"/>
      <c r="H115" s="3"/>
      <c r="I115" s="3"/>
      <c r="J115" s="3"/>
      <c r="K115" s="3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>
        <f t="shared" si="1"/>
        <v>116</v>
      </c>
      <c r="B116" s="393" t="s">
        <v>894</v>
      </c>
      <c r="C116" s="3" t="str">
        <f t="shared" si="3"/>
        <v>=&gt;</v>
      </c>
      <c r="D116" s="424" t="s">
        <v>930</v>
      </c>
      <c r="E116" s="3"/>
      <c r="F116" s="3"/>
      <c r="G116" s="8"/>
      <c r="H116" s="3"/>
      <c r="I116" s="3"/>
      <c r="J116" s="3"/>
      <c r="K116" s="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>
        <f t="shared" si="1"/>
        <v>117</v>
      </c>
      <c r="B117" s="393" t="s">
        <v>894</v>
      </c>
      <c r="C117" s="3" t="str">
        <f t="shared" si="3"/>
        <v>=&gt;</v>
      </c>
      <c r="D117" s="3" t="s">
        <v>8</v>
      </c>
      <c r="E117" s="3"/>
      <c r="F117" s="3"/>
      <c r="G117" s="8"/>
      <c r="H117" s="3"/>
      <c r="I117" s="3"/>
      <c r="J117" s="3"/>
      <c r="K117" s="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>
        <f t="shared" si="1"/>
        <v>118</v>
      </c>
      <c r="B118" s="423" t="s">
        <v>892</v>
      </c>
      <c r="C118" s="3" t="str">
        <f t="shared" si="3"/>
        <v>=&gt;</v>
      </c>
      <c r="D118" s="3" t="s">
        <v>30</v>
      </c>
      <c r="E118" s="354" t="s">
        <v>855</v>
      </c>
      <c r="F118" s="3" t="s">
        <v>32</v>
      </c>
      <c r="G118" s="393" t="s">
        <v>894</v>
      </c>
      <c r="H118" s="3"/>
      <c r="I118" s="3"/>
      <c r="J118" s="3"/>
      <c r="K118" s="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>
        <f t="shared" si="1"/>
        <v>119</v>
      </c>
      <c r="B119" s="424" t="s">
        <v>930</v>
      </c>
      <c r="C119" s="3" t="str">
        <f t="shared" si="3"/>
        <v>=&gt;</v>
      </c>
      <c r="D119" s="3" t="s">
        <v>180</v>
      </c>
      <c r="E119" s="3" t="s">
        <v>14</v>
      </c>
      <c r="F119" s="393" t="s">
        <v>894</v>
      </c>
      <c r="G119" s="3"/>
      <c r="H119" s="3"/>
      <c r="I119" s="3"/>
      <c r="J119" s="3"/>
      <c r="K119" s="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>
        <f t="shared" si="1"/>
        <v>120</v>
      </c>
      <c r="B120" s="386" t="s">
        <v>889</v>
      </c>
      <c r="C120" s="3" t="str">
        <f t="shared" si="3"/>
        <v>=&gt;</v>
      </c>
      <c r="D120" s="360" t="s">
        <v>860</v>
      </c>
      <c r="E120" s="368" t="s">
        <v>869</v>
      </c>
      <c r="F120" s="369" t="s">
        <v>870</v>
      </c>
      <c r="G120" s="425" t="s">
        <v>931</v>
      </c>
      <c r="H120" s="8"/>
      <c r="I120" s="8"/>
      <c r="J120" s="8"/>
      <c r="K120" s="8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3">
        <f t="shared" si="1"/>
        <v>121</v>
      </c>
      <c r="B121" s="386" t="s">
        <v>889</v>
      </c>
      <c r="C121" s="3" t="str">
        <f t="shared" si="3"/>
        <v>=&gt;</v>
      </c>
      <c r="D121" s="361" t="s">
        <v>861</v>
      </c>
      <c r="E121" s="368" t="s">
        <v>869</v>
      </c>
      <c r="F121" s="369" t="s">
        <v>870</v>
      </c>
      <c r="G121" s="425" t="s">
        <v>931</v>
      </c>
      <c r="H121" s="8"/>
      <c r="I121" s="8"/>
      <c r="J121" s="8"/>
      <c r="K121" s="8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3">
        <f t="shared" si="1"/>
        <v>122</v>
      </c>
      <c r="B122" s="386" t="s">
        <v>889</v>
      </c>
      <c r="C122" s="3" t="str">
        <f t="shared" si="3"/>
        <v>=&gt;</v>
      </c>
      <c r="D122" s="8" t="s">
        <v>62</v>
      </c>
      <c r="E122" s="386" t="s">
        <v>889</v>
      </c>
      <c r="F122" s="426" t="s">
        <v>932</v>
      </c>
      <c r="G122" s="8"/>
      <c r="H122" s="8"/>
      <c r="I122" s="8"/>
      <c r="J122" s="8"/>
      <c r="K122" s="8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3">
        <f t="shared" si="1"/>
        <v>123</v>
      </c>
      <c r="B123" s="369" t="s">
        <v>870</v>
      </c>
      <c r="C123" s="3" t="str">
        <f t="shared" si="3"/>
        <v>=&gt;</v>
      </c>
      <c r="D123" s="417" t="s">
        <v>924</v>
      </c>
      <c r="E123" s="427" t="s">
        <v>933</v>
      </c>
      <c r="F123" s="369" t="s">
        <v>870</v>
      </c>
      <c r="G123" s="8"/>
      <c r="H123" s="8"/>
      <c r="I123" s="8"/>
      <c r="J123" s="8"/>
      <c r="K123" s="8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3">
        <f t="shared" si="1"/>
        <v>124</v>
      </c>
      <c r="B124" s="369" t="s">
        <v>870</v>
      </c>
      <c r="C124" s="3" t="str">
        <f t="shared" si="3"/>
        <v>=&gt;</v>
      </c>
      <c r="D124" s="8" t="s">
        <v>41</v>
      </c>
      <c r="E124" s="427" t="s">
        <v>933</v>
      </c>
      <c r="F124" s="369" t="s">
        <v>870</v>
      </c>
      <c r="G124" s="8"/>
      <c r="H124" s="8"/>
      <c r="I124" s="8"/>
      <c r="J124" s="8"/>
      <c r="K124" s="8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>
        <f t="shared" si="1"/>
        <v>125</v>
      </c>
      <c r="B125" s="369" t="s">
        <v>870</v>
      </c>
      <c r="C125" s="3" t="str">
        <f t="shared" si="3"/>
        <v>=&gt;</v>
      </c>
      <c r="D125" s="428" t="s">
        <v>8</v>
      </c>
      <c r="E125" s="8"/>
      <c r="F125" s="8"/>
      <c r="G125" s="8"/>
      <c r="H125" s="8"/>
      <c r="I125" s="8"/>
      <c r="J125" s="8"/>
      <c r="K125" s="8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>
        <f t="shared" si="1"/>
        <v>126</v>
      </c>
      <c r="B126" s="427" t="s">
        <v>933</v>
      </c>
      <c r="C126" s="3" t="str">
        <f t="shared" si="3"/>
        <v>=&gt;</v>
      </c>
      <c r="D126" s="385" t="s">
        <v>888</v>
      </c>
      <c r="E126" s="429" t="s">
        <v>869</v>
      </c>
      <c r="F126" s="8"/>
      <c r="G126" s="8"/>
      <c r="H126" s="8"/>
      <c r="I126" s="8"/>
      <c r="J126" s="8"/>
      <c r="K126" s="8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>
        <f t="shared" si="1"/>
        <v>127</v>
      </c>
      <c r="B127" s="425" t="s">
        <v>931</v>
      </c>
      <c r="C127" s="3" t="str">
        <f t="shared" si="3"/>
        <v>=&gt;</v>
      </c>
      <c r="D127" s="8" t="s">
        <v>64</v>
      </c>
      <c r="E127" s="8"/>
      <c r="F127" s="8"/>
      <c r="G127" s="8"/>
      <c r="H127" s="8"/>
      <c r="I127" s="8"/>
      <c r="J127" s="8"/>
      <c r="K127" s="8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>
        <f t="shared" si="1"/>
        <v>128</v>
      </c>
      <c r="B128" s="426" t="s">
        <v>932</v>
      </c>
      <c r="C128" s="3" t="str">
        <f t="shared" si="3"/>
        <v>=&gt;</v>
      </c>
      <c r="D128" s="8" t="s">
        <v>64</v>
      </c>
      <c r="E128" s="8"/>
      <c r="F128" s="8"/>
      <c r="G128" s="8"/>
      <c r="H128" s="8"/>
      <c r="I128" s="8"/>
      <c r="J128" s="8"/>
      <c r="K128" s="8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>
        <f t="shared" si="1"/>
        <v>129</v>
      </c>
      <c r="B129" s="370" t="s">
        <v>871</v>
      </c>
      <c r="C129" s="3" t="str">
        <f t="shared" si="3"/>
        <v>=&gt;</v>
      </c>
      <c r="D129" s="417" t="s">
        <v>934</v>
      </c>
      <c r="E129" s="430" t="s">
        <v>935</v>
      </c>
      <c r="F129" s="379" t="s">
        <v>880</v>
      </c>
      <c r="G129" s="8"/>
      <c r="H129" s="8"/>
      <c r="I129" s="8"/>
      <c r="J129" s="8"/>
      <c r="K129" s="8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>
        <f t="shared" si="1"/>
        <v>130</v>
      </c>
      <c r="B130" s="370" t="s">
        <v>871</v>
      </c>
      <c r="C130" s="3" t="str">
        <f t="shared" si="3"/>
        <v>=&gt;</v>
      </c>
      <c r="D130" s="8" t="s">
        <v>163</v>
      </c>
      <c r="E130" s="430" t="s">
        <v>935</v>
      </c>
      <c r="F130" s="379" t="s">
        <v>880</v>
      </c>
      <c r="G130" s="8"/>
      <c r="H130" s="8"/>
      <c r="I130" s="8"/>
      <c r="J130" s="8"/>
      <c r="K130" s="8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>
        <f t="shared" si="1"/>
        <v>131</v>
      </c>
      <c r="B131" s="370" t="s">
        <v>871</v>
      </c>
      <c r="C131" s="3" t="str">
        <f t="shared" si="3"/>
        <v>=&gt;</v>
      </c>
      <c r="D131" s="8" t="s">
        <v>167</v>
      </c>
      <c r="E131" s="430" t="s">
        <v>935</v>
      </c>
      <c r="F131" s="379" t="s">
        <v>880</v>
      </c>
      <c r="G131" s="8"/>
      <c r="H131" s="8"/>
      <c r="I131" s="8"/>
      <c r="J131" s="8"/>
      <c r="K131" s="8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>
        <f t="shared" si="1"/>
        <v>132</v>
      </c>
      <c r="B132" s="370" t="s">
        <v>871</v>
      </c>
      <c r="C132" s="3" t="str">
        <f t="shared" si="3"/>
        <v>=&gt;</v>
      </c>
      <c r="D132" s="8" t="s">
        <v>166</v>
      </c>
      <c r="E132" s="430" t="s">
        <v>935</v>
      </c>
      <c r="F132" s="379" t="s">
        <v>880</v>
      </c>
      <c r="G132" s="8"/>
      <c r="H132" s="8"/>
      <c r="I132" s="8"/>
      <c r="J132" s="8"/>
      <c r="K132" s="8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>
        <f t="shared" si="1"/>
        <v>133</v>
      </c>
      <c r="B133" s="370" t="s">
        <v>871</v>
      </c>
      <c r="C133" s="3" t="str">
        <f t="shared" si="3"/>
        <v>=&gt;</v>
      </c>
      <c r="D133" s="8" t="s">
        <v>165</v>
      </c>
      <c r="E133" s="430" t="s">
        <v>935</v>
      </c>
      <c r="F133" s="379" t="s">
        <v>880</v>
      </c>
      <c r="G133" s="8"/>
      <c r="H133" s="8"/>
      <c r="I133" s="8"/>
      <c r="J133" s="8"/>
      <c r="K133" s="8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>
        <f t="shared" si="1"/>
        <v>134</v>
      </c>
      <c r="B134" s="370" t="s">
        <v>871</v>
      </c>
      <c r="C134" s="3" t="str">
        <f t="shared" si="3"/>
        <v>=&gt;</v>
      </c>
      <c r="D134" s="8" t="s">
        <v>164</v>
      </c>
      <c r="E134" s="430" t="s">
        <v>935</v>
      </c>
      <c r="F134" s="379" t="s">
        <v>880</v>
      </c>
      <c r="G134" s="8"/>
      <c r="H134" s="8"/>
      <c r="I134" s="8"/>
      <c r="J134" s="8"/>
      <c r="K134" s="8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>
        <f t="shared" si="1"/>
        <v>135</v>
      </c>
      <c r="B135" s="370" t="s">
        <v>871</v>
      </c>
      <c r="C135" s="3" t="str">
        <f t="shared" si="3"/>
        <v>=&gt;</v>
      </c>
      <c r="D135" s="8" t="s">
        <v>8</v>
      </c>
      <c r="E135" s="428"/>
      <c r="F135" s="8"/>
      <c r="G135" s="8"/>
      <c r="H135" s="8"/>
      <c r="I135" s="8"/>
      <c r="J135" s="8"/>
      <c r="K135" s="8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>
        <f t="shared" si="1"/>
        <v>136</v>
      </c>
      <c r="B136" s="431" t="s">
        <v>935</v>
      </c>
      <c r="C136" s="3" t="str">
        <f t="shared" si="3"/>
        <v>=&gt;</v>
      </c>
      <c r="D136" s="427" t="s">
        <v>933</v>
      </c>
      <c r="E136" s="432" t="s">
        <v>870</v>
      </c>
      <c r="F136" s="8"/>
      <c r="G136" s="8"/>
      <c r="H136" s="8"/>
      <c r="I136" s="8"/>
      <c r="J136" s="8"/>
      <c r="K136" s="8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>
        <f t="shared" si="1"/>
        <v>137</v>
      </c>
      <c r="B137" s="379" t="s">
        <v>880</v>
      </c>
      <c r="C137" s="3" t="str">
        <f t="shared" si="3"/>
        <v>=&gt;</v>
      </c>
      <c r="D137" s="8" t="s">
        <v>936</v>
      </c>
      <c r="E137" s="384" t="s">
        <v>886</v>
      </c>
      <c r="F137" s="8"/>
      <c r="G137" s="8"/>
      <c r="H137" s="8"/>
      <c r="I137" s="8"/>
      <c r="J137" s="8"/>
      <c r="K137" s="8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>
        <f t="shared" si="1"/>
        <v>138</v>
      </c>
      <c r="B138" s="379" t="s">
        <v>880</v>
      </c>
      <c r="C138" s="3" t="str">
        <f t="shared" si="3"/>
        <v>=&gt;</v>
      </c>
      <c r="D138" s="8" t="s">
        <v>937</v>
      </c>
      <c r="E138" s="384" t="s">
        <v>886</v>
      </c>
      <c r="F138" s="8"/>
      <c r="G138" s="8"/>
      <c r="H138" s="8"/>
      <c r="I138" s="8"/>
      <c r="J138" s="8"/>
      <c r="K138" s="8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>
        <f t="shared" si="1"/>
        <v>139</v>
      </c>
      <c r="B139" s="379" t="s">
        <v>880</v>
      </c>
      <c r="C139" s="3" t="str">
        <f t="shared" si="3"/>
        <v>=&gt;</v>
      </c>
      <c r="D139" s="417" t="s">
        <v>934</v>
      </c>
      <c r="E139" s="384" t="s">
        <v>886</v>
      </c>
      <c r="F139" s="8"/>
      <c r="G139" s="8"/>
      <c r="H139" s="8"/>
      <c r="I139" s="8"/>
      <c r="J139" s="8"/>
      <c r="K139" s="8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>
        <f t="shared" si="1"/>
        <v>140</v>
      </c>
      <c r="B140" s="379" t="s">
        <v>880</v>
      </c>
      <c r="C140" s="3" t="str">
        <f t="shared" si="3"/>
        <v>=&gt;</v>
      </c>
      <c r="D140" s="8" t="s">
        <v>163</v>
      </c>
      <c r="E140" s="384" t="s">
        <v>886</v>
      </c>
      <c r="F140" s="8"/>
      <c r="G140" s="8"/>
      <c r="H140" s="8"/>
      <c r="I140" s="8"/>
      <c r="J140" s="8"/>
      <c r="K140" s="8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>
        <f t="shared" si="1"/>
        <v>141</v>
      </c>
      <c r="B141" s="379" t="s">
        <v>880</v>
      </c>
      <c r="C141" s="3" t="str">
        <f t="shared" si="3"/>
        <v>=&gt;</v>
      </c>
      <c r="D141" s="8" t="s">
        <v>8</v>
      </c>
      <c r="E141" s="8"/>
      <c r="F141" s="8"/>
      <c r="G141" s="8"/>
      <c r="H141" s="8"/>
      <c r="I141" s="8"/>
      <c r="J141" s="8"/>
      <c r="K141" s="8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>
        <f t="shared" si="1"/>
        <v>142</v>
      </c>
      <c r="B142" s="384" t="s">
        <v>886</v>
      </c>
      <c r="C142" s="3" t="str">
        <f t="shared" si="3"/>
        <v>=&gt;</v>
      </c>
      <c r="D142" s="360" t="s">
        <v>860</v>
      </c>
      <c r="E142" s="368" t="s">
        <v>869</v>
      </c>
      <c r="F142" s="369" t="s">
        <v>870</v>
      </c>
      <c r="G142" s="433" t="s">
        <v>938</v>
      </c>
      <c r="H142" s="8"/>
      <c r="I142" s="8"/>
      <c r="J142" s="8"/>
      <c r="K142" s="8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>
        <f t="shared" si="1"/>
        <v>143</v>
      </c>
      <c r="B143" s="384" t="s">
        <v>886</v>
      </c>
      <c r="C143" s="3" t="str">
        <f t="shared" si="3"/>
        <v>=&gt;</v>
      </c>
      <c r="D143" s="371" t="s">
        <v>872</v>
      </c>
      <c r="E143" s="372" t="s">
        <v>873</v>
      </c>
      <c r="F143" s="373" t="s">
        <v>874</v>
      </c>
      <c r="G143" s="434" t="s">
        <v>939</v>
      </c>
      <c r="H143" s="8"/>
      <c r="I143" s="8"/>
      <c r="J143" s="8"/>
      <c r="K143" s="8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>
        <f t="shared" si="1"/>
        <v>144</v>
      </c>
      <c r="B144" s="384" t="s">
        <v>886</v>
      </c>
      <c r="C144" s="3" t="str">
        <f t="shared" si="3"/>
        <v>=&gt;</v>
      </c>
      <c r="D144" s="375" t="s">
        <v>876</v>
      </c>
      <c r="E144" s="376" t="s">
        <v>877</v>
      </c>
      <c r="F144" s="435" t="s">
        <v>940</v>
      </c>
      <c r="G144" s="8"/>
      <c r="H144" s="8"/>
      <c r="I144" s="8"/>
      <c r="J144" s="8"/>
      <c r="K144" s="8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>
        <f t="shared" si="1"/>
        <v>145</v>
      </c>
      <c r="B145" s="384" t="s">
        <v>886</v>
      </c>
      <c r="C145" s="3" t="str">
        <f t="shared" si="3"/>
        <v>=&gt;</v>
      </c>
      <c r="D145" s="378" t="s">
        <v>879</v>
      </c>
      <c r="E145" s="379" t="s">
        <v>880</v>
      </c>
      <c r="F145" s="8"/>
      <c r="G145" s="8"/>
      <c r="H145" s="8"/>
      <c r="I145" s="8"/>
      <c r="J145" s="8"/>
      <c r="K145" s="8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>
        <f t="shared" si="1"/>
        <v>146</v>
      </c>
      <c r="B146" s="384" t="s">
        <v>886</v>
      </c>
      <c r="C146" s="3" t="str">
        <f t="shared" si="3"/>
        <v>=&gt;</v>
      </c>
      <c r="D146" s="361" t="s">
        <v>861</v>
      </c>
      <c r="E146" s="380" t="s">
        <v>881</v>
      </c>
      <c r="F146" s="381" t="s">
        <v>882</v>
      </c>
      <c r="G146" s="382" t="s">
        <v>883</v>
      </c>
      <c r="H146" s="8"/>
      <c r="I146" s="8"/>
      <c r="J146" s="8"/>
      <c r="K146" s="8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>
        <f t="shared" si="1"/>
        <v>147</v>
      </c>
      <c r="B147" s="384" t="s">
        <v>886</v>
      </c>
      <c r="C147" s="3" t="str">
        <f t="shared" si="3"/>
        <v>=&gt;</v>
      </c>
      <c r="D147" s="8" t="s">
        <v>62</v>
      </c>
      <c r="E147" s="383" t="s">
        <v>884</v>
      </c>
      <c r="F147" s="436" t="s">
        <v>941</v>
      </c>
      <c r="G147" s="8"/>
      <c r="H147" s="8"/>
      <c r="I147" s="8"/>
      <c r="J147" s="8"/>
      <c r="K147" s="8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>
        <f t="shared" si="1"/>
        <v>148</v>
      </c>
      <c r="B148" s="384" t="s">
        <v>886</v>
      </c>
      <c r="C148" s="3" t="str">
        <f t="shared" si="3"/>
        <v>=&gt;</v>
      </c>
      <c r="D148" s="8" t="s">
        <v>885</v>
      </c>
      <c r="E148" s="384" t="s">
        <v>886</v>
      </c>
      <c r="F148" s="8"/>
      <c r="G148" s="8"/>
      <c r="H148" s="8"/>
      <c r="I148" s="8"/>
      <c r="J148" s="8"/>
      <c r="K148" s="8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>
        <f t="shared" si="1"/>
        <v>149</v>
      </c>
      <c r="B149" s="433" t="s">
        <v>938</v>
      </c>
      <c r="C149" s="3" t="str">
        <f t="shared" si="3"/>
        <v>=&gt;</v>
      </c>
      <c r="D149" s="417" t="s">
        <v>934</v>
      </c>
      <c r="E149" s="431" t="s">
        <v>935</v>
      </c>
      <c r="F149" s="379" t="s">
        <v>880</v>
      </c>
      <c r="G149" s="8"/>
      <c r="H149" s="8"/>
      <c r="I149" s="8"/>
      <c r="J149" s="8"/>
      <c r="K149" s="8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>
        <f t="shared" si="1"/>
        <v>150</v>
      </c>
      <c r="B150" s="433" t="s">
        <v>938</v>
      </c>
      <c r="C150" s="3" t="str">
        <f t="shared" si="3"/>
        <v>=&gt;</v>
      </c>
      <c r="D150" s="8" t="s">
        <v>163</v>
      </c>
      <c r="E150" s="431" t="s">
        <v>935</v>
      </c>
      <c r="F150" s="379" t="s">
        <v>880</v>
      </c>
      <c r="G150" s="8"/>
      <c r="H150" s="8"/>
      <c r="I150" s="8"/>
      <c r="J150" s="8"/>
      <c r="K150" s="8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>
        <f t="shared" si="1"/>
        <v>151</v>
      </c>
      <c r="B151" s="433" t="s">
        <v>938</v>
      </c>
      <c r="C151" s="3" t="str">
        <f t="shared" si="3"/>
        <v>=&gt;</v>
      </c>
      <c r="D151" s="8" t="s">
        <v>167</v>
      </c>
      <c r="E151" s="431" t="s">
        <v>935</v>
      </c>
      <c r="F151" s="379" t="s">
        <v>880</v>
      </c>
      <c r="G151" s="8"/>
      <c r="H151" s="8"/>
      <c r="I151" s="8"/>
      <c r="J151" s="8"/>
      <c r="K151" s="8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>
        <f t="shared" si="1"/>
        <v>152</v>
      </c>
      <c r="B152" s="433" t="s">
        <v>938</v>
      </c>
      <c r="C152" s="3" t="str">
        <f t="shared" si="3"/>
        <v>=&gt;</v>
      </c>
      <c r="D152" s="8" t="s">
        <v>166</v>
      </c>
      <c r="E152" s="431" t="s">
        <v>935</v>
      </c>
      <c r="F152" s="379" t="s">
        <v>880</v>
      </c>
      <c r="G152" s="8"/>
      <c r="H152" s="8"/>
      <c r="I152" s="8"/>
      <c r="J152" s="8"/>
      <c r="K152" s="8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>
        <f t="shared" si="1"/>
        <v>153</v>
      </c>
      <c r="B153" s="433" t="s">
        <v>938</v>
      </c>
      <c r="C153" s="3" t="str">
        <f t="shared" si="3"/>
        <v>=&gt;</v>
      </c>
      <c r="D153" s="8" t="s">
        <v>165</v>
      </c>
      <c r="E153" s="431" t="s">
        <v>935</v>
      </c>
      <c r="F153" s="379" t="s">
        <v>880</v>
      </c>
      <c r="G153" s="8"/>
      <c r="H153" s="8"/>
      <c r="I153" s="8"/>
      <c r="J153" s="8"/>
      <c r="K153" s="8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>
        <f t="shared" si="1"/>
        <v>154</v>
      </c>
      <c r="B154" s="433" t="s">
        <v>938</v>
      </c>
      <c r="C154" s="3" t="str">
        <f t="shared" si="3"/>
        <v>=&gt;</v>
      </c>
      <c r="D154" s="8" t="s">
        <v>164</v>
      </c>
      <c r="E154" s="431" t="s">
        <v>935</v>
      </c>
      <c r="F154" s="379" t="s">
        <v>880</v>
      </c>
      <c r="G154" s="8"/>
      <c r="H154" s="8"/>
      <c r="I154" s="8"/>
      <c r="J154" s="8"/>
      <c r="K154" s="8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>
        <f t="shared" si="1"/>
        <v>155</v>
      </c>
      <c r="B155" s="372" t="s">
        <v>873</v>
      </c>
      <c r="C155" s="3" t="str">
        <f t="shared" si="3"/>
        <v>=&gt;</v>
      </c>
      <c r="D155" s="8" t="s">
        <v>887</v>
      </c>
      <c r="E155" s="437" t="s">
        <v>942</v>
      </c>
      <c r="F155" s="372" t="s">
        <v>873</v>
      </c>
      <c r="G155" s="8"/>
      <c r="H155" s="8"/>
      <c r="I155" s="8"/>
      <c r="J155" s="8"/>
      <c r="K155" s="8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>
        <f t="shared" si="1"/>
        <v>156</v>
      </c>
      <c r="B156" s="372" t="s">
        <v>873</v>
      </c>
      <c r="C156" s="3" t="str">
        <f t="shared" si="3"/>
        <v>=&gt;</v>
      </c>
      <c r="D156" s="8" t="s">
        <v>120</v>
      </c>
      <c r="E156" s="437" t="s">
        <v>942</v>
      </c>
      <c r="F156" s="372" t="s">
        <v>873</v>
      </c>
      <c r="G156" s="8"/>
      <c r="H156" s="8"/>
      <c r="I156" s="8"/>
      <c r="J156" s="8"/>
      <c r="K156" s="8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>
        <f t="shared" si="1"/>
        <v>157</v>
      </c>
      <c r="B157" s="372" t="s">
        <v>873</v>
      </c>
      <c r="C157" s="3" t="str">
        <f t="shared" si="3"/>
        <v>=&gt;</v>
      </c>
      <c r="D157" s="428" t="s">
        <v>8</v>
      </c>
      <c r="E157" s="8"/>
      <c r="F157" s="8"/>
      <c r="G157" s="8"/>
      <c r="H157" s="8"/>
      <c r="I157" s="8"/>
      <c r="J157" s="8"/>
      <c r="K157" s="8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>
        <f t="shared" si="1"/>
        <v>158</v>
      </c>
      <c r="B158" s="438" t="s">
        <v>942</v>
      </c>
      <c r="C158" s="3" t="str">
        <f t="shared" si="3"/>
        <v>=&gt;</v>
      </c>
      <c r="D158" s="371" t="s">
        <v>872</v>
      </c>
      <c r="E158" s="8"/>
      <c r="F158" s="8"/>
      <c r="G158" s="8"/>
      <c r="H158" s="8"/>
      <c r="I158" s="8"/>
      <c r="J158" s="8"/>
      <c r="K158" s="8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>
        <f t="shared" si="1"/>
        <v>159</v>
      </c>
      <c r="B159" s="438" t="s">
        <v>942</v>
      </c>
      <c r="C159" s="3" t="str">
        <f t="shared" si="3"/>
        <v>=&gt;</v>
      </c>
      <c r="D159" s="361" t="s">
        <v>861</v>
      </c>
      <c r="E159" s="8"/>
      <c r="F159" s="8"/>
      <c r="G159" s="8"/>
      <c r="H159" s="8"/>
      <c r="I159" s="8"/>
      <c r="J159" s="8"/>
      <c r="K159" s="8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>
        <f t="shared" si="1"/>
        <v>160</v>
      </c>
      <c r="B160" s="438" t="s">
        <v>942</v>
      </c>
      <c r="C160" s="3" t="str">
        <f t="shared" si="3"/>
        <v>=&gt;</v>
      </c>
      <c r="D160" s="8" t="s">
        <v>62</v>
      </c>
      <c r="E160" s="439" t="s">
        <v>943</v>
      </c>
      <c r="F160" s="8"/>
      <c r="G160" s="8"/>
      <c r="H160" s="8"/>
      <c r="I160" s="8"/>
      <c r="J160" s="8"/>
      <c r="K160" s="8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>
        <f t="shared" si="1"/>
        <v>161</v>
      </c>
      <c r="B161" s="439" t="s">
        <v>943</v>
      </c>
      <c r="C161" s="3" t="str">
        <f t="shared" si="3"/>
        <v>=&gt;</v>
      </c>
      <c r="D161" s="371" t="s">
        <v>872</v>
      </c>
      <c r="E161" s="372" t="s">
        <v>873</v>
      </c>
      <c r="F161" s="373" t="s">
        <v>874</v>
      </c>
      <c r="G161" s="440" t="s">
        <v>944</v>
      </c>
      <c r="H161" s="8"/>
      <c r="I161" s="8"/>
      <c r="J161" s="8"/>
      <c r="K161" s="8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>
        <f t="shared" si="1"/>
        <v>162</v>
      </c>
      <c r="B162" s="439" t="s">
        <v>943</v>
      </c>
      <c r="C162" s="3" t="str">
        <f t="shared" si="3"/>
        <v>=&gt;</v>
      </c>
      <c r="D162" s="361" t="s">
        <v>861</v>
      </c>
      <c r="E162" s="372" t="s">
        <v>873</v>
      </c>
      <c r="F162" s="373" t="s">
        <v>874</v>
      </c>
      <c r="G162" s="440" t="s">
        <v>944</v>
      </c>
      <c r="H162" s="8"/>
      <c r="I162" s="8"/>
      <c r="J162" s="8"/>
      <c r="K162" s="8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>
        <f t="shared" si="1"/>
        <v>163</v>
      </c>
      <c r="B163" s="439" t="s">
        <v>943</v>
      </c>
      <c r="C163" s="3" t="str">
        <f t="shared" si="3"/>
        <v>=&gt;</v>
      </c>
      <c r="D163" s="8" t="s">
        <v>62</v>
      </c>
      <c r="E163" s="439" t="s">
        <v>943</v>
      </c>
      <c r="F163" s="441" t="s">
        <v>945</v>
      </c>
      <c r="G163" s="8"/>
      <c r="H163" s="8"/>
      <c r="I163" s="8"/>
      <c r="J163" s="8"/>
      <c r="K163" s="8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>
        <f t="shared" si="1"/>
        <v>164</v>
      </c>
      <c r="B164" s="373" t="s">
        <v>874</v>
      </c>
      <c r="C164" s="3" t="str">
        <f t="shared" si="3"/>
        <v>=&gt;</v>
      </c>
      <c r="D164" s="417" t="s">
        <v>924</v>
      </c>
      <c r="E164" s="442" t="s">
        <v>946</v>
      </c>
      <c r="F164" s="373" t="s">
        <v>874</v>
      </c>
      <c r="G164" s="8"/>
      <c r="H164" s="8"/>
      <c r="I164" s="8"/>
      <c r="J164" s="8"/>
      <c r="K164" s="8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>
        <f t="shared" si="1"/>
        <v>165</v>
      </c>
      <c r="B165" s="373" t="s">
        <v>874</v>
      </c>
      <c r="C165" s="3" t="str">
        <f t="shared" si="3"/>
        <v>=&gt;</v>
      </c>
      <c r="D165" s="8" t="s">
        <v>41</v>
      </c>
      <c r="E165" s="442" t="s">
        <v>946</v>
      </c>
      <c r="F165" s="373" t="s">
        <v>874</v>
      </c>
      <c r="G165" s="8"/>
      <c r="H165" s="8"/>
      <c r="I165" s="8"/>
      <c r="J165" s="8"/>
      <c r="K165" s="8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>
        <f t="shared" si="1"/>
        <v>166</v>
      </c>
      <c r="B166" s="373" t="s">
        <v>874</v>
      </c>
      <c r="C166" s="3" t="str">
        <f t="shared" si="3"/>
        <v>=&gt;</v>
      </c>
      <c r="D166" s="8" t="s">
        <v>8</v>
      </c>
      <c r="E166" s="8"/>
      <c r="F166" s="8"/>
      <c r="G166" s="8"/>
      <c r="H166" s="8"/>
      <c r="I166" s="8"/>
      <c r="J166" s="8"/>
      <c r="K166" s="8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>
        <f t="shared" si="1"/>
        <v>167</v>
      </c>
      <c r="B167" s="442" t="s">
        <v>946</v>
      </c>
      <c r="C167" s="3" t="str">
        <f t="shared" si="3"/>
        <v>=&gt;</v>
      </c>
      <c r="D167" s="438" t="s">
        <v>942</v>
      </c>
      <c r="E167" s="372" t="s">
        <v>873</v>
      </c>
      <c r="F167" s="8"/>
      <c r="G167" s="8"/>
      <c r="H167" s="8"/>
      <c r="I167" s="8"/>
      <c r="J167" s="8"/>
      <c r="K167" s="8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>
        <f t="shared" si="1"/>
        <v>168</v>
      </c>
      <c r="B168" s="440" t="s">
        <v>944</v>
      </c>
      <c r="C168" s="3" t="str">
        <f t="shared" si="3"/>
        <v>=&gt;</v>
      </c>
      <c r="D168" s="8" t="s">
        <v>64</v>
      </c>
      <c r="E168" s="8"/>
      <c r="F168" s="8"/>
      <c r="G168" s="8"/>
      <c r="H168" s="8"/>
      <c r="I168" s="8"/>
      <c r="J168" s="8"/>
      <c r="K168" s="8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>
        <f t="shared" si="1"/>
        <v>169</v>
      </c>
      <c r="B169" s="441" t="s">
        <v>945</v>
      </c>
      <c r="C169" s="3" t="str">
        <f t="shared" si="3"/>
        <v>=&gt;</v>
      </c>
      <c r="D169" s="8" t="s">
        <v>64</v>
      </c>
      <c r="E169" s="8"/>
      <c r="F169" s="8"/>
      <c r="G169" s="8"/>
      <c r="H169" s="8"/>
      <c r="I169" s="8"/>
      <c r="J169" s="8"/>
      <c r="K169" s="8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>
        <f t="shared" si="1"/>
        <v>170</v>
      </c>
      <c r="B170" s="434" t="s">
        <v>939</v>
      </c>
      <c r="C170" s="3" t="str">
        <f t="shared" si="3"/>
        <v>=&gt;</v>
      </c>
      <c r="D170" s="417" t="s">
        <v>934</v>
      </c>
      <c r="E170" s="443" t="s">
        <v>947</v>
      </c>
      <c r="F170" s="379" t="s">
        <v>880</v>
      </c>
      <c r="G170" s="8"/>
      <c r="H170" s="8"/>
      <c r="I170" s="8"/>
      <c r="J170" s="8"/>
      <c r="K170" s="8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>
        <f t="shared" si="1"/>
        <v>171</v>
      </c>
      <c r="B171" s="434" t="s">
        <v>939</v>
      </c>
      <c r="C171" s="3" t="str">
        <f t="shared" si="3"/>
        <v>=&gt;</v>
      </c>
      <c r="D171" s="8" t="s">
        <v>163</v>
      </c>
      <c r="E171" s="443" t="s">
        <v>947</v>
      </c>
      <c r="F171" s="379" t="s">
        <v>880</v>
      </c>
      <c r="G171" s="8"/>
      <c r="H171" s="8"/>
      <c r="I171" s="8"/>
      <c r="J171" s="8"/>
      <c r="K171" s="8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>
        <f t="shared" si="1"/>
        <v>172</v>
      </c>
      <c r="B172" s="434" t="s">
        <v>939</v>
      </c>
      <c r="C172" s="3" t="str">
        <f t="shared" si="3"/>
        <v>=&gt;</v>
      </c>
      <c r="D172" s="8" t="s">
        <v>167</v>
      </c>
      <c r="E172" s="443" t="s">
        <v>947</v>
      </c>
      <c r="F172" s="379" t="s">
        <v>880</v>
      </c>
      <c r="G172" s="8"/>
      <c r="H172" s="8"/>
      <c r="I172" s="8"/>
      <c r="J172" s="8"/>
      <c r="K172" s="8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>
        <f t="shared" si="1"/>
        <v>173</v>
      </c>
      <c r="B173" s="434" t="s">
        <v>939</v>
      </c>
      <c r="C173" s="3" t="str">
        <f t="shared" si="3"/>
        <v>=&gt;</v>
      </c>
      <c r="D173" s="8" t="s">
        <v>166</v>
      </c>
      <c r="E173" s="443" t="s">
        <v>947</v>
      </c>
      <c r="F173" s="379" t="s">
        <v>880</v>
      </c>
      <c r="G173" s="8"/>
      <c r="H173" s="8"/>
      <c r="I173" s="8"/>
      <c r="J173" s="8"/>
      <c r="K173" s="8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>
        <f t="shared" si="1"/>
        <v>174</v>
      </c>
      <c r="B174" s="434" t="s">
        <v>939</v>
      </c>
      <c r="C174" s="3" t="str">
        <f t="shared" si="3"/>
        <v>=&gt;</v>
      </c>
      <c r="D174" s="8" t="s">
        <v>165</v>
      </c>
      <c r="E174" s="443" t="s">
        <v>947</v>
      </c>
      <c r="F174" s="379" t="s">
        <v>880</v>
      </c>
      <c r="G174" s="8"/>
      <c r="H174" s="8"/>
      <c r="I174" s="8"/>
      <c r="J174" s="8"/>
      <c r="K174" s="8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>
        <f t="shared" si="1"/>
        <v>175</v>
      </c>
      <c r="B175" s="434" t="s">
        <v>939</v>
      </c>
      <c r="C175" s="3" t="str">
        <f t="shared" si="3"/>
        <v>=&gt;</v>
      </c>
      <c r="D175" s="8" t="s">
        <v>164</v>
      </c>
      <c r="E175" s="443" t="s">
        <v>947</v>
      </c>
      <c r="F175" s="379" t="s">
        <v>880</v>
      </c>
      <c r="G175" s="8"/>
      <c r="H175" s="8"/>
      <c r="I175" s="8"/>
      <c r="J175" s="8"/>
      <c r="K175" s="8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>
        <f t="shared" si="1"/>
        <v>176</v>
      </c>
      <c r="B176" s="443" t="s">
        <v>947</v>
      </c>
      <c r="C176" s="3" t="str">
        <f t="shared" si="3"/>
        <v>=&gt;</v>
      </c>
      <c r="D176" s="442" t="s">
        <v>946</v>
      </c>
      <c r="E176" s="373" t="s">
        <v>874</v>
      </c>
      <c r="F176" s="8"/>
      <c r="G176" s="8"/>
      <c r="H176" s="8"/>
      <c r="I176" s="8"/>
      <c r="J176" s="8"/>
      <c r="K176" s="8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>
        <f t="shared" si="1"/>
        <v>177</v>
      </c>
      <c r="B177" s="376" t="s">
        <v>877</v>
      </c>
      <c r="C177" s="3" t="str">
        <f t="shared" si="3"/>
        <v>=&gt;</v>
      </c>
      <c r="D177" s="417" t="s">
        <v>924</v>
      </c>
      <c r="E177" s="444" t="s">
        <v>948</v>
      </c>
      <c r="F177" s="376" t="s">
        <v>877</v>
      </c>
      <c r="G177" s="8"/>
      <c r="H177" s="8"/>
      <c r="I177" s="8"/>
      <c r="J177" s="8"/>
      <c r="K177" s="8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>
        <f t="shared" si="1"/>
        <v>178</v>
      </c>
      <c r="B178" s="376" t="s">
        <v>877</v>
      </c>
      <c r="C178" s="3" t="str">
        <f t="shared" si="3"/>
        <v>=&gt;</v>
      </c>
      <c r="D178" s="8" t="s">
        <v>8</v>
      </c>
      <c r="E178" s="8"/>
      <c r="F178" s="8"/>
      <c r="G178" s="8"/>
      <c r="H178" s="8"/>
      <c r="I178" s="8"/>
      <c r="J178" s="8"/>
      <c r="K178" s="8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>
        <f t="shared" si="1"/>
        <v>179</v>
      </c>
      <c r="B179" s="444" t="s">
        <v>948</v>
      </c>
      <c r="C179" s="3" t="str">
        <f t="shared" si="3"/>
        <v>=&gt;</v>
      </c>
      <c r="D179" s="375" t="s">
        <v>876</v>
      </c>
      <c r="E179" s="8"/>
      <c r="F179" s="8"/>
      <c r="G179" s="8"/>
      <c r="H179" s="8"/>
      <c r="I179" s="8"/>
      <c r="J179" s="8"/>
      <c r="K179" s="8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>
        <f t="shared" si="1"/>
        <v>180</v>
      </c>
      <c r="B180" s="444" t="s">
        <v>948</v>
      </c>
      <c r="C180" s="3" t="str">
        <f t="shared" si="3"/>
        <v>=&gt;</v>
      </c>
      <c r="D180" s="361" t="s">
        <v>861</v>
      </c>
      <c r="E180" s="8"/>
      <c r="F180" s="8"/>
      <c r="G180" s="8"/>
      <c r="H180" s="8"/>
      <c r="I180" s="8"/>
      <c r="J180" s="8"/>
      <c r="K180" s="8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>
        <f t="shared" si="1"/>
        <v>181</v>
      </c>
      <c r="B181" s="444" t="s">
        <v>948</v>
      </c>
      <c r="C181" s="3" t="str">
        <f t="shared" si="3"/>
        <v>=&gt;</v>
      </c>
      <c r="D181" s="8" t="s">
        <v>62</v>
      </c>
      <c r="E181" s="445" t="s">
        <v>949</v>
      </c>
      <c r="F181" s="8"/>
      <c r="G181" s="8"/>
      <c r="H181" s="8"/>
      <c r="I181" s="8"/>
      <c r="J181" s="8"/>
      <c r="K181" s="8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>
        <f t="shared" si="1"/>
        <v>182</v>
      </c>
      <c r="B182" s="445" t="s">
        <v>949</v>
      </c>
      <c r="C182" s="3" t="str">
        <f t="shared" si="3"/>
        <v>=&gt;</v>
      </c>
      <c r="D182" s="375" t="s">
        <v>876</v>
      </c>
      <c r="E182" s="376" t="s">
        <v>877</v>
      </c>
      <c r="F182" s="446" t="s">
        <v>950</v>
      </c>
      <c r="G182" s="8"/>
      <c r="H182" s="8"/>
      <c r="I182" s="8"/>
      <c r="J182" s="8"/>
      <c r="K182" s="8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>
        <f t="shared" si="1"/>
        <v>183</v>
      </c>
      <c r="B183" s="445" t="s">
        <v>949</v>
      </c>
      <c r="C183" s="3" t="str">
        <f t="shared" si="3"/>
        <v>=&gt;</v>
      </c>
      <c r="D183" s="361" t="s">
        <v>861</v>
      </c>
      <c r="E183" s="376" t="s">
        <v>877</v>
      </c>
      <c r="F183" s="446" t="s">
        <v>950</v>
      </c>
      <c r="G183" s="8"/>
      <c r="H183" s="8"/>
      <c r="I183" s="8"/>
      <c r="J183" s="8"/>
      <c r="K183" s="8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>
        <f t="shared" si="1"/>
        <v>184</v>
      </c>
      <c r="B184" s="445" t="s">
        <v>949</v>
      </c>
      <c r="C184" s="3" t="str">
        <f t="shared" si="3"/>
        <v>=&gt;</v>
      </c>
      <c r="D184" s="8" t="s">
        <v>62</v>
      </c>
      <c r="E184" s="445" t="s">
        <v>949</v>
      </c>
      <c r="F184" s="447" t="s">
        <v>951</v>
      </c>
      <c r="G184" s="8"/>
      <c r="H184" s="8"/>
      <c r="I184" s="8"/>
      <c r="J184" s="8"/>
      <c r="K184" s="8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>
        <f t="shared" si="1"/>
        <v>185</v>
      </c>
      <c r="B185" s="446" t="s">
        <v>950</v>
      </c>
      <c r="C185" s="3" t="str">
        <f t="shared" si="3"/>
        <v>=&gt;</v>
      </c>
      <c r="D185" s="8" t="s">
        <v>64</v>
      </c>
      <c r="E185" s="8"/>
      <c r="F185" s="8"/>
      <c r="G185" s="8"/>
      <c r="H185" s="8"/>
      <c r="I185" s="8"/>
      <c r="J185" s="8"/>
      <c r="K185" s="8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>
        <f t="shared" si="1"/>
        <v>186</v>
      </c>
      <c r="B186" s="447" t="s">
        <v>951</v>
      </c>
      <c r="C186" s="3" t="str">
        <f t="shared" si="3"/>
        <v>=&gt;</v>
      </c>
      <c r="D186" s="8" t="s">
        <v>64</v>
      </c>
      <c r="E186" s="8"/>
      <c r="F186" s="8"/>
      <c r="G186" s="8"/>
      <c r="H186" s="8"/>
      <c r="I186" s="8"/>
      <c r="J186" s="8"/>
      <c r="K186" s="8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>
        <f t="shared" si="1"/>
        <v>187</v>
      </c>
      <c r="B187" s="435" t="s">
        <v>940</v>
      </c>
      <c r="C187" s="3" t="str">
        <f t="shared" si="3"/>
        <v>=&gt;</v>
      </c>
      <c r="D187" s="417" t="s">
        <v>934</v>
      </c>
      <c r="E187" s="448" t="s">
        <v>952</v>
      </c>
      <c r="F187" s="379" t="s">
        <v>880</v>
      </c>
      <c r="G187" s="8"/>
      <c r="H187" s="8"/>
      <c r="I187" s="8"/>
      <c r="J187" s="8"/>
      <c r="K187" s="8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>
        <f t="shared" si="1"/>
        <v>188</v>
      </c>
      <c r="B188" s="435" t="s">
        <v>940</v>
      </c>
      <c r="C188" s="3" t="str">
        <f t="shared" si="3"/>
        <v>=&gt;</v>
      </c>
      <c r="D188" s="8" t="s">
        <v>163</v>
      </c>
      <c r="E188" s="448" t="s">
        <v>952</v>
      </c>
      <c r="F188" s="379" t="s">
        <v>880</v>
      </c>
      <c r="G188" s="8"/>
      <c r="H188" s="8"/>
      <c r="I188" s="8"/>
      <c r="J188" s="8"/>
      <c r="K188" s="8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>
        <f t="shared" si="1"/>
        <v>189</v>
      </c>
      <c r="B189" s="449" t="s">
        <v>940</v>
      </c>
      <c r="C189" s="3" t="str">
        <f t="shared" si="3"/>
        <v>=&gt;</v>
      </c>
      <c r="D189" s="21" t="s">
        <v>167</v>
      </c>
      <c r="E189" s="450" t="s">
        <v>952</v>
      </c>
      <c r="F189" s="379" t="s">
        <v>880</v>
      </c>
      <c r="G189" s="8"/>
      <c r="H189" s="8"/>
      <c r="I189" s="8"/>
      <c r="J189" s="8"/>
      <c r="K189" s="8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>
        <f t="shared" si="1"/>
        <v>190</v>
      </c>
      <c r="B190" s="449" t="s">
        <v>940</v>
      </c>
      <c r="C190" s="3" t="str">
        <f t="shared" si="3"/>
        <v>=&gt;</v>
      </c>
      <c r="D190" s="21" t="s">
        <v>166</v>
      </c>
      <c r="E190" s="450" t="s">
        <v>952</v>
      </c>
      <c r="F190" s="379" t="s">
        <v>880</v>
      </c>
      <c r="G190" s="8"/>
      <c r="H190" s="8"/>
      <c r="I190" s="8"/>
      <c r="J190" s="8"/>
      <c r="K190" s="8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>
        <f t="shared" si="1"/>
        <v>191</v>
      </c>
      <c r="B191" s="449" t="s">
        <v>940</v>
      </c>
      <c r="C191" s="3" t="str">
        <f t="shared" si="3"/>
        <v>=&gt;</v>
      </c>
      <c r="D191" s="21" t="s">
        <v>165</v>
      </c>
      <c r="E191" s="450" t="s">
        <v>952</v>
      </c>
      <c r="F191" s="379" t="s">
        <v>880</v>
      </c>
      <c r="G191" s="8"/>
      <c r="H191" s="8"/>
      <c r="I191" s="8"/>
      <c r="J191" s="8"/>
      <c r="K191" s="8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>
        <f t="shared" si="1"/>
        <v>192</v>
      </c>
      <c r="B192" s="449" t="s">
        <v>940</v>
      </c>
      <c r="C192" s="3" t="str">
        <f t="shared" si="3"/>
        <v>=&gt;</v>
      </c>
      <c r="D192" s="21" t="s">
        <v>164</v>
      </c>
      <c r="E192" s="450" t="s">
        <v>952</v>
      </c>
      <c r="F192" s="379" t="s">
        <v>880</v>
      </c>
      <c r="G192" s="8"/>
      <c r="H192" s="8"/>
      <c r="I192" s="8"/>
      <c r="J192" s="8"/>
      <c r="K192" s="8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>
        <f t="shared" si="1"/>
        <v>193</v>
      </c>
      <c r="B193" s="448" t="s">
        <v>952</v>
      </c>
      <c r="C193" s="3" t="str">
        <f t="shared" si="3"/>
        <v>=&gt;</v>
      </c>
      <c r="D193" s="444" t="s">
        <v>948</v>
      </c>
      <c r="E193" s="376" t="s">
        <v>877</v>
      </c>
      <c r="F193" s="8"/>
      <c r="G193" s="8"/>
      <c r="H193" s="8"/>
      <c r="I193" s="8"/>
      <c r="J193" s="8"/>
      <c r="K193" s="8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>
        <f t="shared" si="1"/>
        <v>194</v>
      </c>
      <c r="B194" s="380" t="s">
        <v>881</v>
      </c>
      <c r="C194" s="3" t="str">
        <f t="shared" si="3"/>
        <v>=&gt;</v>
      </c>
      <c r="D194" s="8" t="s">
        <v>887</v>
      </c>
      <c r="E194" s="451" t="s">
        <v>953</v>
      </c>
      <c r="F194" s="380" t="s">
        <v>881</v>
      </c>
      <c r="G194" s="8"/>
      <c r="H194" s="8"/>
      <c r="I194" s="8"/>
      <c r="J194" s="8"/>
      <c r="K194" s="8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>
        <f t="shared" si="1"/>
        <v>195</v>
      </c>
      <c r="B195" s="380" t="s">
        <v>881</v>
      </c>
      <c r="C195" s="3" t="str">
        <f t="shared" si="3"/>
        <v>=&gt;</v>
      </c>
      <c r="D195" s="8" t="s">
        <v>120</v>
      </c>
      <c r="E195" s="451" t="s">
        <v>953</v>
      </c>
      <c r="F195" s="380" t="s">
        <v>881</v>
      </c>
      <c r="G195" s="8"/>
      <c r="H195" s="8"/>
      <c r="I195" s="8"/>
      <c r="J195" s="8"/>
      <c r="K195" s="8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>
        <f t="shared" si="1"/>
        <v>196</v>
      </c>
      <c r="B196" s="380" t="s">
        <v>881</v>
      </c>
      <c r="C196" s="3" t="str">
        <f t="shared" si="3"/>
        <v>=&gt;</v>
      </c>
      <c r="D196" s="8" t="s">
        <v>121</v>
      </c>
      <c r="E196" s="451" t="s">
        <v>953</v>
      </c>
      <c r="F196" s="380" t="s">
        <v>881</v>
      </c>
      <c r="G196" s="8"/>
      <c r="H196" s="8"/>
      <c r="I196" s="8"/>
      <c r="J196" s="8"/>
      <c r="K196" s="8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>
        <f t="shared" si="1"/>
        <v>197</v>
      </c>
      <c r="B197" s="380" t="s">
        <v>881</v>
      </c>
      <c r="C197" s="3" t="str">
        <f t="shared" si="3"/>
        <v>=&gt;</v>
      </c>
      <c r="D197" s="8" t="s">
        <v>8</v>
      </c>
      <c r="E197" s="8"/>
      <c r="F197" s="8"/>
      <c r="G197" s="8"/>
      <c r="H197" s="8"/>
      <c r="I197" s="8"/>
      <c r="J197" s="8"/>
      <c r="K197" s="8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>
        <f t="shared" si="1"/>
        <v>198</v>
      </c>
      <c r="B198" s="451" t="s">
        <v>953</v>
      </c>
      <c r="C198" s="3" t="str">
        <f t="shared" si="3"/>
        <v>=&gt;</v>
      </c>
      <c r="D198" s="361" t="s">
        <v>861</v>
      </c>
      <c r="E198" s="8"/>
      <c r="F198" s="8"/>
      <c r="G198" s="8"/>
      <c r="H198" s="8"/>
      <c r="I198" s="8"/>
      <c r="J198" s="8"/>
      <c r="K198" s="8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>
        <f t="shared" si="1"/>
        <v>199</v>
      </c>
      <c r="B199" s="451" t="s">
        <v>953</v>
      </c>
      <c r="C199" s="3" t="str">
        <f t="shared" si="3"/>
        <v>=&gt;</v>
      </c>
      <c r="D199" s="360" t="s">
        <v>860</v>
      </c>
      <c r="E199" s="8"/>
      <c r="F199" s="8"/>
      <c r="G199" s="8"/>
      <c r="H199" s="8"/>
      <c r="I199" s="8"/>
      <c r="J199" s="8"/>
      <c r="K199" s="8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>
        <f t="shared" si="1"/>
        <v>200</v>
      </c>
      <c r="B200" s="451" t="s">
        <v>953</v>
      </c>
      <c r="C200" s="3" t="str">
        <f t="shared" si="3"/>
        <v>=&gt;</v>
      </c>
      <c r="D200" s="371" t="s">
        <v>872</v>
      </c>
      <c r="E200" s="8"/>
      <c r="F200" s="8"/>
      <c r="G200" s="8"/>
      <c r="H200" s="8"/>
      <c r="I200" s="8"/>
      <c r="J200" s="8"/>
      <c r="K200" s="8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>
        <f t="shared" si="1"/>
        <v>201</v>
      </c>
      <c r="B201" s="451" t="s">
        <v>953</v>
      </c>
      <c r="C201" s="3" t="str">
        <f t="shared" si="3"/>
        <v>=&gt;</v>
      </c>
      <c r="D201" s="375" t="s">
        <v>876</v>
      </c>
      <c r="E201" s="8"/>
      <c r="F201" s="8"/>
      <c r="G201" s="8"/>
      <c r="H201" s="8"/>
      <c r="I201" s="8"/>
      <c r="J201" s="8"/>
      <c r="K201" s="8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>
        <f t="shared" si="1"/>
        <v>202</v>
      </c>
      <c r="B202" s="451" t="s">
        <v>953</v>
      </c>
      <c r="C202" s="3" t="str">
        <f t="shared" si="3"/>
        <v>=&gt;</v>
      </c>
      <c r="D202" s="378" t="s">
        <v>879</v>
      </c>
      <c r="E202" s="8"/>
      <c r="F202" s="8"/>
      <c r="G202" s="8"/>
      <c r="H202" s="8"/>
      <c r="I202" s="8"/>
      <c r="J202" s="8"/>
      <c r="K202" s="8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>
        <f t="shared" si="1"/>
        <v>203</v>
      </c>
      <c r="B203" s="451" t="s">
        <v>953</v>
      </c>
      <c r="C203" s="3" t="str">
        <f t="shared" si="3"/>
        <v>=&gt;</v>
      </c>
      <c r="D203" s="8" t="s">
        <v>62</v>
      </c>
      <c r="E203" s="363" t="s">
        <v>863</v>
      </c>
      <c r="F203" s="8" t="s">
        <v>64</v>
      </c>
      <c r="G203" s="8"/>
      <c r="H203" s="8"/>
      <c r="I203" s="8"/>
      <c r="J203" s="8"/>
      <c r="K203" s="8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>
        <f t="shared" si="1"/>
        <v>204</v>
      </c>
      <c r="B204" s="381" t="s">
        <v>882</v>
      </c>
      <c r="C204" s="3" t="str">
        <f t="shared" si="3"/>
        <v>=&gt;</v>
      </c>
      <c r="D204" s="417" t="s">
        <v>924</v>
      </c>
      <c r="E204" s="452" t="s">
        <v>954</v>
      </c>
      <c r="F204" s="381" t="s">
        <v>882</v>
      </c>
      <c r="G204" s="8"/>
      <c r="H204" s="8"/>
      <c r="I204" s="8"/>
      <c r="J204" s="8"/>
      <c r="K204" s="8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>
        <f t="shared" si="1"/>
        <v>205</v>
      </c>
      <c r="B205" s="381" t="s">
        <v>882</v>
      </c>
      <c r="C205" s="3" t="str">
        <f t="shared" si="3"/>
        <v>=&gt;</v>
      </c>
      <c r="D205" s="8" t="s">
        <v>41</v>
      </c>
      <c r="E205" s="452" t="s">
        <v>954</v>
      </c>
      <c r="F205" s="381" t="s">
        <v>882</v>
      </c>
      <c r="G205" s="8"/>
      <c r="H205" s="8"/>
      <c r="I205" s="8"/>
      <c r="J205" s="8"/>
      <c r="K205" s="8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>
        <f t="shared" si="1"/>
        <v>206</v>
      </c>
      <c r="B206" s="381" t="s">
        <v>882</v>
      </c>
      <c r="C206" s="3" t="str">
        <f t="shared" si="3"/>
        <v>=&gt;</v>
      </c>
      <c r="D206" s="8" t="s">
        <v>8</v>
      </c>
      <c r="E206" s="8"/>
      <c r="F206" s="8"/>
      <c r="G206" s="8"/>
      <c r="H206" s="8"/>
      <c r="I206" s="8"/>
      <c r="J206" s="8"/>
      <c r="K206" s="8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>
        <f t="shared" si="1"/>
        <v>207</v>
      </c>
      <c r="B207" s="452" t="s">
        <v>954</v>
      </c>
      <c r="C207" s="3" t="str">
        <f t="shared" si="3"/>
        <v>=&gt;</v>
      </c>
      <c r="D207" s="451" t="s">
        <v>953</v>
      </c>
      <c r="E207" s="380" t="s">
        <v>881</v>
      </c>
      <c r="F207" s="8"/>
      <c r="G207" s="8"/>
      <c r="H207" s="8"/>
      <c r="I207" s="8"/>
      <c r="J207" s="8"/>
      <c r="K207" s="8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>
        <f t="shared" si="1"/>
        <v>208</v>
      </c>
      <c r="B208" s="382" t="s">
        <v>883</v>
      </c>
      <c r="C208" s="3" t="str">
        <f t="shared" si="3"/>
        <v>=&gt;</v>
      </c>
      <c r="D208" s="417" t="s">
        <v>934</v>
      </c>
      <c r="E208" s="453" t="s">
        <v>955</v>
      </c>
      <c r="F208" s="379" t="s">
        <v>880</v>
      </c>
      <c r="G208" s="8"/>
      <c r="H208" s="8"/>
      <c r="I208" s="8"/>
      <c r="J208" s="8"/>
      <c r="K208" s="8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>
        <f t="shared" si="1"/>
        <v>209</v>
      </c>
      <c r="B209" s="382" t="s">
        <v>883</v>
      </c>
      <c r="C209" s="3" t="str">
        <f t="shared" si="3"/>
        <v>=&gt;</v>
      </c>
      <c r="D209" s="8" t="s">
        <v>163</v>
      </c>
      <c r="E209" s="453" t="s">
        <v>955</v>
      </c>
      <c r="F209" s="379" t="s">
        <v>880</v>
      </c>
      <c r="G209" s="8"/>
      <c r="H209" s="8"/>
      <c r="I209" s="8"/>
      <c r="J209" s="8"/>
      <c r="K209" s="8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>
        <f t="shared" si="1"/>
        <v>210</v>
      </c>
      <c r="B210" s="382" t="s">
        <v>883</v>
      </c>
      <c r="C210" s="3" t="str">
        <f t="shared" si="3"/>
        <v>=&gt;</v>
      </c>
      <c r="D210" s="8" t="s">
        <v>167</v>
      </c>
      <c r="E210" s="453" t="s">
        <v>955</v>
      </c>
      <c r="F210" s="379" t="s">
        <v>880</v>
      </c>
      <c r="G210" s="8"/>
      <c r="H210" s="8"/>
      <c r="I210" s="8"/>
      <c r="J210" s="8"/>
      <c r="K210" s="8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>
        <f t="shared" si="1"/>
        <v>211</v>
      </c>
      <c r="B211" s="382" t="s">
        <v>883</v>
      </c>
      <c r="C211" s="3" t="str">
        <f t="shared" si="3"/>
        <v>=&gt;</v>
      </c>
      <c r="D211" s="8" t="s">
        <v>166</v>
      </c>
      <c r="E211" s="453" t="s">
        <v>955</v>
      </c>
      <c r="F211" s="379" t="s">
        <v>880</v>
      </c>
      <c r="G211" s="8"/>
      <c r="H211" s="8"/>
      <c r="I211" s="8"/>
      <c r="J211" s="8"/>
      <c r="K211" s="8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>
        <f t="shared" si="1"/>
        <v>212</v>
      </c>
      <c r="B212" s="382" t="s">
        <v>883</v>
      </c>
      <c r="C212" s="3" t="str">
        <f t="shared" si="3"/>
        <v>=&gt;</v>
      </c>
      <c r="D212" s="8" t="s">
        <v>165</v>
      </c>
      <c r="E212" s="453" t="s">
        <v>955</v>
      </c>
      <c r="F212" s="379" t="s">
        <v>880</v>
      </c>
      <c r="G212" s="8"/>
      <c r="H212" s="8"/>
      <c r="I212" s="8"/>
      <c r="J212" s="8"/>
      <c r="K212" s="8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>
        <f t="shared" si="1"/>
        <v>213</v>
      </c>
      <c r="B213" s="382" t="s">
        <v>883</v>
      </c>
      <c r="C213" s="3" t="str">
        <f t="shared" si="3"/>
        <v>=&gt;</v>
      </c>
      <c r="D213" s="8" t="s">
        <v>164</v>
      </c>
      <c r="E213" s="453" t="s">
        <v>955</v>
      </c>
      <c r="F213" s="379" t="s">
        <v>880</v>
      </c>
      <c r="G213" s="8"/>
      <c r="H213" s="8"/>
      <c r="I213" s="8"/>
      <c r="J213" s="8"/>
      <c r="K213" s="8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>
        <f t="shared" si="1"/>
        <v>214</v>
      </c>
      <c r="B214" s="382" t="s">
        <v>883</v>
      </c>
      <c r="C214" s="3" t="str">
        <f t="shared" si="3"/>
        <v>=&gt;</v>
      </c>
      <c r="D214" s="8" t="s">
        <v>936</v>
      </c>
      <c r="E214" s="384" t="s">
        <v>886</v>
      </c>
      <c r="F214" s="8"/>
      <c r="G214" s="8"/>
      <c r="H214" s="8"/>
      <c r="I214" s="8"/>
      <c r="J214" s="8"/>
      <c r="K214" s="8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>
        <f t="shared" si="1"/>
        <v>215</v>
      </c>
      <c r="B215" s="382" t="s">
        <v>883</v>
      </c>
      <c r="C215" s="3" t="str">
        <f t="shared" si="3"/>
        <v>=&gt;</v>
      </c>
      <c r="D215" s="8" t="s">
        <v>937</v>
      </c>
      <c r="E215" s="384" t="s">
        <v>886</v>
      </c>
      <c r="F215" s="8"/>
      <c r="G215" s="8"/>
      <c r="H215" s="8"/>
      <c r="I215" s="8"/>
      <c r="J215" s="8"/>
      <c r="K215" s="8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>
        <f t="shared" si="1"/>
        <v>216</v>
      </c>
      <c r="B216" s="382" t="s">
        <v>883</v>
      </c>
      <c r="C216" s="3" t="str">
        <f t="shared" si="3"/>
        <v>=&gt;</v>
      </c>
      <c r="D216" s="8" t="s">
        <v>8</v>
      </c>
      <c r="E216" s="8"/>
      <c r="F216" s="8"/>
      <c r="G216" s="8"/>
      <c r="H216" s="8"/>
      <c r="I216" s="8"/>
      <c r="J216" s="8"/>
      <c r="K216" s="8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>
        <f t="shared" si="1"/>
        <v>217</v>
      </c>
      <c r="B217" s="453" t="s">
        <v>955</v>
      </c>
      <c r="C217" s="3" t="str">
        <f t="shared" si="3"/>
        <v>=&gt;</v>
      </c>
      <c r="D217" s="452" t="s">
        <v>954</v>
      </c>
      <c r="E217" s="381" t="s">
        <v>882</v>
      </c>
      <c r="F217" s="8"/>
      <c r="G217" s="8"/>
      <c r="H217" s="8"/>
      <c r="I217" s="8"/>
      <c r="J217" s="8"/>
      <c r="K217" s="8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>
        <f t="shared" si="1"/>
        <v>218</v>
      </c>
      <c r="B218" s="383" t="s">
        <v>884</v>
      </c>
      <c r="C218" s="3" t="str">
        <f t="shared" si="3"/>
        <v>=&gt;</v>
      </c>
      <c r="D218" s="360" t="s">
        <v>860</v>
      </c>
      <c r="E218" s="368" t="s">
        <v>869</v>
      </c>
      <c r="F218" s="369" t="s">
        <v>870</v>
      </c>
      <c r="G218" s="454" t="s">
        <v>956</v>
      </c>
      <c r="H218" s="8"/>
      <c r="I218" s="8"/>
      <c r="J218" s="8"/>
      <c r="K218" s="8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>
        <f t="shared" si="1"/>
        <v>219</v>
      </c>
      <c r="B219" s="383" t="s">
        <v>884</v>
      </c>
      <c r="C219" s="3" t="str">
        <f t="shared" si="3"/>
        <v>=&gt;</v>
      </c>
      <c r="D219" s="371" t="s">
        <v>872</v>
      </c>
      <c r="E219" s="372" t="s">
        <v>873</v>
      </c>
      <c r="F219" s="373" t="s">
        <v>874</v>
      </c>
      <c r="G219" s="455" t="s">
        <v>957</v>
      </c>
      <c r="H219" s="8"/>
      <c r="I219" s="8"/>
      <c r="J219" s="8"/>
      <c r="K219" s="8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>
        <f t="shared" si="1"/>
        <v>220</v>
      </c>
      <c r="B220" s="383" t="s">
        <v>884</v>
      </c>
      <c r="C220" s="3" t="str">
        <f t="shared" si="3"/>
        <v>=&gt;</v>
      </c>
      <c r="D220" s="375" t="s">
        <v>876</v>
      </c>
      <c r="E220" s="376" t="s">
        <v>877</v>
      </c>
      <c r="F220" s="456" t="s">
        <v>958</v>
      </c>
      <c r="G220" s="8"/>
      <c r="H220" s="8"/>
      <c r="I220" s="8"/>
      <c r="J220" s="8"/>
      <c r="K220" s="8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>
        <f t="shared" si="1"/>
        <v>221</v>
      </c>
      <c r="B221" s="383" t="s">
        <v>884</v>
      </c>
      <c r="C221" s="3" t="str">
        <f t="shared" si="3"/>
        <v>=&gt;</v>
      </c>
      <c r="D221" s="378" t="s">
        <v>879</v>
      </c>
      <c r="E221" s="379" t="s">
        <v>880</v>
      </c>
      <c r="F221" s="457" t="s">
        <v>959</v>
      </c>
      <c r="G221" s="8"/>
      <c r="H221" s="8"/>
      <c r="I221" s="8"/>
      <c r="J221" s="8"/>
      <c r="K221" s="8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>
        <f t="shared" si="1"/>
        <v>222</v>
      </c>
      <c r="B222" s="383" t="s">
        <v>884</v>
      </c>
      <c r="C222" s="3" t="str">
        <f t="shared" si="3"/>
        <v>=&gt;</v>
      </c>
      <c r="D222" s="361" t="s">
        <v>861</v>
      </c>
      <c r="E222" s="380" t="s">
        <v>881</v>
      </c>
      <c r="F222" s="381" t="s">
        <v>882</v>
      </c>
      <c r="G222" s="458" t="s">
        <v>960</v>
      </c>
      <c r="H222" s="8"/>
      <c r="I222" s="8"/>
      <c r="J222" s="8"/>
      <c r="K222" s="8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>
        <f t="shared" si="1"/>
        <v>223</v>
      </c>
      <c r="B223" s="383" t="s">
        <v>884</v>
      </c>
      <c r="C223" s="3" t="str">
        <f t="shared" si="3"/>
        <v>=&gt;</v>
      </c>
      <c r="D223" s="8" t="s">
        <v>62</v>
      </c>
      <c r="E223" s="383" t="s">
        <v>884</v>
      </c>
      <c r="F223" s="459" t="s">
        <v>961</v>
      </c>
      <c r="G223" s="8"/>
      <c r="H223" s="8"/>
      <c r="I223" s="8"/>
      <c r="J223" s="8"/>
      <c r="K223" s="8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>
        <f t="shared" si="1"/>
        <v>224</v>
      </c>
      <c r="B224" s="383" t="s">
        <v>884</v>
      </c>
      <c r="C224" s="3" t="str">
        <f t="shared" si="3"/>
        <v>=&gt;</v>
      </c>
      <c r="D224" s="8" t="s">
        <v>885</v>
      </c>
      <c r="E224" s="384" t="s">
        <v>886</v>
      </c>
      <c r="F224" s="457" t="s">
        <v>959</v>
      </c>
      <c r="G224" s="8"/>
      <c r="H224" s="8"/>
      <c r="I224" s="8"/>
      <c r="J224" s="8"/>
      <c r="K224" s="8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>
        <f t="shared" si="1"/>
        <v>225</v>
      </c>
      <c r="B225" s="454" t="s">
        <v>956</v>
      </c>
      <c r="C225" s="3" t="str">
        <f t="shared" si="3"/>
        <v>=&gt;</v>
      </c>
      <c r="D225" s="8" t="s">
        <v>64</v>
      </c>
      <c r="E225" s="368" t="s">
        <v>869</v>
      </c>
      <c r="F225" s="369" t="s">
        <v>870</v>
      </c>
      <c r="G225" s="370" t="s">
        <v>871</v>
      </c>
      <c r="H225" s="8"/>
      <c r="I225" s="8"/>
      <c r="J225" s="8"/>
      <c r="K225" s="8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>
        <f t="shared" si="1"/>
        <v>226</v>
      </c>
      <c r="B226" s="454" t="s">
        <v>956</v>
      </c>
      <c r="C226" s="3" t="str">
        <f t="shared" si="3"/>
        <v>=&gt;</v>
      </c>
      <c r="D226" s="417" t="s">
        <v>934</v>
      </c>
      <c r="E226" s="431" t="s">
        <v>935</v>
      </c>
      <c r="F226" s="379" t="s">
        <v>880</v>
      </c>
      <c r="G226" s="457" t="s">
        <v>959</v>
      </c>
      <c r="H226" s="8"/>
      <c r="I226" s="8"/>
      <c r="J226" s="8"/>
      <c r="K226" s="8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>
        <f t="shared" si="1"/>
        <v>227</v>
      </c>
      <c r="B227" s="454" t="s">
        <v>956</v>
      </c>
      <c r="C227" s="3" t="str">
        <f t="shared" si="3"/>
        <v>=&gt;</v>
      </c>
      <c r="D227" s="8" t="s">
        <v>163</v>
      </c>
      <c r="E227" s="431" t="s">
        <v>935</v>
      </c>
      <c r="F227" s="379" t="s">
        <v>880</v>
      </c>
      <c r="G227" s="457" t="s">
        <v>959</v>
      </c>
      <c r="H227" s="8"/>
      <c r="I227" s="8"/>
      <c r="J227" s="8"/>
      <c r="K227" s="8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>
        <f t="shared" si="1"/>
        <v>228</v>
      </c>
      <c r="B228" s="454" t="s">
        <v>956</v>
      </c>
      <c r="C228" s="3" t="str">
        <f t="shared" si="3"/>
        <v>=&gt;</v>
      </c>
      <c r="D228" s="8" t="s">
        <v>167</v>
      </c>
      <c r="E228" s="431" t="s">
        <v>935</v>
      </c>
      <c r="F228" s="379" t="s">
        <v>880</v>
      </c>
      <c r="G228" s="457" t="s">
        <v>959</v>
      </c>
      <c r="H228" s="8"/>
      <c r="I228" s="8"/>
      <c r="J228" s="8"/>
      <c r="K228" s="8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>
        <f t="shared" si="1"/>
        <v>229</v>
      </c>
      <c r="B229" s="454" t="s">
        <v>956</v>
      </c>
      <c r="C229" s="3" t="str">
        <f t="shared" si="3"/>
        <v>=&gt;</v>
      </c>
      <c r="D229" s="8" t="s">
        <v>166</v>
      </c>
      <c r="E229" s="431" t="s">
        <v>935</v>
      </c>
      <c r="F229" s="379" t="s">
        <v>880</v>
      </c>
      <c r="G229" s="457" t="s">
        <v>959</v>
      </c>
      <c r="H229" s="8"/>
      <c r="I229" s="8"/>
      <c r="J229" s="8"/>
      <c r="K229" s="8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>
        <f t="shared" si="1"/>
        <v>230</v>
      </c>
      <c r="B230" s="454" t="s">
        <v>956</v>
      </c>
      <c r="C230" s="3" t="str">
        <f t="shared" si="3"/>
        <v>=&gt;</v>
      </c>
      <c r="D230" s="8" t="s">
        <v>165</v>
      </c>
      <c r="E230" s="431" t="s">
        <v>935</v>
      </c>
      <c r="F230" s="379" t="s">
        <v>880</v>
      </c>
      <c r="G230" s="457" t="s">
        <v>959</v>
      </c>
      <c r="H230" s="8"/>
      <c r="I230" s="8"/>
      <c r="J230" s="8"/>
      <c r="K230" s="8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>
        <f t="shared" si="1"/>
        <v>231</v>
      </c>
      <c r="B231" s="454" t="s">
        <v>956</v>
      </c>
      <c r="C231" s="3" t="str">
        <f t="shared" si="3"/>
        <v>=&gt;</v>
      </c>
      <c r="D231" s="8" t="s">
        <v>164</v>
      </c>
      <c r="E231" s="431" t="s">
        <v>935</v>
      </c>
      <c r="F231" s="379" t="s">
        <v>880</v>
      </c>
      <c r="G231" s="457" t="s">
        <v>959</v>
      </c>
      <c r="H231" s="8"/>
      <c r="I231" s="8"/>
      <c r="J231" s="8"/>
      <c r="K231" s="8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>
        <f t="shared" si="1"/>
        <v>232</v>
      </c>
      <c r="B232" s="457" t="s">
        <v>959</v>
      </c>
      <c r="C232" s="3" t="str">
        <f t="shared" si="3"/>
        <v>=&gt;</v>
      </c>
      <c r="D232" s="428" t="s">
        <v>64</v>
      </c>
      <c r="E232" s="379" t="s">
        <v>880</v>
      </c>
      <c r="F232" s="8"/>
      <c r="G232" s="8"/>
      <c r="H232" s="8"/>
      <c r="I232" s="8"/>
      <c r="J232" s="8"/>
      <c r="K232" s="8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>
        <f t="shared" si="1"/>
        <v>233</v>
      </c>
      <c r="B233" s="455" t="s">
        <v>957</v>
      </c>
      <c r="C233" s="3" t="str">
        <f t="shared" si="3"/>
        <v>=&gt;</v>
      </c>
      <c r="D233" s="8" t="s">
        <v>64</v>
      </c>
      <c r="E233" s="372" t="s">
        <v>873</v>
      </c>
      <c r="F233" s="373" t="s">
        <v>874</v>
      </c>
      <c r="G233" s="374" t="s">
        <v>875</v>
      </c>
      <c r="H233" s="8"/>
      <c r="I233" s="8"/>
      <c r="J233" s="8"/>
      <c r="K233" s="8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>
        <f t="shared" si="1"/>
        <v>234</v>
      </c>
      <c r="B234" s="455" t="s">
        <v>957</v>
      </c>
      <c r="C234" s="3" t="str">
        <f t="shared" si="3"/>
        <v>=&gt;</v>
      </c>
      <c r="D234" s="417" t="s">
        <v>934</v>
      </c>
      <c r="E234" s="443" t="s">
        <v>947</v>
      </c>
      <c r="F234" s="379" t="s">
        <v>880</v>
      </c>
      <c r="G234" s="457" t="s">
        <v>959</v>
      </c>
      <c r="H234" s="8"/>
      <c r="I234" s="8"/>
      <c r="J234" s="8"/>
      <c r="K234" s="8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>
        <f t="shared" si="1"/>
        <v>235</v>
      </c>
      <c r="B235" s="455" t="s">
        <v>957</v>
      </c>
      <c r="C235" s="3" t="str">
        <f t="shared" si="3"/>
        <v>=&gt;</v>
      </c>
      <c r="D235" s="8" t="s">
        <v>163</v>
      </c>
      <c r="E235" s="443" t="s">
        <v>947</v>
      </c>
      <c r="F235" s="379" t="s">
        <v>880</v>
      </c>
      <c r="G235" s="457" t="s">
        <v>959</v>
      </c>
      <c r="H235" s="8"/>
      <c r="I235" s="8"/>
      <c r="J235" s="8"/>
      <c r="K235" s="8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>
        <f t="shared" si="1"/>
        <v>236</v>
      </c>
      <c r="B236" s="455" t="s">
        <v>957</v>
      </c>
      <c r="C236" s="3" t="str">
        <f t="shared" si="3"/>
        <v>=&gt;</v>
      </c>
      <c r="D236" s="8" t="s">
        <v>167</v>
      </c>
      <c r="E236" s="443" t="s">
        <v>947</v>
      </c>
      <c r="F236" s="379" t="s">
        <v>880</v>
      </c>
      <c r="G236" s="457" t="s">
        <v>959</v>
      </c>
      <c r="H236" s="8"/>
      <c r="I236" s="8"/>
      <c r="J236" s="8"/>
      <c r="K236" s="8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>
        <f t="shared" si="1"/>
        <v>237</v>
      </c>
      <c r="B237" s="455" t="s">
        <v>957</v>
      </c>
      <c r="C237" s="3" t="str">
        <f t="shared" si="3"/>
        <v>=&gt;</v>
      </c>
      <c r="D237" s="8" t="s">
        <v>166</v>
      </c>
      <c r="E237" s="443" t="s">
        <v>947</v>
      </c>
      <c r="F237" s="379" t="s">
        <v>880</v>
      </c>
      <c r="G237" s="457" t="s">
        <v>959</v>
      </c>
      <c r="H237" s="8"/>
      <c r="I237" s="8"/>
      <c r="J237" s="8"/>
      <c r="K237" s="8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>
        <f t="shared" si="1"/>
        <v>238</v>
      </c>
      <c r="B238" s="455" t="s">
        <v>957</v>
      </c>
      <c r="C238" s="3" t="str">
        <f t="shared" si="3"/>
        <v>=&gt;</v>
      </c>
      <c r="D238" s="8" t="s">
        <v>165</v>
      </c>
      <c r="E238" s="443" t="s">
        <v>947</v>
      </c>
      <c r="F238" s="379" t="s">
        <v>880</v>
      </c>
      <c r="G238" s="457" t="s">
        <v>959</v>
      </c>
      <c r="H238" s="8"/>
      <c r="I238" s="8"/>
      <c r="J238" s="8"/>
      <c r="K238" s="8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>
        <f t="shared" si="1"/>
        <v>239</v>
      </c>
      <c r="B239" s="455" t="s">
        <v>957</v>
      </c>
      <c r="C239" s="3" t="str">
        <f t="shared" si="3"/>
        <v>=&gt;</v>
      </c>
      <c r="D239" s="428" t="s">
        <v>164</v>
      </c>
      <c r="E239" s="443" t="s">
        <v>947</v>
      </c>
      <c r="F239" s="379" t="s">
        <v>880</v>
      </c>
      <c r="G239" s="457" t="s">
        <v>959</v>
      </c>
      <c r="H239" s="8"/>
      <c r="I239" s="8"/>
      <c r="J239" s="8"/>
      <c r="K239" s="8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>
        <f t="shared" si="1"/>
        <v>240</v>
      </c>
      <c r="B240" s="374" t="s">
        <v>875</v>
      </c>
      <c r="C240" s="3" t="str">
        <f t="shared" si="3"/>
        <v>=&gt;</v>
      </c>
      <c r="D240" s="417" t="s">
        <v>934</v>
      </c>
      <c r="E240" s="443" t="s">
        <v>947</v>
      </c>
      <c r="F240" s="379" t="s">
        <v>880</v>
      </c>
      <c r="G240" s="8"/>
      <c r="H240" s="8"/>
      <c r="I240" s="8"/>
      <c r="J240" s="8"/>
      <c r="K240" s="8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>
        <f t="shared" si="1"/>
        <v>241</v>
      </c>
      <c r="B241" s="374" t="s">
        <v>875</v>
      </c>
      <c r="C241" s="3" t="str">
        <f t="shared" si="3"/>
        <v>=&gt;</v>
      </c>
      <c r="D241" s="8" t="s">
        <v>163</v>
      </c>
      <c r="E241" s="443" t="s">
        <v>947</v>
      </c>
      <c r="F241" s="379" t="s">
        <v>880</v>
      </c>
      <c r="G241" s="8"/>
      <c r="H241" s="8"/>
      <c r="I241" s="8"/>
      <c r="J241" s="8"/>
      <c r="K241" s="8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>
        <f t="shared" si="1"/>
        <v>242</v>
      </c>
      <c r="B242" s="374" t="s">
        <v>875</v>
      </c>
      <c r="C242" s="3" t="str">
        <f t="shared" si="3"/>
        <v>=&gt;</v>
      </c>
      <c r="D242" s="8" t="s">
        <v>167</v>
      </c>
      <c r="E242" s="443" t="s">
        <v>947</v>
      </c>
      <c r="F242" s="379" t="s">
        <v>880</v>
      </c>
      <c r="G242" s="8"/>
      <c r="H242" s="8"/>
      <c r="I242" s="8"/>
      <c r="J242" s="8"/>
      <c r="K242" s="8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>
        <f t="shared" si="1"/>
        <v>243</v>
      </c>
      <c r="B243" s="374" t="s">
        <v>875</v>
      </c>
      <c r="C243" s="3" t="str">
        <f t="shared" si="3"/>
        <v>=&gt;</v>
      </c>
      <c r="D243" s="8" t="s">
        <v>166</v>
      </c>
      <c r="E243" s="443" t="s">
        <v>947</v>
      </c>
      <c r="F243" s="379" t="s">
        <v>880</v>
      </c>
      <c r="G243" s="8"/>
      <c r="H243" s="8"/>
      <c r="I243" s="8"/>
      <c r="J243" s="8"/>
      <c r="K243" s="8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>
        <f t="shared" si="1"/>
        <v>244</v>
      </c>
      <c r="B244" s="374" t="s">
        <v>875</v>
      </c>
      <c r="C244" s="3" t="str">
        <f t="shared" si="3"/>
        <v>=&gt;</v>
      </c>
      <c r="D244" s="8" t="s">
        <v>165</v>
      </c>
      <c r="E244" s="443" t="s">
        <v>947</v>
      </c>
      <c r="F244" s="379" t="s">
        <v>880</v>
      </c>
      <c r="G244" s="8"/>
      <c r="H244" s="8"/>
      <c r="I244" s="8"/>
      <c r="J244" s="8"/>
      <c r="K244" s="8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>
        <f t="shared" si="1"/>
        <v>245</v>
      </c>
      <c r="B245" s="374" t="s">
        <v>875</v>
      </c>
      <c r="C245" s="3" t="str">
        <f t="shared" si="3"/>
        <v>=&gt;</v>
      </c>
      <c r="D245" s="8" t="s">
        <v>164</v>
      </c>
      <c r="E245" s="443" t="s">
        <v>947</v>
      </c>
      <c r="F245" s="379" t="s">
        <v>880</v>
      </c>
      <c r="G245" s="8"/>
      <c r="H245" s="8"/>
      <c r="I245" s="8"/>
      <c r="J245" s="8"/>
      <c r="K245" s="8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>
        <f t="shared" si="1"/>
        <v>246</v>
      </c>
      <c r="B246" s="374" t="s">
        <v>875</v>
      </c>
      <c r="C246" s="3" t="str">
        <f t="shared" si="3"/>
        <v>=&gt;</v>
      </c>
      <c r="D246" s="8" t="s">
        <v>8</v>
      </c>
      <c r="E246" s="8"/>
      <c r="F246" s="8"/>
      <c r="G246" s="8"/>
      <c r="H246" s="8"/>
      <c r="I246" s="8"/>
      <c r="J246" s="8"/>
      <c r="K246" s="8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>
        <f t="shared" si="1"/>
        <v>247</v>
      </c>
      <c r="B247" s="456" t="s">
        <v>958</v>
      </c>
      <c r="C247" s="3" t="str">
        <f t="shared" si="3"/>
        <v>=&gt;</v>
      </c>
      <c r="D247" s="8" t="s">
        <v>64</v>
      </c>
      <c r="E247" s="376" t="s">
        <v>877</v>
      </c>
      <c r="F247" s="377" t="s">
        <v>878</v>
      </c>
      <c r="G247" s="8"/>
      <c r="H247" s="8"/>
      <c r="I247" s="8"/>
      <c r="J247" s="8"/>
      <c r="K247" s="8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>
        <f t="shared" si="1"/>
        <v>248</v>
      </c>
      <c r="B248" s="456" t="s">
        <v>958</v>
      </c>
      <c r="C248" s="3" t="str">
        <f t="shared" si="3"/>
        <v>=&gt;</v>
      </c>
      <c r="D248" s="417" t="s">
        <v>934</v>
      </c>
      <c r="E248" s="448" t="s">
        <v>952</v>
      </c>
      <c r="F248" s="379" t="s">
        <v>880</v>
      </c>
      <c r="G248" s="457" t="s">
        <v>959</v>
      </c>
      <c r="H248" s="8"/>
      <c r="I248" s="8"/>
      <c r="J248" s="8"/>
      <c r="K248" s="8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>
        <f t="shared" si="1"/>
        <v>249</v>
      </c>
      <c r="B249" s="460" t="s">
        <v>958</v>
      </c>
      <c r="C249" s="3" t="str">
        <f t="shared" si="3"/>
        <v>=&gt;</v>
      </c>
      <c r="D249" s="21" t="s">
        <v>167</v>
      </c>
      <c r="E249" s="450" t="s">
        <v>952</v>
      </c>
      <c r="F249" s="379" t="s">
        <v>880</v>
      </c>
      <c r="G249" s="457" t="s">
        <v>959</v>
      </c>
      <c r="H249" s="8"/>
      <c r="I249" s="8"/>
      <c r="J249" s="8"/>
      <c r="K249" s="8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>
        <f t="shared" si="1"/>
        <v>250</v>
      </c>
      <c r="B250" s="460" t="s">
        <v>958</v>
      </c>
      <c r="C250" s="3" t="str">
        <f t="shared" si="3"/>
        <v>=&gt;</v>
      </c>
      <c r="D250" s="21" t="s">
        <v>166</v>
      </c>
      <c r="E250" s="450" t="s">
        <v>952</v>
      </c>
      <c r="F250" s="379" t="s">
        <v>880</v>
      </c>
      <c r="G250" s="457" t="s">
        <v>959</v>
      </c>
      <c r="H250" s="8"/>
      <c r="I250" s="8"/>
      <c r="J250" s="8"/>
      <c r="K250" s="8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>
        <f t="shared" si="1"/>
        <v>251</v>
      </c>
      <c r="B251" s="460" t="s">
        <v>958</v>
      </c>
      <c r="C251" s="3" t="str">
        <f t="shared" si="3"/>
        <v>=&gt;</v>
      </c>
      <c r="D251" s="21" t="s">
        <v>165</v>
      </c>
      <c r="E251" s="450" t="s">
        <v>952</v>
      </c>
      <c r="F251" s="379" t="s">
        <v>880</v>
      </c>
      <c r="G251" s="457" t="s">
        <v>959</v>
      </c>
      <c r="H251" s="8"/>
      <c r="I251" s="8"/>
      <c r="J251" s="8"/>
      <c r="K251" s="8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>
        <f t="shared" si="1"/>
        <v>252</v>
      </c>
      <c r="B252" s="460" t="s">
        <v>958</v>
      </c>
      <c r="C252" s="3" t="str">
        <f t="shared" si="3"/>
        <v>=&gt;</v>
      </c>
      <c r="D252" s="21" t="s">
        <v>164</v>
      </c>
      <c r="E252" s="450" t="s">
        <v>952</v>
      </c>
      <c r="F252" s="379" t="s">
        <v>880</v>
      </c>
      <c r="G252" s="457" t="s">
        <v>959</v>
      </c>
      <c r="H252" s="8"/>
      <c r="I252" s="8"/>
      <c r="J252" s="8"/>
      <c r="K252" s="8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>
        <f t="shared" si="1"/>
        <v>253</v>
      </c>
      <c r="B253" s="456" t="s">
        <v>958</v>
      </c>
      <c r="C253" s="3" t="str">
        <f t="shared" si="3"/>
        <v>=&gt;</v>
      </c>
      <c r="D253" s="8" t="s">
        <v>163</v>
      </c>
      <c r="E253" s="448" t="s">
        <v>952</v>
      </c>
      <c r="F253" s="379" t="s">
        <v>880</v>
      </c>
      <c r="G253" s="457" t="s">
        <v>959</v>
      </c>
      <c r="H253" s="8"/>
      <c r="I253" s="8"/>
      <c r="J253" s="8"/>
      <c r="K253" s="8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>
        <f t="shared" si="1"/>
        <v>254</v>
      </c>
      <c r="B254" s="461" t="s">
        <v>878</v>
      </c>
      <c r="C254" s="3" t="str">
        <f t="shared" si="3"/>
        <v>=&gt;</v>
      </c>
      <c r="D254" s="21" t="s">
        <v>167</v>
      </c>
      <c r="E254" s="450" t="s">
        <v>952</v>
      </c>
      <c r="F254" s="379" t="s">
        <v>880</v>
      </c>
      <c r="G254" s="8"/>
      <c r="H254" s="8"/>
      <c r="I254" s="8"/>
      <c r="J254" s="8"/>
      <c r="K254" s="8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>
        <f t="shared" si="1"/>
        <v>255</v>
      </c>
      <c r="B255" s="461" t="s">
        <v>878</v>
      </c>
      <c r="C255" s="3" t="str">
        <f t="shared" si="3"/>
        <v>=&gt;</v>
      </c>
      <c r="D255" s="21" t="s">
        <v>166</v>
      </c>
      <c r="E255" s="450" t="s">
        <v>952</v>
      </c>
      <c r="F255" s="379" t="s">
        <v>880</v>
      </c>
      <c r="G255" s="8"/>
      <c r="H255" s="8"/>
      <c r="I255" s="8"/>
      <c r="J255" s="8"/>
      <c r="K255" s="8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>
        <f t="shared" si="1"/>
        <v>256</v>
      </c>
      <c r="B256" s="461" t="s">
        <v>878</v>
      </c>
      <c r="C256" s="3" t="str">
        <f t="shared" si="3"/>
        <v>=&gt;</v>
      </c>
      <c r="D256" s="21" t="s">
        <v>165</v>
      </c>
      <c r="E256" s="450" t="s">
        <v>952</v>
      </c>
      <c r="F256" s="379" t="s">
        <v>880</v>
      </c>
      <c r="G256" s="8"/>
      <c r="H256" s="8"/>
      <c r="I256" s="8"/>
      <c r="J256" s="8"/>
      <c r="K256" s="8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>
        <f t="shared" si="1"/>
        <v>257</v>
      </c>
      <c r="B257" s="461" t="s">
        <v>878</v>
      </c>
      <c r="C257" s="3" t="str">
        <f t="shared" si="3"/>
        <v>=&gt;</v>
      </c>
      <c r="D257" s="21" t="s">
        <v>164</v>
      </c>
      <c r="E257" s="450" t="s">
        <v>952</v>
      </c>
      <c r="F257" s="379" t="s">
        <v>880</v>
      </c>
      <c r="G257" s="8"/>
      <c r="H257" s="8"/>
      <c r="I257" s="8"/>
      <c r="J257" s="8"/>
      <c r="K257" s="8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>
        <f t="shared" si="1"/>
        <v>258</v>
      </c>
      <c r="B258" s="377" t="s">
        <v>878</v>
      </c>
      <c r="C258" s="3" t="str">
        <f t="shared" si="3"/>
        <v>=&gt;</v>
      </c>
      <c r="D258" s="417" t="s">
        <v>934</v>
      </c>
      <c r="E258" s="448" t="s">
        <v>952</v>
      </c>
      <c r="F258" s="379" t="s">
        <v>880</v>
      </c>
      <c r="G258" s="8"/>
      <c r="H258" s="8"/>
      <c r="I258" s="8"/>
      <c r="J258" s="8"/>
      <c r="K258" s="8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>
        <f t="shared" si="1"/>
        <v>259</v>
      </c>
      <c r="B259" s="377" t="s">
        <v>878</v>
      </c>
      <c r="C259" s="3" t="str">
        <f t="shared" si="3"/>
        <v>=&gt;</v>
      </c>
      <c r="D259" s="8" t="s">
        <v>163</v>
      </c>
      <c r="E259" s="448" t="s">
        <v>952</v>
      </c>
      <c r="F259" s="379" t="s">
        <v>880</v>
      </c>
      <c r="G259" s="8"/>
      <c r="H259" s="8"/>
      <c r="I259" s="8"/>
      <c r="J259" s="8"/>
      <c r="K259" s="8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>
        <f t="shared" si="1"/>
        <v>260</v>
      </c>
      <c r="B260" s="377" t="s">
        <v>878</v>
      </c>
      <c r="C260" s="3" t="str">
        <f t="shared" si="3"/>
        <v>=&gt;</v>
      </c>
      <c r="D260" s="8" t="s">
        <v>8</v>
      </c>
      <c r="E260" s="8"/>
      <c r="F260" s="8"/>
      <c r="G260" s="8"/>
      <c r="H260" s="8"/>
      <c r="I260" s="8"/>
      <c r="J260" s="8"/>
      <c r="K260" s="8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>
        <f t="shared" si="1"/>
        <v>261</v>
      </c>
      <c r="B261" s="458" t="s">
        <v>960</v>
      </c>
      <c r="C261" s="3" t="str">
        <f t="shared" si="3"/>
        <v>=&gt;</v>
      </c>
      <c r="D261" s="8" t="s">
        <v>64</v>
      </c>
      <c r="E261" s="380" t="s">
        <v>881</v>
      </c>
      <c r="F261" s="381" t="s">
        <v>882</v>
      </c>
      <c r="G261" s="382" t="s">
        <v>883</v>
      </c>
      <c r="H261" s="8"/>
      <c r="I261" s="8"/>
      <c r="J261" s="8"/>
      <c r="K261" s="8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>
        <f t="shared" si="1"/>
        <v>262</v>
      </c>
      <c r="B262" s="458" t="s">
        <v>960</v>
      </c>
      <c r="C262" s="3" t="str">
        <f t="shared" si="3"/>
        <v>=&gt;</v>
      </c>
      <c r="D262" s="417" t="s">
        <v>934</v>
      </c>
      <c r="E262" s="453" t="s">
        <v>955</v>
      </c>
      <c r="F262" s="379" t="s">
        <v>880</v>
      </c>
      <c r="G262" s="457" t="s">
        <v>959</v>
      </c>
      <c r="H262" s="8"/>
      <c r="I262" s="8"/>
      <c r="J262" s="8"/>
      <c r="K262" s="8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>
        <f t="shared" si="1"/>
        <v>263</v>
      </c>
      <c r="B263" s="458" t="s">
        <v>960</v>
      </c>
      <c r="C263" s="3" t="str">
        <f t="shared" si="3"/>
        <v>=&gt;</v>
      </c>
      <c r="D263" s="8" t="s">
        <v>163</v>
      </c>
      <c r="E263" s="453" t="s">
        <v>955</v>
      </c>
      <c r="F263" s="379" t="s">
        <v>880</v>
      </c>
      <c r="G263" s="457" t="s">
        <v>959</v>
      </c>
      <c r="H263" s="8"/>
      <c r="I263" s="8"/>
      <c r="J263" s="8"/>
      <c r="K263" s="8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>
        <f t="shared" si="1"/>
        <v>264</v>
      </c>
      <c r="B264" s="458" t="s">
        <v>960</v>
      </c>
      <c r="C264" s="3" t="str">
        <f t="shared" si="3"/>
        <v>=&gt;</v>
      </c>
      <c r="D264" s="8" t="s">
        <v>167</v>
      </c>
      <c r="E264" s="453" t="s">
        <v>955</v>
      </c>
      <c r="F264" s="379" t="s">
        <v>880</v>
      </c>
      <c r="G264" s="457" t="s">
        <v>959</v>
      </c>
      <c r="H264" s="8"/>
      <c r="I264" s="8"/>
      <c r="J264" s="8"/>
      <c r="K264" s="8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>
        <f t="shared" si="1"/>
        <v>265</v>
      </c>
      <c r="B265" s="458" t="s">
        <v>960</v>
      </c>
      <c r="C265" s="3" t="str">
        <f t="shared" si="3"/>
        <v>=&gt;</v>
      </c>
      <c r="D265" s="8" t="s">
        <v>166</v>
      </c>
      <c r="E265" s="453" t="s">
        <v>955</v>
      </c>
      <c r="F265" s="379" t="s">
        <v>880</v>
      </c>
      <c r="G265" s="457" t="s">
        <v>959</v>
      </c>
      <c r="H265" s="8"/>
      <c r="I265" s="8"/>
      <c r="J265" s="8"/>
      <c r="K265" s="8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>
        <f t="shared" si="1"/>
        <v>266</v>
      </c>
      <c r="B266" s="458" t="s">
        <v>960</v>
      </c>
      <c r="C266" s="3" t="str">
        <f t="shared" si="3"/>
        <v>=&gt;</v>
      </c>
      <c r="D266" s="8" t="s">
        <v>165</v>
      </c>
      <c r="E266" s="453" t="s">
        <v>955</v>
      </c>
      <c r="F266" s="379" t="s">
        <v>880</v>
      </c>
      <c r="G266" s="457" t="s">
        <v>959</v>
      </c>
      <c r="H266" s="8"/>
      <c r="I266" s="8"/>
      <c r="J266" s="8"/>
      <c r="K266" s="8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>
        <f t="shared" si="1"/>
        <v>267</v>
      </c>
      <c r="B267" s="458" t="s">
        <v>960</v>
      </c>
      <c r="C267" s="3" t="str">
        <f t="shared" si="3"/>
        <v>=&gt;</v>
      </c>
      <c r="D267" s="8" t="s">
        <v>164</v>
      </c>
      <c r="E267" s="453" t="s">
        <v>955</v>
      </c>
      <c r="F267" s="379" t="s">
        <v>880</v>
      </c>
      <c r="G267" s="457" t="s">
        <v>959</v>
      </c>
      <c r="H267" s="8"/>
      <c r="I267" s="8"/>
      <c r="J267" s="8"/>
      <c r="K267" s="8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>
        <f t="shared" si="1"/>
        <v>268</v>
      </c>
      <c r="B268" s="459" t="s">
        <v>961</v>
      </c>
      <c r="C268" s="3" t="str">
        <f t="shared" si="3"/>
        <v>=&gt;</v>
      </c>
      <c r="D268" s="8" t="s">
        <v>64</v>
      </c>
      <c r="E268" s="380" t="s">
        <v>881</v>
      </c>
      <c r="F268" s="381" t="s">
        <v>882</v>
      </c>
      <c r="G268" s="382" t="s">
        <v>883</v>
      </c>
      <c r="H268" s="8"/>
      <c r="I268" s="8"/>
      <c r="J268" s="8"/>
      <c r="K268" s="8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>
        <f t="shared" si="1"/>
        <v>269</v>
      </c>
      <c r="B269" s="436" t="s">
        <v>941</v>
      </c>
      <c r="C269" s="3" t="str">
        <f t="shared" si="3"/>
        <v>=&gt;</v>
      </c>
      <c r="D269" s="8" t="s">
        <v>8</v>
      </c>
      <c r="E269" s="8"/>
      <c r="F269" s="8"/>
      <c r="G269" s="8"/>
      <c r="H269" s="8"/>
      <c r="I269" s="8"/>
      <c r="J269" s="8"/>
      <c r="K269" s="8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>
        <f t="shared" si="1"/>
        <v>270</v>
      </c>
      <c r="B270" s="359" t="s">
        <v>859</v>
      </c>
      <c r="C270" s="3" t="str">
        <f t="shared" si="3"/>
        <v>=&gt;</v>
      </c>
      <c r="D270" s="8" t="s">
        <v>887</v>
      </c>
      <c r="E270" s="358" t="s">
        <v>858</v>
      </c>
      <c r="F270" s="359" t="s">
        <v>859</v>
      </c>
      <c r="G270" s="8"/>
      <c r="H270" s="8"/>
      <c r="I270" s="8"/>
      <c r="J270" s="8"/>
      <c r="K270" s="8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>
        <f t="shared" si="1"/>
        <v>271</v>
      </c>
      <c r="B271" s="359" t="s">
        <v>859</v>
      </c>
      <c r="C271" s="3" t="str">
        <f t="shared" si="3"/>
        <v>=&gt;</v>
      </c>
      <c r="D271" s="8" t="s">
        <v>120</v>
      </c>
      <c r="E271" s="358" t="s">
        <v>858</v>
      </c>
      <c r="F271" s="359" t="s">
        <v>859</v>
      </c>
      <c r="G271" s="8"/>
      <c r="H271" s="8"/>
      <c r="I271" s="8"/>
      <c r="J271" s="8"/>
      <c r="K271" s="8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>
        <f t="shared" si="1"/>
        <v>272</v>
      </c>
      <c r="B272" s="359" t="s">
        <v>859</v>
      </c>
      <c r="C272" s="3" t="str">
        <f t="shared" si="3"/>
        <v>=&gt;</v>
      </c>
      <c r="D272" s="8" t="s">
        <v>121</v>
      </c>
      <c r="E272" s="358" t="s">
        <v>858</v>
      </c>
      <c r="F272" s="359" t="s">
        <v>859</v>
      </c>
      <c r="G272" s="8"/>
      <c r="H272" s="8"/>
      <c r="I272" s="8"/>
      <c r="J272" s="8"/>
      <c r="K272" s="8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>
        <f t="shared" si="1"/>
        <v>273</v>
      </c>
      <c r="B273" s="359" t="s">
        <v>859</v>
      </c>
      <c r="C273" s="3" t="str">
        <f t="shared" si="3"/>
        <v>=&gt;</v>
      </c>
      <c r="D273" s="8" t="s">
        <v>8</v>
      </c>
      <c r="E273" s="8"/>
      <c r="F273" s="8"/>
      <c r="G273" s="8"/>
      <c r="H273" s="8"/>
      <c r="I273" s="8"/>
      <c r="J273" s="8"/>
      <c r="K273" s="8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>
        <f t="shared" si="1"/>
        <v>274</v>
      </c>
      <c r="B274" s="357" t="s">
        <v>857</v>
      </c>
      <c r="C274" s="3" t="str">
        <f t="shared" si="3"/>
        <v>=&gt;</v>
      </c>
      <c r="D274" s="417" t="s">
        <v>924</v>
      </c>
      <c r="E274" s="356" t="s">
        <v>856</v>
      </c>
      <c r="F274" s="357" t="s">
        <v>857</v>
      </c>
      <c r="G274" s="8"/>
      <c r="H274" s="8"/>
      <c r="I274" s="8"/>
      <c r="J274" s="8"/>
      <c r="K274" s="8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>
        <f t="shared" si="1"/>
        <v>275</v>
      </c>
      <c r="B275" s="357" t="s">
        <v>857</v>
      </c>
      <c r="C275" s="3" t="str">
        <f t="shared" si="3"/>
        <v>=&gt;</v>
      </c>
      <c r="D275" s="8" t="s">
        <v>41</v>
      </c>
      <c r="E275" s="356" t="s">
        <v>856</v>
      </c>
      <c r="F275" s="357" t="s">
        <v>857</v>
      </c>
      <c r="G275" s="8"/>
      <c r="H275" s="8"/>
      <c r="I275" s="8"/>
      <c r="J275" s="8"/>
      <c r="K275" s="8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>
        <f t="shared" si="1"/>
        <v>276</v>
      </c>
      <c r="B276" s="357" t="s">
        <v>857</v>
      </c>
      <c r="C276" s="3" t="str">
        <f t="shared" si="3"/>
        <v>=&gt;</v>
      </c>
      <c r="D276" s="8" t="s">
        <v>8</v>
      </c>
      <c r="E276" s="8"/>
      <c r="F276" s="8"/>
      <c r="G276" s="8"/>
      <c r="H276" s="8"/>
      <c r="I276" s="8"/>
      <c r="J276" s="8"/>
      <c r="K276" s="8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>
        <f t="shared" si="1"/>
        <v>277</v>
      </c>
      <c r="B277" s="353" t="s">
        <v>854</v>
      </c>
      <c r="C277" s="3" t="str">
        <f t="shared" si="3"/>
        <v>=&gt;</v>
      </c>
      <c r="D277" s="3" t="s">
        <v>38</v>
      </c>
      <c r="E277" s="3" t="s">
        <v>14</v>
      </c>
      <c r="F277" s="352" t="s">
        <v>853</v>
      </c>
      <c r="G277" s="353" t="s">
        <v>854</v>
      </c>
      <c r="H277" s="15"/>
      <c r="I277" s="3"/>
      <c r="J277" s="3"/>
      <c r="K277" s="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>
        <f t="shared" si="1"/>
        <v>278</v>
      </c>
      <c r="B278" s="353" t="s">
        <v>854</v>
      </c>
      <c r="C278" s="3" t="str">
        <f t="shared" si="3"/>
        <v>=&gt;</v>
      </c>
      <c r="D278" s="3" t="s">
        <v>8</v>
      </c>
      <c r="E278" s="8"/>
      <c r="F278" s="3"/>
      <c r="G278" s="8"/>
      <c r="H278" s="15"/>
      <c r="I278" s="3"/>
      <c r="J278" s="3"/>
      <c r="K278" s="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8.75" customHeight="1">
      <c r="A279" s="3">
        <f t="shared" si="1"/>
        <v>279</v>
      </c>
      <c r="B279" s="351" t="s">
        <v>852</v>
      </c>
      <c r="C279" s="3" t="str">
        <f t="shared" si="3"/>
        <v>=&gt;</v>
      </c>
      <c r="D279" s="462" t="s">
        <v>962</v>
      </c>
      <c r="E279" s="3" t="s">
        <v>850</v>
      </c>
      <c r="F279" s="463" t="s">
        <v>963</v>
      </c>
      <c r="G279" s="3" t="s">
        <v>6</v>
      </c>
      <c r="H279" s="3"/>
      <c r="I279" s="8"/>
      <c r="J279" s="8"/>
      <c r="K279" s="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>
        <f t="shared" si="1"/>
        <v>280</v>
      </c>
      <c r="B280" s="462" t="s">
        <v>962</v>
      </c>
      <c r="C280" s="3" t="str">
        <f t="shared" si="3"/>
        <v>=&gt;</v>
      </c>
      <c r="D280" s="3" t="s">
        <v>30</v>
      </c>
      <c r="E280" s="3" t="s">
        <v>32</v>
      </c>
      <c r="F280" s="464" t="s">
        <v>964</v>
      </c>
      <c r="G280" s="3"/>
      <c r="H280" s="3"/>
      <c r="I280" s="3"/>
      <c r="J280" s="3"/>
      <c r="K280" s="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>
        <f t="shared" si="1"/>
        <v>281</v>
      </c>
      <c r="B281" s="464" t="s">
        <v>964</v>
      </c>
      <c r="C281" s="3" t="str">
        <f t="shared" si="3"/>
        <v>=&gt;</v>
      </c>
      <c r="D281" s="462" t="s">
        <v>962</v>
      </c>
      <c r="E281" s="3"/>
      <c r="F281" s="3"/>
      <c r="G281" s="3"/>
      <c r="H281" s="3"/>
      <c r="I281" s="3"/>
      <c r="J281" s="3"/>
      <c r="K281" s="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>
        <f t="shared" si="1"/>
        <v>282</v>
      </c>
      <c r="B282" s="464" t="s">
        <v>964</v>
      </c>
      <c r="C282" s="3" t="str">
        <f t="shared" si="3"/>
        <v>=&gt;</v>
      </c>
      <c r="D282" s="3" t="s">
        <v>8</v>
      </c>
      <c r="E282" s="3"/>
      <c r="F282" s="3"/>
      <c r="G282" s="3"/>
      <c r="H282" s="8"/>
      <c r="I282" s="3"/>
      <c r="J282" s="3"/>
      <c r="K282" s="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>
        <f t="shared" si="1"/>
        <v>283</v>
      </c>
      <c r="B283" s="463" t="s">
        <v>963</v>
      </c>
      <c r="C283" s="3" t="str">
        <f t="shared" si="3"/>
        <v>=&gt;</v>
      </c>
      <c r="D283" s="3" t="s">
        <v>14</v>
      </c>
      <c r="E283" s="465" t="s">
        <v>965</v>
      </c>
      <c r="F283" s="466" t="s">
        <v>966</v>
      </c>
      <c r="G283" s="3"/>
      <c r="H283" s="3"/>
      <c r="I283" s="3"/>
      <c r="J283" s="3"/>
      <c r="K283" s="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>
        <f t="shared" si="1"/>
        <v>284</v>
      </c>
      <c r="B284" s="465" t="s">
        <v>965</v>
      </c>
      <c r="C284" s="3" t="str">
        <f t="shared" si="3"/>
        <v>=&gt;</v>
      </c>
      <c r="D284" s="3" t="str">
        <f>"="</f>
        <v>=</v>
      </c>
      <c r="E284" s="467" t="s">
        <v>865</v>
      </c>
      <c r="F284" s="3"/>
      <c r="G284" s="3"/>
      <c r="H284" s="3"/>
      <c r="I284" s="3"/>
      <c r="J284" s="3"/>
      <c r="K284" s="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>
        <f t="shared" si="1"/>
        <v>285</v>
      </c>
      <c r="B285" s="465" t="s">
        <v>965</v>
      </c>
      <c r="C285" s="3" t="str">
        <f t="shared" si="3"/>
        <v>=&gt;</v>
      </c>
      <c r="D285" s="3" t="s">
        <v>8</v>
      </c>
      <c r="E285" s="3"/>
      <c r="F285" s="3"/>
      <c r="G285" s="3"/>
      <c r="H285" s="3"/>
      <c r="I285" s="3"/>
      <c r="J285" s="3"/>
      <c r="K285" s="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>
        <f t="shared" si="1"/>
        <v>286</v>
      </c>
      <c r="B286" s="466" t="s">
        <v>966</v>
      </c>
      <c r="C286" s="3" t="str">
        <f t="shared" si="3"/>
        <v>=&gt;</v>
      </c>
      <c r="D286" s="3" t="s">
        <v>38</v>
      </c>
      <c r="E286" s="463" t="s">
        <v>963</v>
      </c>
      <c r="F286" s="3"/>
      <c r="G286" s="3"/>
      <c r="H286" s="3"/>
      <c r="I286" s="3"/>
      <c r="J286" s="3"/>
      <c r="K286" s="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>
        <f t="shared" si="1"/>
        <v>287</v>
      </c>
      <c r="B287" s="466" t="s">
        <v>966</v>
      </c>
      <c r="C287" s="3" t="str">
        <f t="shared" si="3"/>
        <v>=&gt;</v>
      </c>
      <c r="D287" s="3" t="s">
        <v>8</v>
      </c>
      <c r="E287" s="3"/>
      <c r="F287" s="3"/>
      <c r="G287" s="3"/>
      <c r="H287" s="3"/>
      <c r="I287" s="3"/>
      <c r="J287" s="3"/>
      <c r="K287" s="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>
        <f t="shared" si="1"/>
        <v>288</v>
      </c>
      <c r="B288" s="345" t="s">
        <v>843</v>
      </c>
      <c r="C288" s="3" t="str">
        <f t="shared" si="3"/>
        <v>=&gt;</v>
      </c>
      <c r="D288" s="7" t="s">
        <v>850</v>
      </c>
      <c r="E288" s="468" t="s">
        <v>967</v>
      </c>
      <c r="F288" s="21" t="s">
        <v>6</v>
      </c>
      <c r="G288" s="15"/>
      <c r="H288" s="15"/>
      <c r="I288" s="3"/>
      <c r="J288" s="3"/>
      <c r="K288" s="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>
        <f t="shared" si="1"/>
        <v>289</v>
      </c>
      <c r="B289" s="345" t="s">
        <v>843</v>
      </c>
      <c r="C289" s="3" t="str">
        <f t="shared" si="3"/>
        <v>=&gt;</v>
      </c>
      <c r="D289" s="351" t="s">
        <v>852</v>
      </c>
      <c r="E289" s="21"/>
      <c r="F289" s="21"/>
      <c r="G289" s="7"/>
      <c r="H289" s="7"/>
      <c r="I289" s="3"/>
      <c r="J289" s="3"/>
      <c r="K289" s="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>
        <f t="shared" si="1"/>
        <v>290</v>
      </c>
      <c r="B290" s="468" t="s">
        <v>967</v>
      </c>
      <c r="C290" s="3" t="str">
        <f t="shared" si="3"/>
        <v>=&gt;</v>
      </c>
      <c r="D290" s="3" t="s">
        <v>14</v>
      </c>
      <c r="E290" s="469" t="s">
        <v>968</v>
      </c>
      <c r="F290" s="470" t="s">
        <v>969</v>
      </c>
      <c r="G290" s="7"/>
      <c r="H290" s="7"/>
      <c r="I290" s="3"/>
      <c r="J290" s="3"/>
      <c r="K290" s="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>
        <f t="shared" si="1"/>
        <v>291</v>
      </c>
      <c r="B291" s="469" t="s">
        <v>968</v>
      </c>
      <c r="C291" s="3" t="str">
        <f t="shared" si="3"/>
        <v>=&gt;</v>
      </c>
      <c r="D291" s="3" t="str">
        <f>"="</f>
        <v>=</v>
      </c>
      <c r="E291" s="471" t="s">
        <v>916</v>
      </c>
      <c r="F291" s="21"/>
      <c r="G291" s="7"/>
      <c r="H291" s="7"/>
      <c r="I291" s="3"/>
      <c r="J291" s="3"/>
      <c r="K291" s="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>
        <f t="shared" si="1"/>
        <v>292</v>
      </c>
      <c r="B292" s="469" t="s">
        <v>968</v>
      </c>
      <c r="C292" s="3" t="str">
        <f t="shared" si="3"/>
        <v>=&gt;</v>
      </c>
      <c r="D292" s="3" t="s">
        <v>8</v>
      </c>
      <c r="E292" s="3"/>
      <c r="F292" s="21"/>
      <c r="G292" s="7"/>
      <c r="H292" s="7"/>
      <c r="I292" s="3"/>
      <c r="J292" s="3"/>
      <c r="K292" s="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>
        <f t="shared" si="1"/>
        <v>293</v>
      </c>
      <c r="B293" s="470" t="s">
        <v>969</v>
      </c>
      <c r="C293" s="3" t="str">
        <f t="shared" si="3"/>
        <v>=&gt;</v>
      </c>
      <c r="D293" s="3" t="s">
        <v>38</v>
      </c>
      <c r="E293" s="3" t="s">
        <v>14</v>
      </c>
      <c r="F293" s="469" t="s">
        <v>968</v>
      </c>
      <c r="G293" s="470" t="s">
        <v>969</v>
      </c>
      <c r="H293" s="7"/>
      <c r="I293" s="3"/>
      <c r="J293" s="3"/>
      <c r="K293" s="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>
        <f t="shared" si="1"/>
        <v>294</v>
      </c>
      <c r="B294" s="470" t="s">
        <v>969</v>
      </c>
      <c r="C294" s="3" t="str">
        <f t="shared" si="3"/>
        <v>=&gt;</v>
      </c>
      <c r="D294" s="3" t="s">
        <v>8</v>
      </c>
      <c r="E294" s="8"/>
      <c r="F294" s="3"/>
      <c r="G294" s="8"/>
      <c r="H294" s="7"/>
      <c r="I294" s="3"/>
      <c r="J294" s="3"/>
      <c r="K294" s="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>
        <f t="shared" si="1"/>
        <v>295</v>
      </c>
      <c r="B295" s="346" t="s">
        <v>845</v>
      </c>
      <c r="C295" s="3" t="str">
        <f t="shared" si="3"/>
        <v>=&gt;</v>
      </c>
      <c r="D295" s="7" t="s">
        <v>850</v>
      </c>
      <c r="E295" s="472" t="s">
        <v>970</v>
      </c>
      <c r="F295" s="21" t="s">
        <v>6</v>
      </c>
      <c r="G295" s="15"/>
      <c r="H295" s="7"/>
      <c r="I295" s="3"/>
      <c r="J295" s="3"/>
      <c r="K295" s="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>
        <f t="shared" si="1"/>
        <v>296</v>
      </c>
      <c r="B296" s="346" t="s">
        <v>845</v>
      </c>
      <c r="C296" s="3" t="str">
        <f t="shared" si="3"/>
        <v>=&gt;</v>
      </c>
      <c r="D296" s="351" t="s">
        <v>852</v>
      </c>
      <c r="E296" s="21"/>
      <c r="F296" s="21"/>
      <c r="G296" s="7"/>
      <c r="H296" s="7"/>
      <c r="I296" s="3"/>
      <c r="J296" s="3"/>
      <c r="K296" s="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>
        <f t="shared" si="1"/>
        <v>297</v>
      </c>
      <c r="B297" s="472" t="s">
        <v>970</v>
      </c>
      <c r="C297" s="3" t="str">
        <f t="shared" si="3"/>
        <v>=&gt;</v>
      </c>
      <c r="D297" s="3" t="s">
        <v>14</v>
      </c>
      <c r="E297" s="473" t="s">
        <v>971</v>
      </c>
      <c r="F297" s="474" t="s">
        <v>972</v>
      </c>
      <c r="G297" s="7"/>
      <c r="H297" s="7"/>
      <c r="I297" s="3"/>
      <c r="J297" s="3"/>
      <c r="K297" s="3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>
        <f t="shared" si="1"/>
        <v>298</v>
      </c>
      <c r="B298" s="473" t="s">
        <v>971</v>
      </c>
      <c r="C298" s="3" t="str">
        <f t="shared" si="3"/>
        <v>=&gt;</v>
      </c>
      <c r="D298" s="3" t="str">
        <f>"="</f>
        <v>=</v>
      </c>
      <c r="E298" s="475" t="s">
        <v>920</v>
      </c>
      <c r="F298" s="21"/>
      <c r="G298" s="7"/>
      <c r="H298" s="7"/>
      <c r="I298" s="3"/>
      <c r="J298" s="3"/>
      <c r="K298" s="3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>
        <f t="shared" si="1"/>
        <v>299</v>
      </c>
      <c r="B299" s="473" t="s">
        <v>971</v>
      </c>
      <c r="C299" s="3" t="str">
        <f t="shared" si="3"/>
        <v>=&gt;</v>
      </c>
      <c r="D299" s="3" t="s">
        <v>8</v>
      </c>
      <c r="E299" s="3"/>
      <c r="F299" s="21"/>
      <c r="G299" s="7"/>
      <c r="H299" s="7"/>
      <c r="I299" s="3"/>
      <c r="J299" s="3"/>
      <c r="K299" s="3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>
        <f t="shared" si="1"/>
        <v>300</v>
      </c>
      <c r="B300" s="474" t="s">
        <v>972</v>
      </c>
      <c r="C300" s="3" t="str">
        <f t="shared" si="3"/>
        <v>=&gt;</v>
      </c>
      <c r="D300" s="3" t="s">
        <v>38</v>
      </c>
      <c r="E300" s="3" t="s">
        <v>14</v>
      </c>
      <c r="F300" s="473" t="s">
        <v>971</v>
      </c>
      <c r="G300" s="474" t="s">
        <v>972</v>
      </c>
      <c r="H300" s="7"/>
      <c r="I300" s="3"/>
      <c r="J300" s="3"/>
      <c r="K300" s="3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>
        <f t="shared" si="1"/>
        <v>301</v>
      </c>
      <c r="B301" s="474" t="s">
        <v>972</v>
      </c>
      <c r="C301" s="3" t="str">
        <f t="shared" si="3"/>
        <v>=&gt;</v>
      </c>
      <c r="D301" s="3" t="s">
        <v>8</v>
      </c>
      <c r="E301" s="8"/>
      <c r="F301" s="3"/>
      <c r="G301" s="8"/>
      <c r="H301" s="7"/>
      <c r="I301" s="3"/>
      <c r="J301" s="3"/>
      <c r="K301" s="3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>
        <f t="shared" si="1"/>
        <v>302</v>
      </c>
      <c r="B302" s="347" t="s">
        <v>847</v>
      </c>
      <c r="C302" s="3" t="str">
        <f t="shared" si="3"/>
        <v>=&gt;</v>
      </c>
      <c r="D302" s="7" t="s">
        <v>850</v>
      </c>
      <c r="E302" s="476" t="s">
        <v>973</v>
      </c>
      <c r="F302" s="21" t="s">
        <v>6</v>
      </c>
      <c r="G302" s="7"/>
      <c r="H302" s="7"/>
      <c r="I302" s="3"/>
      <c r="J302" s="3"/>
      <c r="K302" s="3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>
        <f t="shared" si="1"/>
        <v>303</v>
      </c>
      <c r="B303" s="347" t="s">
        <v>847</v>
      </c>
      <c r="C303" s="3" t="str">
        <f t="shared" si="3"/>
        <v>=&gt;</v>
      </c>
      <c r="D303" s="351" t="s">
        <v>852</v>
      </c>
      <c r="E303" s="7"/>
      <c r="F303" s="21"/>
      <c r="G303" s="21"/>
      <c r="H303" s="7"/>
      <c r="I303" s="3"/>
      <c r="J303" s="3"/>
      <c r="K303" s="3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>
        <f t="shared" si="1"/>
        <v>304</v>
      </c>
      <c r="B304" s="476" t="s">
        <v>973</v>
      </c>
      <c r="C304" s="3" t="str">
        <f t="shared" si="3"/>
        <v>=&gt;</v>
      </c>
      <c r="D304" s="3" t="s">
        <v>14</v>
      </c>
      <c r="E304" s="477" t="s">
        <v>974</v>
      </c>
      <c r="F304" s="478" t="s">
        <v>975</v>
      </c>
      <c r="G304" s="7"/>
      <c r="H304" s="7"/>
      <c r="I304" s="3"/>
      <c r="J304" s="3"/>
      <c r="K304" s="3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>
        <f t="shared" si="1"/>
        <v>305</v>
      </c>
      <c r="B305" s="477" t="s">
        <v>974</v>
      </c>
      <c r="C305" s="3" t="str">
        <f t="shared" si="3"/>
        <v>=&gt;</v>
      </c>
      <c r="D305" s="3" t="str">
        <f>"="</f>
        <v>=</v>
      </c>
      <c r="E305" s="479" t="s">
        <v>976</v>
      </c>
      <c r="F305" s="21"/>
      <c r="G305" s="7"/>
      <c r="H305" s="7"/>
      <c r="I305" s="3"/>
      <c r="J305" s="3"/>
      <c r="K305" s="3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>
        <f t="shared" si="1"/>
        <v>306</v>
      </c>
      <c r="B306" s="477" t="s">
        <v>974</v>
      </c>
      <c r="C306" s="3" t="str">
        <f t="shared" si="3"/>
        <v>=&gt;</v>
      </c>
      <c r="D306" s="3" t="s">
        <v>8</v>
      </c>
      <c r="E306" s="3"/>
      <c r="F306" s="21"/>
      <c r="G306" s="7"/>
      <c r="H306" s="7"/>
      <c r="I306" s="3"/>
      <c r="J306" s="3"/>
      <c r="K306" s="3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>
        <f t="shared" si="1"/>
        <v>307</v>
      </c>
      <c r="B307" s="480" t="s">
        <v>976</v>
      </c>
      <c r="C307" s="3" t="str">
        <f t="shared" si="3"/>
        <v>=&gt;</v>
      </c>
      <c r="D307" s="481" t="s">
        <v>977</v>
      </c>
      <c r="E307" s="482" t="s">
        <v>978</v>
      </c>
      <c r="F307" s="8"/>
      <c r="G307" s="8"/>
      <c r="H307" s="8"/>
      <c r="I307" s="8"/>
      <c r="J307" s="8"/>
      <c r="K307" s="8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>
        <f t="shared" si="1"/>
        <v>308</v>
      </c>
      <c r="B308" s="481" t="s">
        <v>977</v>
      </c>
      <c r="C308" s="3" t="str">
        <f t="shared" si="3"/>
        <v>=&gt;</v>
      </c>
      <c r="D308" s="483" t="s">
        <v>979</v>
      </c>
      <c r="E308" s="484" t="s">
        <v>980</v>
      </c>
      <c r="F308" s="8"/>
      <c r="G308" s="8"/>
      <c r="H308" s="8"/>
      <c r="I308" s="8"/>
      <c r="J308" s="8"/>
      <c r="K308" s="8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>
        <f t="shared" si="1"/>
        <v>309</v>
      </c>
      <c r="B309" s="483" t="s">
        <v>979</v>
      </c>
      <c r="C309" s="3" t="str">
        <f t="shared" si="3"/>
        <v>=&gt;</v>
      </c>
      <c r="D309" s="485" t="s">
        <v>981</v>
      </c>
      <c r="E309" s="486" t="s">
        <v>982</v>
      </c>
      <c r="F309" s="8"/>
      <c r="G309" s="8"/>
      <c r="H309" s="8"/>
      <c r="I309" s="8"/>
      <c r="J309" s="8"/>
      <c r="K309" s="8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>
        <f t="shared" si="1"/>
        <v>310</v>
      </c>
      <c r="B310" s="485" t="s">
        <v>981</v>
      </c>
      <c r="C310" s="3" t="str">
        <f t="shared" si="3"/>
        <v>=&gt;</v>
      </c>
      <c r="D310" s="378" t="s">
        <v>879</v>
      </c>
      <c r="E310" s="8"/>
      <c r="F310" s="8"/>
      <c r="G310" s="8"/>
      <c r="H310" s="8"/>
      <c r="I310" s="8"/>
      <c r="J310" s="8"/>
      <c r="K310" s="8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>
        <f t="shared" si="1"/>
        <v>311</v>
      </c>
      <c r="B311" s="485" t="s">
        <v>981</v>
      </c>
      <c r="C311" s="3" t="str">
        <f t="shared" si="3"/>
        <v>=&gt;</v>
      </c>
      <c r="D311" s="8" t="s">
        <v>885</v>
      </c>
      <c r="E311" s="485" t="s">
        <v>981</v>
      </c>
      <c r="F311" s="8"/>
      <c r="G311" s="8"/>
      <c r="H311" s="8"/>
      <c r="I311" s="8"/>
      <c r="J311" s="8"/>
      <c r="K311" s="8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>
        <f t="shared" si="1"/>
        <v>312</v>
      </c>
      <c r="B312" s="485" t="s">
        <v>981</v>
      </c>
      <c r="C312" s="3" t="str">
        <f t="shared" si="3"/>
        <v>=&gt;</v>
      </c>
      <c r="D312" s="361" t="s">
        <v>861</v>
      </c>
      <c r="E312" s="487" t="s">
        <v>983</v>
      </c>
      <c r="F312" s="8"/>
      <c r="G312" s="8"/>
      <c r="H312" s="8"/>
      <c r="I312" s="8"/>
      <c r="J312" s="8"/>
      <c r="K312" s="8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>
        <f t="shared" si="1"/>
        <v>313</v>
      </c>
      <c r="B313" s="485" t="s">
        <v>981</v>
      </c>
      <c r="C313" s="3" t="str">
        <f t="shared" si="3"/>
        <v>=&gt;</v>
      </c>
      <c r="D313" s="8" t="s">
        <v>62</v>
      </c>
      <c r="E313" s="488" t="s">
        <v>984</v>
      </c>
      <c r="F313" s="8"/>
      <c r="G313" s="8"/>
      <c r="H313" s="8"/>
      <c r="I313" s="8"/>
      <c r="J313" s="8"/>
      <c r="K313" s="8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>
        <f t="shared" si="1"/>
        <v>314</v>
      </c>
      <c r="B314" s="485" t="s">
        <v>981</v>
      </c>
      <c r="C314" s="3" t="str">
        <f t="shared" si="3"/>
        <v>=&gt;</v>
      </c>
      <c r="D314" s="360" t="s">
        <v>860</v>
      </c>
      <c r="E314" s="368" t="s">
        <v>869</v>
      </c>
      <c r="F314" s="369" t="s">
        <v>870</v>
      </c>
      <c r="G314" s="489" t="s">
        <v>985</v>
      </c>
      <c r="H314" s="8"/>
      <c r="I314" s="8"/>
      <c r="J314" s="8"/>
      <c r="K314" s="8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>
        <f t="shared" si="1"/>
        <v>315</v>
      </c>
      <c r="B315" s="485" t="s">
        <v>981</v>
      </c>
      <c r="C315" s="3" t="str">
        <f t="shared" si="3"/>
        <v>=&gt;</v>
      </c>
      <c r="D315" s="371" t="s">
        <v>872</v>
      </c>
      <c r="E315" s="372" t="s">
        <v>873</v>
      </c>
      <c r="F315" s="373" t="s">
        <v>874</v>
      </c>
      <c r="G315" s="490" t="s">
        <v>986</v>
      </c>
      <c r="H315" s="8"/>
      <c r="I315" s="8"/>
      <c r="J315" s="8"/>
      <c r="K315" s="8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>
        <f t="shared" si="1"/>
        <v>316</v>
      </c>
      <c r="B316" s="485" t="s">
        <v>981</v>
      </c>
      <c r="C316" s="3" t="str">
        <f t="shared" si="3"/>
        <v>=&gt;</v>
      </c>
      <c r="D316" s="375" t="s">
        <v>876</v>
      </c>
      <c r="E316" s="376" t="s">
        <v>877</v>
      </c>
      <c r="F316" s="491" t="s">
        <v>987</v>
      </c>
      <c r="G316" s="8"/>
      <c r="H316" s="8"/>
      <c r="I316" s="8"/>
      <c r="J316" s="8"/>
      <c r="K316" s="8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>
        <f t="shared" si="1"/>
        <v>317</v>
      </c>
      <c r="B317" s="487" t="s">
        <v>983</v>
      </c>
      <c r="C317" s="3" t="str">
        <f t="shared" si="3"/>
        <v>=&gt;</v>
      </c>
      <c r="D317" s="8" t="s">
        <v>887</v>
      </c>
      <c r="E317" s="451" t="s">
        <v>953</v>
      </c>
      <c r="F317" s="380" t="s">
        <v>881</v>
      </c>
      <c r="G317" s="381" t="s">
        <v>882</v>
      </c>
      <c r="H317" s="492" t="s">
        <v>988</v>
      </c>
      <c r="I317" s="8"/>
      <c r="J317" s="8"/>
      <c r="K317" s="8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>
        <f t="shared" si="1"/>
        <v>318</v>
      </c>
      <c r="B318" s="487" t="s">
        <v>983</v>
      </c>
      <c r="C318" s="3" t="str">
        <f t="shared" si="3"/>
        <v>=&gt;</v>
      </c>
      <c r="D318" s="8" t="s">
        <v>120</v>
      </c>
      <c r="E318" s="451" t="s">
        <v>953</v>
      </c>
      <c r="F318" s="380" t="s">
        <v>881</v>
      </c>
      <c r="G318" s="381" t="s">
        <v>882</v>
      </c>
      <c r="H318" s="492" t="s">
        <v>988</v>
      </c>
      <c r="I318" s="8"/>
      <c r="J318" s="8"/>
      <c r="K318" s="8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>
        <f t="shared" si="1"/>
        <v>319</v>
      </c>
      <c r="B319" s="487" t="s">
        <v>983</v>
      </c>
      <c r="C319" s="3" t="str">
        <f t="shared" si="3"/>
        <v>=&gt;</v>
      </c>
      <c r="D319" s="8" t="s">
        <v>121</v>
      </c>
      <c r="E319" s="451" t="s">
        <v>953</v>
      </c>
      <c r="F319" s="380" t="s">
        <v>881</v>
      </c>
      <c r="G319" s="381" t="s">
        <v>882</v>
      </c>
      <c r="H319" s="492" t="s">
        <v>988</v>
      </c>
      <c r="I319" s="8"/>
      <c r="J319" s="8"/>
      <c r="K319" s="8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>
        <f t="shared" si="1"/>
        <v>320</v>
      </c>
      <c r="B320" s="487" t="s">
        <v>983</v>
      </c>
      <c r="C320" s="3" t="str">
        <f t="shared" si="3"/>
        <v>=&gt;</v>
      </c>
      <c r="D320" s="417" t="s">
        <v>924</v>
      </c>
      <c r="E320" s="452" t="s">
        <v>954</v>
      </c>
      <c r="F320" s="381" t="s">
        <v>882</v>
      </c>
      <c r="G320" s="492" t="s">
        <v>988</v>
      </c>
      <c r="H320" s="8"/>
      <c r="I320" s="8"/>
      <c r="J320" s="8"/>
      <c r="K320" s="8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>
        <f t="shared" si="1"/>
        <v>321</v>
      </c>
      <c r="B321" s="487" t="s">
        <v>983</v>
      </c>
      <c r="C321" s="3" t="str">
        <f t="shared" si="3"/>
        <v>=&gt;</v>
      </c>
      <c r="D321" s="8" t="s">
        <v>41</v>
      </c>
      <c r="E321" s="452" t="s">
        <v>954</v>
      </c>
      <c r="F321" s="381" t="s">
        <v>882</v>
      </c>
      <c r="G321" s="492" t="s">
        <v>988</v>
      </c>
      <c r="H321" s="8"/>
      <c r="I321" s="8"/>
      <c r="J321" s="8"/>
      <c r="K321" s="8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>
        <f t="shared" si="1"/>
        <v>322</v>
      </c>
      <c r="B322" s="493" t="s">
        <v>983</v>
      </c>
      <c r="C322" s="3" t="str">
        <f t="shared" si="3"/>
        <v>=&gt;</v>
      </c>
      <c r="D322" s="7" t="s">
        <v>934</v>
      </c>
      <c r="E322" s="494" t="s">
        <v>955</v>
      </c>
      <c r="F322" s="8"/>
      <c r="G322" s="8"/>
      <c r="H322" s="8"/>
      <c r="I322" s="8"/>
      <c r="J322" s="8"/>
      <c r="K322" s="8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>
        <f t="shared" si="1"/>
        <v>323</v>
      </c>
      <c r="B323" s="493" t="s">
        <v>983</v>
      </c>
      <c r="C323" s="3" t="str">
        <f t="shared" si="3"/>
        <v>=&gt;</v>
      </c>
      <c r="D323" s="7" t="s">
        <v>163</v>
      </c>
      <c r="E323" s="494" t="s">
        <v>955</v>
      </c>
      <c r="F323" s="8"/>
      <c r="G323" s="8"/>
      <c r="H323" s="8"/>
      <c r="I323" s="8"/>
      <c r="J323" s="8"/>
      <c r="K323" s="8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>
        <f t="shared" si="1"/>
        <v>324</v>
      </c>
      <c r="B324" s="493" t="s">
        <v>983</v>
      </c>
      <c r="C324" s="3" t="str">
        <f t="shared" si="3"/>
        <v>=&gt;</v>
      </c>
      <c r="D324" s="7" t="s">
        <v>167</v>
      </c>
      <c r="E324" s="495" t="s">
        <v>989</v>
      </c>
      <c r="F324" s="8"/>
      <c r="G324" s="8"/>
      <c r="H324" s="8"/>
      <c r="I324" s="8"/>
      <c r="J324" s="8"/>
      <c r="K324" s="8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>
        <f t="shared" si="1"/>
        <v>325</v>
      </c>
      <c r="B325" s="493" t="s">
        <v>983</v>
      </c>
      <c r="C325" s="3" t="str">
        <f t="shared" si="3"/>
        <v>=&gt;</v>
      </c>
      <c r="D325" s="7" t="s">
        <v>166</v>
      </c>
      <c r="E325" s="495" t="s">
        <v>989</v>
      </c>
      <c r="F325" s="8"/>
      <c r="G325" s="8"/>
      <c r="H325" s="8"/>
      <c r="I325" s="8"/>
      <c r="J325" s="8"/>
      <c r="K325" s="8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>
        <f t="shared" si="1"/>
        <v>326</v>
      </c>
      <c r="B326" s="493" t="s">
        <v>983</v>
      </c>
      <c r="C326" s="3" t="str">
        <f t="shared" si="3"/>
        <v>=&gt;</v>
      </c>
      <c r="D326" s="7" t="s">
        <v>165</v>
      </c>
      <c r="E326" s="495" t="s">
        <v>989</v>
      </c>
      <c r="F326" s="8"/>
      <c r="G326" s="8"/>
      <c r="H326" s="8"/>
      <c r="I326" s="8"/>
      <c r="J326" s="8"/>
      <c r="K326" s="8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>
        <f t="shared" si="1"/>
        <v>327</v>
      </c>
      <c r="B327" s="493" t="s">
        <v>983</v>
      </c>
      <c r="C327" s="3" t="str">
        <f t="shared" si="3"/>
        <v>=&gt;</v>
      </c>
      <c r="D327" s="7" t="s">
        <v>164</v>
      </c>
      <c r="E327" s="495" t="s">
        <v>989</v>
      </c>
      <c r="F327" s="8"/>
      <c r="G327" s="8"/>
      <c r="H327" s="8"/>
      <c r="I327" s="8"/>
      <c r="J327" s="8"/>
      <c r="K327" s="8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>
        <f t="shared" si="1"/>
        <v>328</v>
      </c>
      <c r="B328" s="487" t="s">
        <v>983</v>
      </c>
      <c r="C328" s="3" t="str">
        <f t="shared" si="3"/>
        <v>=&gt;</v>
      </c>
      <c r="D328" s="8" t="s">
        <v>8</v>
      </c>
      <c r="E328" s="8"/>
      <c r="F328" s="8"/>
      <c r="G328" s="8"/>
      <c r="H328" s="8"/>
      <c r="I328" s="8"/>
      <c r="J328" s="8"/>
      <c r="K328" s="8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>
        <f t="shared" si="1"/>
        <v>329</v>
      </c>
      <c r="B329" s="492" t="s">
        <v>988</v>
      </c>
      <c r="C329" s="3" t="str">
        <f t="shared" si="3"/>
        <v>=&gt;</v>
      </c>
      <c r="D329" s="417" t="s">
        <v>934</v>
      </c>
      <c r="E329" s="453" t="s">
        <v>955</v>
      </c>
      <c r="F329" s="8"/>
      <c r="G329" s="8"/>
      <c r="H329" s="8"/>
      <c r="I329" s="8"/>
      <c r="J329" s="8"/>
      <c r="K329" s="8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>
        <f t="shared" si="1"/>
        <v>330</v>
      </c>
      <c r="B330" s="492" t="s">
        <v>988</v>
      </c>
      <c r="C330" s="3" t="str">
        <f t="shared" si="3"/>
        <v>=&gt;</v>
      </c>
      <c r="D330" s="8" t="s">
        <v>163</v>
      </c>
      <c r="E330" s="453" t="s">
        <v>955</v>
      </c>
      <c r="F330" s="8"/>
      <c r="G330" s="8"/>
      <c r="H330" s="8"/>
      <c r="I330" s="8"/>
      <c r="J330" s="8"/>
      <c r="K330" s="8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>
        <f t="shared" si="1"/>
        <v>331</v>
      </c>
      <c r="B331" s="492" t="s">
        <v>988</v>
      </c>
      <c r="C331" s="3" t="str">
        <f t="shared" si="3"/>
        <v>=&gt;</v>
      </c>
      <c r="D331" s="8" t="s">
        <v>167</v>
      </c>
      <c r="E331" s="453" t="s">
        <v>955</v>
      </c>
      <c r="F331" s="8"/>
      <c r="G331" s="8"/>
      <c r="H331" s="8"/>
      <c r="I331" s="8"/>
      <c r="J331" s="8"/>
      <c r="K331" s="8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>
        <f t="shared" si="1"/>
        <v>332</v>
      </c>
      <c r="B332" s="492" t="s">
        <v>988</v>
      </c>
      <c r="C332" s="3" t="str">
        <f t="shared" si="3"/>
        <v>=&gt;</v>
      </c>
      <c r="D332" s="8" t="s">
        <v>166</v>
      </c>
      <c r="E332" s="453" t="s">
        <v>955</v>
      </c>
      <c r="F332" s="8"/>
      <c r="G332" s="8"/>
      <c r="H332" s="8"/>
      <c r="I332" s="8"/>
      <c r="J332" s="8"/>
      <c r="K332" s="8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>
        <f t="shared" si="1"/>
        <v>333</v>
      </c>
      <c r="B333" s="492" t="s">
        <v>988</v>
      </c>
      <c r="C333" s="3" t="str">
        <f t="shared" si="3"/>
        <v>=&gt;</v>
      </c>
      <c r="D333" s="8" t="s">
        <v>165</v>
      </c>
      <c r="E333" s="453" t="s">
        <v>955</v>
      </c>
      <c r="F333" s="8"/>
      <c r="G333" s="8"/>
      <c r="H333" s="8"/>
      <c r="I333" s="8"/>
      <c r="J333" s="8"/>
      <c r="K333" s="8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>
        <f t="shared" si="1"/>
        <v>334</v>
      </c>
      <c r="B334" s="492" t="s">
        <v>988</v>
      </c>
      <c r="C334" s="3" t="str">
        <f t="shared" si="3"/>
        <v>=&gt;</v>
      </c>
      <c r="D334" s="8" t="s">
        <v>164</v>
      </c>
      <c r="E334" s="453" t="s">
        <v>955</v>
      </c>
      <c r="F334" s="8"/>
      <c r="G334" s="8"/>
      <c r="H334" s="8"/>
      <c r="I334" s="8"/>
      <c r="J334" s="8"/>
      <c r="K334" s="8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>
        <f t="shared" si="1"/>
        <v>335</v>
      </c>
      <c r="B335" s="496" t="s">
        <v>989</v>
      </c>
      <c r="C335" s="3" t="str">
        <f t="shared" si="3"/>
        <v>=&gt;</v>
      </c>
      <c r="D335" s="497" t="s">
        <v>990</v>
      </c>
      <c r="E335" s="498" t="s">
        <v>991</v>
      </c>
      <c r="F335" s="8"/>
      <c r="G335" s="8"/>
      <c r="H335" s="8"/>
      <c r="I335" s="8"/>
      <c r="J335" s="8"/>
      <c r="K335" s="8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>
        <f t="shared" si="1"/>
        <v>336</v>
      </c>
      <c r="B336" s="497" t="s">
        <v>990</v>
      </c>
      <c r="C336" s="3" t="str">
        <f t="shared" si="3"/>
        <v>=&gt;</v>
      </c>
      <c r="D336" s="499" t="s">
        <v>992</v>
      </c>
      <c r="E336" s="500" t="s">
        <v>993</v>
      </c>
      <c r="F336" s="8"/>
      <c r="G336" s="8"/>
      <c r="H336" s="8"/>
      <c r="I336" s="8"/>
      <c r="J336" s="8"/>
      <c r="K336" s="8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>
        <f t="shared" si="1"/>
        <v>337</v>
      </c>
      <c r="B337" s="499" t="s">
        <v>992</v>
      </c>
      <c r="C337" s="3" t="str">
        <f t="shared" si="3"/>
        <v>=&gt;</v>
      </c>
      <c r="D337" s="361" t="s">
        <v>861</v>
      </c>
      <c r="E337" s="8"/>
      <c r="F337" s="8"/>
      <c r="G337" s="8"/>
      <c r="H337" s="8"/>
      <c r="I337" s="8"/>
      <c r="J337" s="8"/>
      <c r="K337" s="8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>
        <f t="shared" si="1"/>
        <v>338</v>
      </c>
      <c r="B338" s="499" t="s">
        <v>992</v>
      </c>
      <c r="C338" s="3" t="str">
        <f t="shared" si="3"/>
        <v>=&gt;</v>
      </c>
      <c r="D338" s="360" t="s">
        <v>860</v>
      </c>
      <c r="E338" s="8"/>
      <c r="F338" s="8"/>
      <c r="G338" s="8"/>
      <c r="H338" s="8"/>
      <c r="I338" s="8"/>
      <c r="J338" s="8"/>
      <c r="K338" s="8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>
        <f t="shared" si="1"/>
        <v>339</v>
      </c>
      <c r="B339" s="499" t="s">
        <v>992</v>
      </c>
      <c r="C339" s="3" t="str">
        <f t="shared" si="3"/>
        <v>=&gt;</v>
      </c>
      <c r="D339" s="371" t="s">
        <v>872</v>
      </c>
      <c r="E339" s="8"/>
      <c r="F339" s="8"/>
      <c r="G339" s="8"/>
      <c r="H339" s="8"/>
      <c r="I339" s="8"/>
      <c r="J339" s="8"/>
      <c r="K339" s="8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>
        <f t="shared" si="1"/>
        <v>340</v>
      </c>
      <c r="B340" s="499" t="s">
        <v>992</v>
      </c>
      <c r="C340" s="3" t="str">
        <f t="shared" si="3"/>
        <v>=&gt;</v>
      </c>
      <c r="D340" s="375" t="s">
        <v>876</v>
      </c>
      <c r="E340" s="8"/>
      <c r="F340" s="8"/>
      <c r="G340" s="8"/>
      <c r="H340" s="8"/>
      <c r="I340" s="8"/>
      <c r="J340" s="8"/>
      <c r="K340" s="8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>
        <f t="shared" si="1"/>
        <v>341</v>
      </c>
      <c r="B341" s="499" t="s">
        <v>992</v>
      </c>
      <c r="C341" s="3" t="str">
        <f t="shared" si="3"/>
        <v>=&gt;</v>
      </c>
      <c r="D341" s="21" t="s">
        <v>62</v>
      </c>
      <c r="E341" s="501" t="s">
        <v>863</v>
      </c>
      <c r="F341" s="21" t="s">
        <v>64</v>
      </c>
      <c r="G341" s="8"/>
      <c r="H341" s="8"/>
      <c r="I341" s="8"/>
      <c r="J341" s="8"/>
      <c r="K341" s="8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>
        <f t="shared" si="1"/>
        <v>342</v>
      </c>
      <c r="B342" s="500" t="s">
        <v>993</v>
      </c>
      <c r="C342" s="3" t="str">
        <f t="shared" si="3"/>
        <v>=&gt;</v>
      </c>
      <c r="D342" s="21" t="s">
        <v>887</v>
      </c>
      <c r="E342" s="499" t="s">
        <v>992</v>
      </c>
      <c r="F342" s="500" t="s">
        <v>993</v>
      </c>
      <c r="G342" s="8"/>
      <c r="H342" s="8"/>
      <c r="I342" s="8"/>
      <c r="J342" s="8"/>
      <c r="K342" s="8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>
        <f t="shared" si="1"/>
        <v>343</v>
      </c>
      <c r="B343" s="500" t="s">
        <v>993</v>
      </c>
      <c r="C343" s="3" t="str">
        <f t="shared" si="3"/>
        <v>=&gt;</v>
      </c>
      <c r="D343" s="21" t="s">
        <v>120</v>
      </c>
      <c r="E343" s="499" t="s">
        <v>992</v>
      </c>
      <c r="F343" s="500" t="s">
        <v>993</v>
      </c>
      <c r="G343" s="8"/>
      <c r="H343" s="8"/>
      <c r="I343" s="8"/>
      <c r="J343" s="8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>
        <f t="shared" si="1"/>
        <v>344</v>
      </c>
      <c r="B344" s="500" t="s">
        <v>993</v>
      </c>
      <c r="C344" s="3" t="str">
        <f t="shared" si="3"/>
        <v>=&gt;</v>
      </c>
      <c r="D344" s="21" t="s">
        <v>121</v>
      </c>
      <c r="E344" s="499" t="s">
        <v>992</v>
      </c>
      <c r="F344" s="500" t="s">
        <v>993</v>
      </c>
      <c r="G344" s="8"/>
      <c r="H344" s="8"/>
      <c r="I344" s="8"/>
      <c r="J344" s="8"/>
      <c r="K344" s="8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>
        <f t="shared" si="1"/>
        <v>345</v>
      </c>
      <c r="B345" s="500" t="s">
        <v>993</v>
      </c>
      <c r="C345" s="3" t="str">
        <f t="shared" si="3"/>
        <v>=&gt;</v>
      </c>
      <c r="D345" s="21" t="s">
        <v>8</v>
      </c>
      <c r="E345" s="8"/>
      <c r="F345" s="8"/>
      <c r="G345" s="8"/>
      <c r="H345" s="8"/>
      <c r="I345" s="8"/>
      <c r="J345" s="8"/>
      <c r="K345" s="8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>
        <f t="shared" si="1"/>
        <v>346</v>
      </c>
      <c r="B346" s="498" t="s">
        <v>991</v>
      </c>
      <c r="C346" s="3" t="str">
        <f t="shared" si="3"/>
        <v>=&gt;</v>
      </c>
      <c r="D346" s="502" t="s">
        <v>924</v>
      </c>
      <c r="E346" s="497" t="s">
        <v>990</v>
      </c>
      <c r="F346" s="498" t="s">
        <v>991</v>
      </c>
      <c r="G346" s="8"/>
      <c r="H346" s="8"/>
      <c r="I346" s="8"/>
      <c r="J346" s="8"/>
      <c r="K346" s="8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>
        <f t="shared" si="1"/>
        <v>347</v>
      </c>
      <c r="B347" s="498" t="s">
        <v>991</v>
      </c>
      <c r="C347" s="3" t="str">
        <f t="shared" si="3"/>
        <v>=&gt;</v>
      </c>
      <c r="D347" s="21" t="s">
        <v>41</v>
      </c>
      <c r="E347" s="497" t="s">
        <v>990</v>
      </c>
      <c r="F347" s="498" t="s">
        <v>991</v>
      </c>
      <c r="G347" s="8"/>
      <c r="H347" s="8"/>
      <c r="I347" s="8"/>
      <c r="J347" s="8"/>
      <c r="K347" s="8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>
        <f t="shared" si="1"/>
        <v>348</v>
      </c>
      <c r="B348" s="498" t="s">
        <v>991</v>
      </c>
      <c r="C348" s="3" t="str">
        <f t="shared" si="3"/>
        <v>=&gt;</v>
      </c>
      <c r="D348" s="21" t="s">
        <v>8</v>
      </c>
      <c r="E348" s="8"/>
      <c r="F348" s="8"/>
      <c r="G348" s="8"/>
      <c r="H348" s="8"/>
      <c r="I348" s="8"/>
      <c r="J348" s="8"/>
      <c r="K348" s="8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>
        <f t="shared" si="1"/>
        <v>349</v>
      </c>
      <c r="B349" s="488" t="s">
        <v>984</v>
      </c>
      <c r="C349" s="3" t="str">
        <f t="shared" si="3"/>
        <v>=&gt;</v>
      </c>
      <c r="D349" s="360" t="s">
        <v>860</v>
      </c>
      <c r="E349" s="368" t="s">
        <v>869</v>
      </c>
      <c r="F349" s="369" t="s">
        <v>870</v>
      </c>
      <c r="G349" s="503" t="s">
        <v>994</v>
      </c>
      <c r="H349" s="8"/>
      <c r="I349" s="8"/>
      <c r="J349" s="8"/>
      <c r="K349" s="8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>
        <f t="shared" si="1"/>
        <v>350</v>
      </c>
      <c r="B350" s="488" t="s">
        <v>984</v>
      </c>
      <c r="C350" s="3" t="str">
        <f t="shared" si="3"/>
        <v>=&gt;</v>
      </c>
      <c r="D350" s="371" t="s">
        <v>872</v>
      </c>
      <c r="E350" s="372" t="s">
        <v>873</v>
      </c>
      <c r="F350" s="373" t="s">
        <v>874</v>
      </c>
      <c r="G350" s="504" t="s">
        <v>995</v>
      </c>
      <c r="H350" s="8"/>
      <c r="I350" s="8"/>
      <c r="J350" s="8"/>
      <c r="K350" s="8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>
        <f t="shared" si="1"/>
        <v>351</v>
      </c>
      <c r="B351" s="488" t="s">
        <v>984</v>
      </c>
      <c r="C351" s="3" t="str">
        <f t="shared" si="3"/>
        <v>=&gt;</v>
      </c>
      <c r="D351" s="375" t="s">
        <v>876</v>
      </c>
      <c r="E351" s="376" t="s">
        <v>877</v>
      </c>
      <c r="F351" s="505" t="s">
        <v>996</v>
      </c>
      <c r="G351" s="8"/>
      <c r="H351" s="8"/>
      <c r="I351" s="8"/>
      <c r="J351" s="8"/>
      <c r="K351" s="8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>
        <f t="shared" si="1"/>
        <v>352</v>
      </c>
      <c r="B352" s="488" t="s">
        <v>984</v>
      </c>
      <c r="C352" s="3" t="str">
        <f t="shared" si="3"/>
        <v>=&gt;</v>
      </c>
      <c r="D352" s="378" t="s">
        <v>879</v>
      </c>
      <c r="E352" s="379" t="s">
        <v>880</v>
      </c>
      <c r="F352" s="506" t="s">
        <v>997</v>
      </c>
      <c r="G352" s="8"/>
      <c r="H352" s="8"/>
      <c r="I352" s="8"/>
      <c r="J352" s="8"/>
      <c r="K352" s="8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>
        <f t="shared" si="1"/>
        <v>353</v>
      </c>
      <c r="B353" s="488" t="s">
        <v>984</v>
      </c>
      <c r="C353" s="3" t="str">
        <f t="shared" si="3"/>
        <v>=&gt;</v>
      </c>
      <c r="D353" s="8" t="s">
        <v>885</v>
      </c>
      <c r="E353" s="384" t="s">
        <v>886</v>
      </c>
      <c r="F353" s="506" t="s">
        <v>997</v>
      </c>
      <c r="G353" s="8"/>
      <c r="H353" s="8"/>
      <c r="I353" s="8"/>
      <c r="J353" s="8"/>
      <c r="K353" s="8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>
        <f t="shared" si="1"/>
        <v>354</v>
      </c>
      <c r="B354" s="488" t="s">
        <v>984</v>
      </c>
      <c r="C354" s="3" t="str">
        <f t="shared" si="3"/>
        <v>=&gt;</v>
      </c>
      <c r="D354" s="361" t="s">
        <v>861</v>
      </c>
      <c r="E354" s="380" t="s">
        <v>881</v>
      </c>
      <c r="F354" s="381" t="s">
        <v>882</v>
      </c>
      <c r="G354" s="507" t="s">
        <v>998</v>
      </c>
      <c r="H354" s="8"/>
      <c r="I354" s="8"/>
      <c r="J354" s="8"/>
      <c r="K354" s="8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>
        <f t="shared" si="1"/>
        <v>355</v>
      </c>
      <c r="B355" s="488" t="s">
        <v>984</v>
      </c>
      <c r="C355" s="3" t="str">
        <f t="shared" si="3"/>
        <v>=&gt;</v>
      </c>
      <c r="D355" s="8" t="s">
        <v>62</v>
      </c>
      <c r="E355" s="488" t="s">
        <v>984</v>
      </c>
      <c r="F355" s="507" t="s">
        <v>998</v>
      </c>
      <c r="G355" s="8"/>
      <c r="H355" s="8"/>
      <c r="I355" s="8"/>
      <c r="J355" s="8"/>
      <c r="K355" s="8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>
        <f t="shared" si="1"/>
        <v>356</v>
      </c>
      <c r="B356" s="503" t="s">
        <v>994</v>
      </c>
      <c r="C356" s="3" t="str">
        <f t="shared" si="3"/>
        <v>=&gt;</v>
      </c>
      <c r="D356" s="8" t="s">
        <v>64</v>
      </c>
      <c r="E356" s="368" t="s">
        <v>869</v>
      </c>
      <c r="F356" s="369" t="s">
        <v>870</v>
      </c>
      <c r="G356" s="489" t="s">
        <v>985</v>
      </c>
      <c r="H356" s="8"/>
      <c r="I356" s="8"/>
      <c r="J356" s="8"/>
      <c r="K356" s="8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>
        <f t="shared" si="1"/>
        <v>357</v>
      </c>
      <c r="B357" s="503" t="s">
        <v>994</v>
      </c>
      <c r="C357" s="3" t="str">
        <f t="shared" si="3"/>
        <v>=&gt;</v>
      </c>
      <c r="D357" s="489" t="s">
        <v>985</v>
      </c>
      <c r="E357" s="379" t="s">
        <v>880</v>
      </c>
      <c r="F357" s="506" t="s">
        <v>997</v>
      </c>
      <c r="G357" s="8"/>
      <c r="H357" s="8"/>
      <c r="I357" s="8"/>
      <c r="J357" s="8"/>
      <c r="K357" s="8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>
        <f t="shared" si="1"/>
        <v>358</v>
      </c>
      <c r="B358" s="489" t="s">
        <v>985</v>
      </c>
      <c r="C358" s="3" t="str">
        <f t="shared" si="3"/>
        <v>=&gt;</v>
      </c>
      <c r="D358" s="417" t="s">
        <v>934</v>
      </c>
      <c r="E358" s="431" t="s">
        <v>935</v>
      </c>
      <c r="F358" s="8"/>
      <c r="G358" s="8"/>
      <c r="H358" s="8"/>
      <c r="I358" s="8"/>
      <c r="J358" s="8"/>
      <c r="K358" s="8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>
        <f t="shared" si="1"/>
        <v>359</v>
      </c>
      <c r="B359" s="489" t="s">
        <v>985</v>
      </c>
      <c r="C359" s="3" t="str">
        <f t="shared" si="3"/>
        <v>=&gt;</v>
      </c>
      <c r="D359" s="8" t="s">
        <v>163</v>
      </c>
      <c r="E359" s="431" t="s">
        <v>935</v>
      </c>
      <c r="F359" s="8"/>
      <c r="G359" s="8"/>
      <c r="H359" s="8"/>
      <c r="I359" s="8"/>
      <c r="J359" s="8"/>
      <c r="K359" s="8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>
        <f t="shared" si="1"/>
        <v>360</v>
      </c>
      <c r="B360" s="489" t="s">
        <v>985</v>
      </c>
      <c r="C360" s="3" t="str">
        <f t="shared" si="3"/>
        <v>=&gt;</v>
      </c>
      <c r="D360" s="8" t="s">
        <v>167</v>
      </c>
      <c r="E360" s="431" t="s">
        <v>935</v>
      </c>
      <c r="F360" s="8"/>
      <c r="G360" s="8"/>
      <c r="H360" s="8"/>
      <c r="I360" s="8"/>
      <c r="J360" s="8"/>
      <c r="K360" s="8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>
        <f t="shared" si="1"/>
        <v>361</v>
      </c>
      <c r="B361" s="489" t="s">
        <v>985</v>
      </c>
      <c r="C361" s="3" t="str">
        <f t="shared" si="3"/>
        <v>=&gt;</v>
      </c>
      <c r="D361" s="8" t="s">
        <v>166</v>
      </c>
      <c r="E361" s="431" t="s">
        <v>935</v>
      </c>
      <c r="F361" s="8"/>
      <c r="G361" s="8"/>
      <c r="H361" s="8"/>
      <c r="I361" s="8"/>
      <c r="J361" s="8"/>
      <c r="K361" s="8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>
        <f t="shared" si="1"/>
        <v>362</v>
      </c>
      <c r="B362" s="489" t="s">
        <v>985</v>
      </c>
      <c r="C362" s="3" t="str">
        <f t="shared" si="3"/>
        <v>=&gt;</v>
      </c>
      <c r="D362" s="8" t="s">
        <v>165</v>
      </c>
      <c r="E362" s="431" t="s">
        <v>935</v>
      </c>
      <c r="F362" s="8"/>
      <c r="G362" s="8"/>
      <c r="H362" s="8"/>
      <c r="I362" s="8"/>
      <c r="J362" s="8"/>
      <c r="K362" s="8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>
        <f t="shared" si="1"/>
        <v>363</v>
      </c>
      <c r="B363" s="489" t="s">
        <v>985</v>
      </c>
      <c r="C363" s="3" t="str">
        <f t="shared" si="3"/>
        <v>=&gt;</v>
      </c>
      <c r="D363" s="8" t="s">
        <v>164</v>
      </c>
      <c r="E363" s="431" t="s">
        <v>935</v>
      </c>
      <c r="F363" s="8"/>
      <c r="G363" s="8"/>
      <c r="H363" s="8"/>
      <c r="I363" s="8"/>
      <c r="J363" s="8"/>
      <c r="K363" s="8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>
        <f t="shared" si="1"/>
        <v>364</v>
      </c>
      <c r="B364" s="506" t="s">
        <v>997</v>
      </c>
      <c r="C364" s="3" t="str">
        <f t="shared" si="3"/>
        <v>=&gt;</v>
      </c>
      <c r="D364" s="8" t="s">
        <v>64</v>
      </c>
      <c r="E364" s="8"/>
      <c r="F364" s="8"/>
      <c r="G364" s="8"/>
      <c r="H364" s="8"/>
      <c r="I364" s="8"/>
      <c r="J364" s="8"/>
      <c r="K364" s="8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>
        <f t="shared" si="1"/>
        <v>365</v>
      </c>
      <c r="B365" s="504" t="s">
        <v>995</v>
      </c>
      <c r="C365" s="3" t="str">
        <f t="shared" si="3"/>
        <v>=&gt;</v>
      </c>
      <c r="D365" s="8" t="s">
        <v>64</v>
      </c>
      <c r="E365" s="372" t="s">
        <v>873</v>
      </c>
      <c r="F365" s="373" t="s">
        <v>874</v>
      </c>
      <c r="G365" s="490" t="s">
        <v>986</v>
      </c>
      <c r="H365" s="8"/>
      <c r="I365" s="8"/>
      <c r="J365" s="8"/>
      <c r="K365" s="8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>
        <f t="shared" si="1"/>
        <v>366</v>
      </c>
      <c r="B366" s="504" t="s">
        <v>995</v>
      </c>
      <c r="C366" s="3" t="str">
        <f t="shared" si="3"/>
        <v>=&gt;</v>
      </c>
      <c r="D366" s="490" t="s">
        <v>986</v>
      </c>
      <c r="E366" s="379" t="s">
        <v>880</v>
      </c>
      <c r="F366" s="506" t="s">
        <v>997</v>
      </c>
      <c r="G366" s="8"/>
      <c r="H366" s="8"/>
      <c r="I366" s="8"/>
      <c r="J366" s="8"/>
      <c r="K366" s="8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>
        <f t="shared" si="1"/>
        <v>367</v>
      </c>
      <c r="B367" s="490" t="s">
        <v>986</v>
      </c>
      <c r="C367" s="3" t="str">
        <f t="shared" si="3"/>
        <v>=&gt;</v>
      </c>
      <c r="D367" s="417" t="s">
        <v>934</v>
      </c>
      <c r="E367" s="443" t="s">
        <v>947</v>
      </c>
      <c r="F367" s="8"/>
      <c r="G367" s="8"/>
      <c r="H367" s="8"/>
      <c r="I367" s="8"/>
      <c r="J367" s="8"/>
      <c r="K367" s="8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>
        <f t="shared" si="1"/>
        <v>368</v>
      </c>
      <c r="B368" s="490" t="s">
        <v>986</v>
      </c>
      <c r="C368" s="3" t="str">
        <f t="shared" si="3"/>
        <v>=&gt;</v>
      </c>
      <c r="D368" s="8" t="s">
        <v>163</v>
      </c>
      <c r="E368" s="443" t="s">
        <v>947</v>
      </c>
      <c r="F368" s="8"/>
      <c r="G368" s="8"/>
      <c r="H368" s="8"/>
      <c r="I368" s="8"/>
      <c r="J368" s="8"/>
      <c r="K368" s="8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>
        <f t="shared" si="1"/>
        <v>369</v>
      </c>
      <c r="B369" s="490" t="s">
        <v>986</v>
      </c>
      <c r="C369" s="3" t="str">
        <f t="shared" si="3"/>
        <v>=&gt;</v>
      </c>
      <c r="D369" s="8" t="s">
        <v>167</v>
      </c>
      <c r="E369" s="443" t="s">
        <v>947</v>
      </c>
      <c r="F369" s="8"/>
      <c r="G369" s="8"/>
      <c r="H369" s="8"/>
      <c r="I369" s="8"/>
      <c r="J369" s="8"/>
      <c r="K369" s="8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>
        <f t="shared" si="1"/>
        <v>370</v>
      </c>
      <c r="B370" s="490" t="s">
        <v>986</v>
      </c>
      <c r="C370" s="3" t="str">
        <f t="shared" si="3"/>
        <v>=&gt;</v>
      </c>
      <c r="D370" s="8" t="s">
        <v>166</v>
      </c>
      <c r="E370" s="443" t="s">
        <v>947</v>
      </c>
      <c r="F370" s="8"/>
      <c r="G370" s="8"/>
      <c r="H370" s="8"/>
      <c r="I370" s="8"/>
      <c r="J370" s="8"/>
      <c r="K370" s="8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>
        <f t="shared" si="1"/>
        <v>371</v>
      </c>
      <c r="B371" s="490" t="s">
        <v>986</v>
      </c>
      <c r="C371" s="3" t="str">
        <f t="shared" si="3"/>
        <v>=&gt;</v>
      </c>
      <c r="D371" s="8" t="s">
        <v>165</v>
      </c>
      <c r="E371" s="443" t="s">
        <v>947</v>
      </c>
      <c r="F371" s="8"/>
      <c r="G371" s="8"/>
      <c r="H371" s="8"/>
      <c r="I371" s="8"/>
      <c r="J371" s="8"/>
      <c r="K371" s="8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>
        <f t="shared" si="1"/>
        <v>372</v>
      </c>
      <c r="B372" s="490" t="s">
        <v>986</v>
      </c>
      <c r="C372" s="3" t="str">
        <f t="shared" si="3"/>
        <v>=&gt;</v>
      </c>
      <c r="D372" s="8" t="s">
        <v>164</v>
      </c>
      <c r="E372" s="443" t="s">
        <v>947</v>
      </c>
      <c r="F372" s="8"/>
      <c r="G372" s="8"/>
      <c r="H372" s="8"/>
      <c r="I372" s="8"/>
      <c r="J372" s="8"/>
      <c r="K372" s="8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>
        <f t="shared" si="1"/>
        <v>373</v>
      </c>
      <c r="B373" s="505" t="s">
        <v>996</v>
      </c>
      <c r="C373" s="3" t="str">
        <f t="shared" si="3"/>
        <v>=&gt;</v>
      </c>
      <c r="D373" s="8" t="s">
        <v>64</v>
      </c>
      <c r="E373" s="376" t="s">
        <v>877</v>
      </c>
      <c r="F373" s="491" t="s">
        <v>987</v>
      </c>
      <c r="G373" s="8"/>
      <c r="H373" s="8"/>
      <c r="I373" s="8"/>
      <c r="J373" s="8"/>
      <c r="K373" s="8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>
        <f t="shared" si="1"/>
        <v>374</v>
      </c>
      <c r="B374" s="505" t="s">
        <v>996</v>
      </c>
      <c r="C374" s="3" t="str">
        <f t="shared" si="3"/>
        <v>=&gt;</v>
      </c>
      <c r="D374" s="491" t="s">
        <v>987</v>
      </c>
      <c r="E374" s="379" t="s">
        <v>880</v>
      </c>
      <c r="F374" s="506" t="s">
        <v>997</v>
      </c>
      <c r="G374" s="8"/>
      <c r="H374" s="8"/>
      <c r="I374" s="8"/>
      <c r="J374" s="8"/>
      <c r="K374" s="8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>
        <f t="shared" si="1"/>
        <v>375</v>
      </c>
      <c r="B375" s="508" t="s">
        <v>987</v>
      </c>
      <c r="C375" s="3" t="str">
        <f t="shared" si="3"/>
        <v>=&gt;</v>
      </c>
      <c r="D375" s="21" t="s">
        <v>167</v>
      </c>
      <c r="E375" s="450" t="s">
        <v>952</v>
      </c>
      <c r="F375" s="8"/>
      <c r="G375" s="8"/>
      <c r="H375" s="8"/>
      <c r="I375" s="8"/>
      <c r="J375" s="8"/>
      <c r="K375" s="8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>
        <f t="shared" si="1"/>
        <v>376</v>
      </c>
      <c r="B376" s="508" t="s">
        <v>987</v>
      </c>
      <c r="C376" s="3" t="str">
        <f t="shared" si="3"/>
        <v>=&gt;</v>
      </c>
      <c r="D376" s="21" t="s">
        <v>166</v>
      </c>
      <c r="E376" s="450" t="s">
        <v>952</v>
      </c>
      <c r="F376" s="8"/>
      <c r="G376" s="8"/>
      <c r="H376" s="8"/>
      <c r="I376" s="8"/>
      <c r="J376" s="8"/>
      <c r="K376" s="8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>
        <f t="shared" si="1"/>
        <v>377</v>
      </c>
      <c r="B377" s="508" t="s">
        <v>987</v>
      </c>
      <c r="C377" s="3" t="str">
        <f t="shared" si="3"/>
        <v>=&gt;</v>
      </c>
      <c r="D377" s="21" t="s">
        <v>165</v>
      </c>
      <c r="E377" s="450" t="s">
        <v>952</v>
      </c>
      <c r="F377" s="8"/>
      <c r="G377" s="8"/>
      <c r="H377" s="8"/>
      <c r="I377" s="8"/>
      <c r="J377" s="8"/>
      <c r="K377" s="8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>
        <f t="shared" si="1"/>
        <v>378</v>
      </c>
      <c r="B378" s="508" t="s">
        <v>987</v>
      </c>
      <c r="C378" s="3" t="str">
        <f t="shared" si="3"/>
        <v>=&gt;</v>
      </c>
      <c r="D378" s="21" t="s">
        <v>164</v>
      </c>
      <c r="E378" s="450" t="s">
        <v>952</v>
      </c>
      <c r="F378" s="8"/>
      <c r="G378" s="8"/>
      <c r="H378" s="8"/>
      <c r="I378" s="8"/>
      <c r="J378" s="8"/>
      <c r="K378" s="8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>
        <f t="shared" si="1"/>
        <v>379</v>
      </c>
      <c r="B379" s="491" t="s">
        <v>987</v>
      </c>
      <c r="C379" s="3" t="str">
        <f t="shared" si="3"/>
        <v>=&gt;</v>
      </c>
      <c r="D379" s="417" t="s">
        <v>934</v>
      </c>
      <c r="E379" s="448" t="s">
        <v>952</v>
      </c>
      <c r="F379" s="8"/>
      <c r="G379" s="8"/>
      <c r="H379" s="8"/>
      <c r="I379" s="8"/>
      <c r="J379" s="8"/>
      <c r="K379" s="8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>
        <f t="shared" si="1"/>
        <v>380</v>
      </c>
      <c r="B380" s="491" t="s">
        <v>987</v>
      </c>
      <c r="C380" s="3" t="str">
        <f t="shared" si="3"/>
        <v>=&gt;</v>
      </c>
      <c r="D380" s="8" t="s">
        <v>163</v>
      </c>
      <c r="E380" s="448" t="s">
        <v>952</v>
      </c>
      <c r="F380" s="8"/>
      <c r="G380" s="8"/>
      <c r="H380" s="8"/>
      <c r="I380" s="8"/>
      <c r="J380" s="8"/>
      <c r="K380" s="8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>
        <f t="shared" si="1"/>
        <v>381</v>
      </c>
      <c r="B381" s="507" t="s">
        <v>998</v>
      </c>
      <c r="C381" s="3" t="str">
        <f t="shared" si="3"/>
        <v>=&gt;</v>
      </c>
      <c r="D381" s="8" t="s">
        <v>64</v>
      </c>
      <c r="E381" s="380" t="s">
        <v>881</v>
      </c>
      <c r="F381" s="381" t="s">
        <v>882</v>
      </c>
      <c r="G381" s="492" t="s">
        <v>988</v>
      </c>
      <c r="H381" s="8"/>
      <c r="I381" s="8"/>
      <c r="J381" s="8"/>
      <c r="K381" s="8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>
        <f t="shared" si="1"/>
        <v>382</v>
      </c>
      <c r="B382" s="507" t="s">
        <v>998</v>
      </c>
      <c r="C382" s="3" t="str">
        <f t="shared" si="3"/>
        <v>=&gt;</v>
      </c>
      <c r="D382" s="492" t="s">
        <v>988</v>
      </c>
      <c r="E382" s="379" t="s">
        <v>880</v>
      </c>
      <c r="F382" s="506" t="s">
        <v>997</v>
      </c>
      <c r="G382" s="8"/>
      <c r="H382" s="8"/>
      <c r="I382" s="8"/>
      <c r="J382" s="8"/>
      <c r="K382" s="8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>
        <f t="shared" si="1"/>
        <v>383</v>
      </c>
      <c r="B383" s="486" t="s">
        <v>982</v>
      </c>
      <c r="C383" s="3" t="str">
        <f t="shared" si="3"/>
        <v>=&gt;</v>
      </c>
      <c r="D383" s="417" t="s">
        <v>934</v>
      </c>
      <c r="E383" s="483" t="s">
        <v>979</v>
      </c>
      <c r="F383" s="8"/>
      <c r="G383" s="8"/>
      <c r="H383" s="8"/>
      <c r="I383" s="8"/>
      <c r="J383" s="8"/>
      <c r="K383" s="8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>
        <f t="shared" si="1"/>
        <v>384</v>
      </c>
      <c r="B384" s="486" t="s">
        <v>982</v>
      </c>
      <c r="C384" s="3" t="str">
        <f t="shared" si="3"/>
        <v>=&gt;</v>
      </c>
      <c r="D384" s="8" t="s">
        <v>163</v>
      </c>
      <c r="E384" s="483" t="s">
        <v>979</v>
      </c>
      <c r="F384" s="8"/>
      <c r="G384" s="8"/>
      <c r="H384" s="8"/>
      <c r="I384" s="8"/>
      <c r="J384" s="8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>
        <f t="shared" si="1"/>
        <v>385</v>
      </c>
      <c r="B385" s="486" t="s">
        <v>982</v>
      </c>
      <c r="C385" s="3" t="str">
        <f t="shared" si="3"/>
        <v>=&gt;</v>
      </c>
      <c r="D385" s="8" t="s">
        <v>8</v>
      </c>
      <c r="E385" s="8"/>
      <c r="F385" s="8"/>
      <c r="G385" s="8"/>
      <c r="H385" s="8"/>
      <c r="I385" s="8"/>
      <c r="J385" s="8"/>
      <c r="K385" s="8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>
        <f t="shared" si="1"/>
        <v>386</v>
      </c>
      <c r="B386" s="484" t="s">
        <v>980</v>
      </c>
      <c r="C386" s="3" t="str">
        <f t="shared" si="3"/>
        <v>=&gt;</v>
      </c>
      <c r="D386" s="8" t="s">
        <v>936</v>
      </c>
      <c r="E386" s="483" t="s">
        <v>979</v>
      </c>
      <c r="F386" s="484" t="s">
        <v>980</v>
      </c>
      <c r="G386" s="8"/>
      <c r="H386" s="8"/>
      <c r="I386" s="8"/>
      <c r="J386" s="8"/>
      <c r="K386" s="8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>
        <f t="shared" si="1"/>
        <v>387</v>
      </c>
      <c r="B387" s="484" t="s">
        <v>980</v>
      </c>
      <c r="C387" s="3" t="str">
        <f t="shared" si="3"/>
        <v>=&gt;</v>
      </c>
      <c r="D387" s="8" t="s">
        <v>8</v>
      </c>
      <c r="E387" s="8"/>
      <c r="F387" s="8"/>
      <c r="G387" s="8"/>
      <c r="H387" s="8"/>
      <c r="I387" s="8"/>
      <c r="J387" s="8"/>
      <c r="K387" s="8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>
        <f t="shared" si="1"/>
        <v>388</v>
      </c>
      <c r="B388" s="482" t="s">
        <v>978</v>
      </c>
      <c r="C388" s="3" t="str">
        <f t="shared" si="3"/>
        <v>=&gt;</v>
      </c>
      <c r="D388" s="8" t="s">
        <v>937</v>
      </c>
      <c r="E388" s="481" t="s">
        <v>977</v>
      </c>
      <c r="F388" s="482" t="s">
        <v>978</v>
      </c>
      <c r="G388" s="8"/>
      <c r="H388" s="8"/>
      <c r="I388" s="8"/>
      <c r="J388" s="8"/>
      <c r="K388" s="8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>
        <f t="shared" si="1"/>
        <v>389</v>
      </c>
      <c r="B389" s="482" t="s">
        <v>978</v>
      </c>
      <c r="C389" s="3" t="str">
        <f t="shared" si="3"/>
        <v>=&gt;</v>
      </c>
      <c r="D389" s="8" t="s">
        <v>8</v>
      </c>
      <c r="E389" s="8"/>
      <c r="F389" s="8"/>
      <c r="G389" s="8"/>
      <c r="H389" s="8"/>
      <c r="I389" s="8"/>
      <c r="J389" s="8"/>
      <c r="K389" s="8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>
        <f t="shared" si="1"/>
        <v>390</v>
      </c>
      <c r="B390" s="478" t="s">
        <v>975</v>
      </c>
      <c r="C390" s="3" t="str">
        <f t="shared" si="3"/>
        <v>=&gt;</v>
      </c>
      <c r="D390" s="3" t="s">
        <v>38</v>
      </c>
      <c r="E390" s="3" t="s">
        <v>14</v>
      </c>
      <c r="F390" s="477" t="s">
        <v>974</v>
      </c>
      <c r="G390" s="478" t="s">
        <v>975</v>
      </c>
      <c r="H390" s="7"/>
      <c r="I390" s="3"/>
      <c r="J390" s="3"/>
      <c r="K390" s="3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>
        <f t="shared" si="1"/>
        <v>391</v>
      </c>
      <c r="B391" s="478" t="s">
        <v>975</v>
      </c>
      <c r="C391" s="3" t="str">
        <f t="shared" si="3"/>
        <v>=&gt;</v>
      </c>
      <c r="D391" s="3" t="s">
        <v>8</v>
      </c>
      <c r="E391" s="8"/>
      <c r="F391" s="3"/>
      <c r="G391" s="8"/>
      <c r="H391" s="7"/>
      <c r="I391" s="3"/>
      <c r="J391" s="3"/>
      <c r="K391" s="3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>
        <f t="shared" si="1"/>
        <v>392</v>
      </c>
      <c r="B392" s="348" t="s">
        <v>848</v>
      </c>
      <c r="C392" s="3" t="str">
        <f t="shared" si="3"/>
        <v>=&gt;</v>
      </c>
      <c r="D392" s="3" t="s">
        <v>999</v>
      </c>
      <c r="E392" s="3" t="s">
        <v>850</v>
      </c>
      <c r="F392" s="3" t="s">
        <v>14</v>
      </c>
      <c r="G392" s="3" t="str">
        <f>"="</f>
        <v>=</v>
      </c>
      <c r="H392" s="3" t="s">
        <v>30</v>
      </c>
      <c r="I392" s="509" t="s">
        <v>1000</v>
      </c>
      <c r="J392" s="3" t="s">
        <v>32</v>
      </c>
      <c r="K392" s="3" t="s">
        <v>6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>
        <f t="shared" si="1"/>
        <v>393</v>
      </c>
      <c r="B393" s="509" t="s">
        <v>1000</v>
      </c>
      <c r="C393" s="3" t="str">
        <f t="shared" si="3"/>
        <v>=&gt;</v>
      </c>
      <c r="D393" s="510" t="s">
        <v>1001</v>
      </c>
      <c r="E393" s="3" t="s">
        <v>6</v>
      </c>
      <c r="F393" s="511" t="s">
        <v>1002</v>
      </c>
      <c r="G393" s="8"/>
      <c r="H393" s="8"/>
      <c r="I393" s="8"/>
      <c r="J393" s="3"/>
      <c r="K393" s="3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>
        <f t="shared" si="1"/>
        <v>394</v>
      </c>
      <c r="B394" s="510" t="s">
        <v>1001</v>
      </c>
      <c r="C394" s="3" t="str">
        <f t="shared" si="3"/>
        <v>=&gt;</v>
      </c>
      <c r="D394" s="512" t="s">
        <v>1003</v>
      </c>
      <c r="E394" s="3" t="s">
        <v>850</v>
      </c>
      <c r="F394" s="3" t="s">
        <v>14</v>
      </c>
      <c r="G394" s="8"/>
      <c r="H394" s="8"/>
      <c r="I394" s="8"/>
      <c r="J394" s="3"/>
      <c r="K394" s="3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>
        <f t="shared" si="1"/>
        <v>395</v>
      </c>
      <c r="B395" s="512" t="s">
        <v>1003</v>
      </c>
      <c r="C395" s="3" t="str">
        <f t="shared" si="3"/>
        <v>=&gt;</v>
      </c>
      <c r="D395" s="3" t="s">
        <v>840</v>
      </c>
      <c r="E395" s="464" t="s">
        <v>964</v>
      </c>
      <c r="F395" s="8"/>
      <c r="G395" s="8"/>
      <c r="H395" s="8"/>
      <c r="I395" s="8"/>
      <c r="J395" s="3"/>
      <c r="K395" s="3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>
        <f t="shared" si="1"/>
        <v>396</v>
      </c>
      <c r="B396" s="512" t="s">
        <v>1003</v>
      </c>
      <c r="C396" s="3" t="str">
        <f t="shared" si="3"/>
        <v>=&gt;</v>
      </c>
      <c r="D396" s="3" t="s">
        <v>844</v>
      </c>
      <c r="E396" s="464" t="s">
        <v>964</v>
      </c>
      <c r="F396" s="3"/>
      <c r="G396" s="3"/>
      <c r="H396" s="3"/>
      <c r="I396" s="3"/>
      <c r="J396" s="3"/>
      <c r="K396" s="3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>
        <f t="shared" si="1"/>
        <v>397</v>
      </c>
      <c r="B397" s="512" t="s">
        <v>1003</v>
      </c>
      <c r="C397" s="3" t="str">
        <f t="shared" si="3"/>
        <v>=&gt;</v>
      </c>
      <c r="D397" s="3" t="s">
        <v>846</v>
      </c>
      <c r="E397" s="464" t="s">
        <v>964</v>
      </c>
      <c r="F397" s="3"/>
      <c r="G397" s="3"/>
      <c r="H397" s="3"/>
      <c r="I397" s="3"/>
      <c r="J397" s="3"/>
      <c r="K397" s="3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>
        <f t="shared" si="1"/>
        <v>398</v>
      </c>
      <c r="B398" s="512" t="s">
        <v>1003</v>
      </c>
      <c r="C398" s="3" t="str">
        <f t="shared" si="3"/>
        <v>=&gt;</v>
      </c>
      <c r="D398" s="3" t="s">
        <v>842</v>
      </c>
      <c r="E398" s="464" t="s">
        <v>964</v>
      </c>
      <c r="F398" s="3"/>
      <c r="G398" s="3"/>
      <c r="H398" s="3"/>
      <c r="I398" s="3"/>
      <c r="J398" s="3"/>
      <c r="K398" s="3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>
        <f t="shared" si="1"/>
        <v>399</v>
      </c>
      <c r="B399" s="512" t="s">
        <v>1003</v>
      </c>
      <c r="C399" s="3" t="str">
        <f t="shared" si="3"/>
        <v>=&gt;</v>
      </c>
      <c r="D399" s="3" t="s">
        <v>14</v>
      </c>
      <c r="E399" s="464" t="s">
        <v>964</v>
      </c>
      <c r="F399" s="3"/>
      <c r="G399" s="3"/>
      <c r="H399" s="3"/>
      <c r="I399" s="3"/>
      <c r="J399" s="3"/>
      <c r="K399" s="3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>
        <f t="shared" si="1"/>
        <v>400</v>
      </c>
      <c r="B400" s="511" t="s">
        <v>1002</v>
      </c>
      <c r="C400" s="3" t="str">
        <f t="shared" si="3"/>
        <v>=&gt;</v>
      </c>
      <c r="D400" s="509" t="s">
        <v>1000</v>
      </c>
      <c r="E400" s="3"/>
      <c r="F400" s="3"/>
      <c r="G400" s="3"/>
      <c r="H400" s="3"/>
      <c r="I400" s="3"/>
      <c r="J400" s="3"/>
      <c r="K400" s="3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>
        <f t="shared" si="1"/>
        <v>401</v>
      </c>
      <c r="B401" s="511" t="s">
        <v>1002</v>
      </c>
      <c r="C401" s="3" t="str">
        <f t="shared" si="3"/>
        <v>=&gt;</v>
      </c>
      <c r="D401" s="3" t="s">
        <v>8</v>
      </c>
      <c r="E401" s="3"/>
      <c r="F401" s="3"/>
      <c r="G401" s="3"/>
      <c r="H401" s="8"/>
      <c r="I401" s="3"/>
      <c r="J401" s="3"/>
      <c r="K401" s="3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>
        <f t="shared" si="1"/>
        <v>402</v>
      </c>
      <c r="B402" s="349" t="s">
        <v>849</v>
      </c>
      <c r="C402" s="3" t="str">
        <f t="shared" si="3"/>
        <v>=&gt;</v>
      </c>
      <c r="D402" s="3" t="s">
        <v>850</v>
      </c>
      <c r="E402" s="513" t="s">
        <v>1004</v>
      </c>
      <c r="F402" s="3" t="s">
        <v>6</v>
      </c>
      <c r="G402" s="514"/>
      <c r="H402" s="8"/>
      <c r="I402" s="3"/>
      <c r="J402" s="3"/>
      <c r="K402" s="3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>
        <f t="shared" si="1"/>
        <v>403</v>
      </c>
      <c r="B403" s="349" t="s">
        <v>849</v>
      </c>
      <c r="C403" s="3" t="str">
        <f t="shared" si="3"/>
        <v>=&gt;</v>
      </c>
      <c r="D403" s="351" t="s">
        <v>852</v>
      </c>
      <c r="E403" s="8"/>
      <c r="F403" s="514"/>
      <c r="G403" s="514"/>
      <c r="H403" s="514"/>
      <c r="I403" s="3"/>
      <c r="J403" s="3"/>
      <c r="K403" s="3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>
        <f t="shared" si="1"/>
        <v>404</v>
      </c>
      <c r="B404" s="513" t="s">
        <v>1004</v>
      </c>
      <c r="C404" s="3" t="str">
        <f t="shared" si="3"/>
        <v>=&gt;</v>
      </c>
      <c r="D404" s="3" t="s">
        <v>14</v>
      </c>
      <c r="E404" s="515" t="s">
        <v>1005</v>
      </c>
      <c r="F404" s="516" t="s">
        <v>1006</v>
      </c>
      <c r="G404" s="514"/>
      <c r="H404" s="3"/>
      <c r="I404" s="3"/>
      <c r="J404" s="3"/>
      <c r="K404" s="3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>
        <f t="shared" si="1"/>
        <v>405</v>
      </c>
      <c r="B405" s="515" t="s">
        <v>1005</v>
      </c>
      <c r="C405" s="3" t="str">
        <f t="shared" si="3"/>
        <v>=&gt;</v>
      </c>
      <c r="D405" s="3" t="str">
        <f>"="</f>
        <v>=</v>
      </c>
      <c r="E405" s="517" t="s">
        <v>1007</v>
      </c>
      <c r="F405" s="3"/>
      <c r="G405" s="3"/>
      <c r="H405" s="3"/>
      <c r="I405" s="3"/>
      <c r="J405" s="3"/>
      <c r="K405" s="3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>
        <f t="shared" si="1"/>
        <v>406</v>
      </c>
      <c r="B406" s="515" t="s">
        <v>1005</v>
      </c>
      <c r="C406" s="3" t="str">
        <f t="shared" si="3"/>
        <v>=&gt;</v>
      </c>
      <c r="D406" s="3" t="s">
        <v>8</v>
      </c>
      <c r="E406" s="3"/>
      <c r="F406" s="3"/>
      <c r="G406" s="3"/>
      <c r="H406" s="3"/>
      <c r="I406" s="3"/>
      <c r="J406" s="3"/>
      <c r="K406" s="3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>
        <f t="shared" si="1"/>
        <v>407</v>
      </c>
      <c r="B407" s="518" t="s">
        <v>1007</v>
      </c>
      <c r="C407" s="3" t="str">
        <f t="shared" si="3"/>
        <v>=&gt;</v>
      </c>
      <c r="D407" s="21" t="s">
        <v>30</v>
      </c>
      <c r="E407" s="519" t="s">
        <v>929</v>
      </c>
      <c r="F407" s="21" t="s">
        <v>32</v>
      </c>
      <c r="G407" s="8"/>
      <c r="H407" s="8"/>
      <c r="I407" s="8"/>
      <c r="J407" s="8"/>
      <c r="K407" s="8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>
        <f t="shared" si="1"/>
        <v>408</v>
      </c>
      <c r="B408" s="518" t="s">
        <v>1007</v>
      </c>
      <c r="C408" s="3" t="str">
        <f t="shared" si="3"/>
        <v>=&gt;</v>
      </c>
      <c r="D408" s="21" t="s">
        <v>861</v>
      </c>
      <c r="E408" s="8"/>
      <c r="F408" s="8"/>
      <c r="G408" s="8"/>
      <c r="H408" s="8"/>
      <c r="I408" s="8"/>
      <c r="J408" s="8"/>
      <c r="K408" s="8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>
        <f t="shared" si="1"/>
        <v>409</v>
      </c>
      <c r="B409" s="516" t="s">
        <v>1006</v>
      </c>
      <c r="C409" s="3" t="str">
        <f t="shared" si="3"/>
        <v>=&gt;</v>
      </c>
      <c r="D409" s="3" t="s">
        <v>38</v>
      </c>
      <c r="E409" s="513" t="s">
        <v>1004</v>
      </c>
      <c r="F409" s="3"/>
      <c r="G409" s="3"/>
      <c r="H409" s="3"/>
      <c r="I409" s="3"/>
      <c r="J409" s="3"/>
      <c r="K409" s="3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>
        <f t="shared" si="1"/>
        <v>410</v>
      </c>
      <c r="B410" s="516" t="s">
        <v>1006</v>
      </c>
      <c r="C410" s="3" t="str">
        <f t="shared" si="3"/>
        <v>=&gt;</v>
      </c>
      <c r="D410" s="3" t="s">
        <v>8</v>
      </c>
      <c r="E410" s="3"/>
      <c r="F410" s="3"/>
      <c r="G410" s="3"/>
      <c r="H410" s="3"/>
      <c r="I410" s="3"/>
      <c r="J410" s="3"/>
      <c r="K410" s="3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>
        <f t="shared" si="1"/>
        <v>411</v>
      </c>
      <c r="B411" s="342" t="s">
        <v>837</v>
      </c>
      <c r="C411" s="3" t="str">
        <f t="shared" si="3"/>
        <v>=&gt;</v>
      </c>
      <c r="D411" s="3" t="s">
        <v>1008</v>
      </c>
      <c r="E411" s="520" t="s">
        <v>1009</v>
      </c>
      <c r="F411" s="3" t="s">
        <v>62</v>
      </c>
      <c r="G411" s="521" t="s">
        <v>1010</v>
      </c>
      <c r="H411" s="3" t="s">
        <v>64</v>
      </c>
      <c r="I411" s="343" t="s">
        <v>839</v>
      </c>
      <c r="J411" s="342" t="s">
        <v>837</v>
      </c>
      <c r="K411" s="3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>
        <f t="shared" si="1"/>
        <v>412</v>
      </c>
      <c r="B412" s="342" t="s">
        <v>837</v>
      </c>
      <c r="C412" s="3" t="str">
        <f t="shared" si="3"/>
        <v>=&gt;</v>
      </c>
      <c r="D412" s="3" t="s">
        <v>8</v>
      </c>
      <c r="E412" s="3"/>
      <c r="F412" s="3"/>
      <c r="G412" s="3"/>
      <c r="H412" s="8"/>
      <c r="I412" s="3"/>
      <c r="J412" s="3"/>
      <c r="K412" s="8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>
        <f t="shared" si="1"/>
        <v>413</v>
      </c>
      <c r="B413" s="520" t="s">
        <v>1009</v>
      </c>
      <c r="C413" s="3" t="str">
        <f t="shared" si="3"/>
        <v>=&gt;</v>
      </c>
      <c r="D413" s="510" t="s">
        <v>1001</v>
      </c>
      <c r="E413" s="3"/>
      <c r="F413" s="3"/>
      <c r="G413" s="3"/>
      <c r="H413" s="3"/>
      <c r="I413" s="3"/>
      <c r="J413" s="3"/>
      <c r="K413" s="3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>
        <f t="shared" si="1"/>
        <v>414</v>
      </c>
      <c r="B414" s="521" t="s">
        <v>1010</v>
      </c>
      <c r="C414" s="3" t="str">
        <f t="shared" si="3"/>
        <v>=&gt;</v>
      </c>
      <c r="D414" s="510" t="s">
        <v>1001</v>
      </c>
      <c r="E414" s="522" t="s">
        <v>1011</v>
      </c>
      <c r="F414" s="3"/>
      <c r="G414" s="3"/>
      <c r="H414" s="3"/>
      <c r="I414" s="3"/>
      <c r="J414" s="3"/>
      <c r="K414" s="3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>
        <f t="shared" si="1"/>
        <v>415</v>
      </c>
      <c r="B415" s="521" t="s">
        <v>1010</v>
      </c>
      <c r="C415" s="3" t="str">
        <f t="shared" si="3"/>
        <v>=&gt;</v>
      </c>
      <c r="D415" s="3" t="s">
        <v>8</v>
      </c>
      <c r="E415" s="3"/>
      <c r="F415" s="3"/>
      <c r="G415" s="3"/>
      <c r="H415" s="3"/>
      <c r="I415" s="3"/>
      <c r="J415" s="3"/>
      <c r="K415" s="3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>
        <f t="shared" si="1"/>
        <v>416</v>
      </c>
      <c r="B416" s="522" t="s">
        <v>1011</v>
      </c>
      <c r="C416" s="3" t="str">
        <f t="shared" si="3"/>
        <v>=&gt;</v>
      </c>
      <c r="D416" s="3" t="s">
        <v>38</v>
      </c>
      <c r="E416" s="510" t="s">
        <v>1001</v>
      </c>
      <c r="F416" s="522" t="s">
        <v>1011</v>
      </c>
      <c r="G416" s="3"/>
      <c r="H416" s="3"/>
      <c r="I416" s="3"/>
      <c r="J416" s="3"/>
      <c r="K416" s="3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>
        <f t="shared" si="1"/>
        <v>417</v>
      </c>
      <c r="B417" s="522" t="s">
        <v>1011</v>
      </c>
      <c r="C417" s="3" t="str">
        <f t="shared" si="3"/>
        <v>=&gt;</v>
      </c>
      <c r="D417" s="3" t="s">
        <v>8</v>
      </c>
      <c r="E417" s="3"/>
      <c r="F417" s="3"/>
      <c r="G417" s="3"/>
      <c r="H417" s="3"/>
      <c r="I417" s="3"/>
      <c r="J417" s="3"/>
      <c r="K417" s="3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>
        <f t="shared" si="1"/>
        <v>418</v>
      </c>
      <c r="B418" s="343" t="s">
        <v>839</v>
      </c>
      <c r="C418" s="3" t="str">
        <f t="shared" si="3"/>
        <v>=&gt;</v>
      </c>
      <c r="D418" s="3" t="s">
        <v>17</v>
      </c>
      <c r="E418" s="523" t="s">
        <v>1012</v>
      </c>
      <c r="F418" s="524" t="s">
        <v>1013</v>
      </c>
      <c r="G418" s="3" t="s">
        <v>19</v>
      </c>
      <c r="H418" s="3"/>
      <c r="I418" s="3"/>
      <c r="J418" s="8"/>
      <c r="K418" s="8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>
        <f t="shared" si="1"/>
        <v>419</v>
      </c>
      <c r="B419" s="523" t="s">
        <v>1012</v>
      </c>
      <c r="C419" s="3" t="str">
        <f t="shared" si="3"/>
        <v>=&gt;</v>
      </c>
      <c r="D419" s="3" t="s">
        <v>840</v>
      </c>
      <c r="E419" s="525" t="s">
        <v>841</v>
      </c>
      <c r="F419" s="523" t="s">
        <v>1012</v>
      </c>
      <c r="G419" s="526"/>
      <c r="H419" s="526"/>
      <c r="I419" s="526"/>
      <c r="J419" s="526"/>
      <c r="K419" s="52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>
        <f t="shared" si="1"/>
        <v>420</v>
      </c>
      <c r="B420" s="523" t="s">
        <v>1012</v>
      </c>
      <c r="C420" s="3" t="str">
        <f t="shared" si="3"/>
        <v>=&gt;</v>
      </c>
      <c r="D420" s="3" t="s">
        <v>842</v>
      </c>
      <c r="E420" s="527" t="s">
        <v>843</v>
      </c>
      <c r="F420" s="523" t="s">
        <v>1012</v>
      </c>
      <c r="G420" s="526"/>
      <c r="H420" s="526"/>
      <c r="I420" s="526"/>
      <c r="J420" s="526"/>
      <c r="K420" s="52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>
        <f t="shared" si="1"/>
        <v>421</v>
      </c>
      <c r="B421" s="523" t="s">
        <v>1012</v>
      </c>
      <c r="C421" s="3" t="str">
        <f t="shared" si="3"/>
        <v>=&gt;</v>
      </c>
      <c r="D421" s="3" t="s">
        <v>844</v>
      </c>
      <c r="E421" s="528" t="s">
        <v>845</v>
      </c>
      <c r="F421" s="523" t="s">
        <v>1012</v>
      </c>
      <c r="G421" s="526"/>
      <c r="H421" s="526"/>
      <c r="I421" s="526"/>
      <c r="J421" s="526"/>
      <c r="K421" s="52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>
        <f t="shared" si="1"/>
        <v>422</v>
      </c>
      <c r="B422" s="523" t="s">
        <v>1012</v>
      </c>
      <c r="C422" s="3" t="str">
        <f t="shared" si="3"/>
        <v>=&gt;</v>
      </c>
      <c r="D422" s="3" t="s">
        <v>846</v>
      </c>
      <c r="E422" s="529" t="s">
        <v>847</v>
      </c>
      <c r="F422" s="523" t="s">
        <v>1012</v>
      </c>
      <c r="G422" s="526"/>
      <c r="H422" s="526"/>
      <c r="I422" s="526"/>
      <c r="J422" s="526"/>
      <c r="K422" s="52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>
        <f t="shared" si="1"/>
        <v>423</v>
      </c>
      <c r="B423" s="523" t="s">
        <v>1012</v>
      </c>
      <c r="C423" s="3" t="str">
        <f t="shared" si="3"/>
        <v>=&gt;</v>
      </c>
      <c r="D423" s="3" t="s">
        <v>14</v>
      </c>
      <c r="E423" s="530" t="s">
        <v>1014</v>
      </c>
      <c r="F423" s="8"/>
      <c r="G423" s="3"/>
      <c r="H423" s="3"/>
      <c r="I423" s="3"/>
      <c r="J423" s="3"/>
      <c r="K423" s="3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>
        <f t="shared" si="1"/>
        <v>424</v>
      </c>
      <c r="B424" s="523" t="s">
        <v>1012</v>
      </c>
      <c r="C424" s="3" t="str">
        <f t="shared" si="3"/>
        <v>=&gt;</v>
      </c>
      <c r="D424" s="3" t="s">
        <v>8</v>
      </c>
      <c r="E424" s="3"/>
      <c r="F424" s="3"/>
      <c r="G424" s="3"/>
      <c r="H424" s="3"/>
      <c r="I424" s="3"/>
      <c r="J424" s="3"/>
      <c r="K424" s="3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>
        <f t="shared" si="1"/>
        <v>425</v>
      </c>
      <c r="B425" s="530" t="s">
        <v>1014</v>
      </c>
      <c r="C425" s="3" t="str">
        <f t="shared" si="3"/>
        <v>=&gt;</v>
      </c>
      <c r="D425" s="3" t="s">
        <v>850</v>
      </c>
      <c r="E425" s="513" t="s">
        <v>1004</v>
      </c>
      <c r="F425" s="3" t="s">
        <v>6</v>
      </c>
      <c r="G425" s="523" t="s">
        <v>1012</v>
      </c>
      <c r="H425" s="8"/>
      <c r="I425" s="3"/>
      <c r="J425" s="3"/>
      <c r="K425" s="8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>
        <f t="shared" si="1"/>
        <v>426</v>
      </c>
      <c r="B426" s="530" t="s">
        <v>1014</v>
      </c>
      <c r="C426" s="3" t="str">
        <f t="shared" si="3"/>
        <v>=&gt;</v>
      </c>
      <c r="D426" s="3" t="s">
        <v>30</v>
      </c>
      <c r="E426" s="531" t="s">
        <v>1015</v>
      </c>
      <c r="F426" s="8"/>
      <c r="G426" s="8"/>
      <c r="H426" s="8"/>
      <c r="I426" s="3"/>
      <c r="J426" s="3"/>
      <c r="K426" s="8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>
        <f t="shared" si="1"/>
        <v>427</v>
      </c>
      <c r="B427" s="530" t="s">
        <v>1014</v>
      </c>
      <c r="C427" s="3" t="str">
        <f t="shared" si="3"/>
        <v>=&gt;</v>
      </c>
      <c r="D427" s="424" t="s">
        <v>930</v>
      </c>
      <c r="E427" s="532" t="s">
        <v>1016</v>
      </c>
      <c r="F427" s="395" t="s">
        <v>28</v>
      </c>
      <c r="G427" s="3" t="s">
        <v>6</v>
      </c>
      <c r="H427" s="524" t="s">
        <v>1013</v>
      </c>
      <c r="I427" s="3"/>
      <c r="J427" s="3"/>
      <c r="K427" s="8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>
        <f t="shared" si="1"/>
        <v>428</v>
      </c>
      <c r="B428" s="530" t="s">
        <v>1014</v>
      </c>
      <c r="C428" s="3" t="str">
        <f t="shared" si="3"/>
        <v>=&gt;</v>
      </c>
      <c r="D428" s="532" t="s">
        <v>1016</v>
      </c>
      <c r="E428" s="395" t="s">
        <v>28</v>
      </c>
      <c r="F428" s="3" t="s">
        <v>6</v>
      </c>
      <c r="G428" s="524" t="s">
        <v>1013</v>
      </c>
      <c r="H428" s="8"/>
      <c r="I428" s="3"/>
      <c r="J428" s="3"/>
      <c r="K428" s="8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>
        <f t="shared" si="1"/>
        <v>429</v>
      </c>
      <c r="B429" s="530" t="s">
        <v>1014</v>
      </c>
      <c r="C429" s="3" t="str">
        <f t="shared" si="3"/>
        <v>=&gt;</v>
      </c>
      <c r="D429" s="533" t="s">
        <v>1017</v>
      </c>
      <c r="E429" s="8" t="s">
        <v>6</v>
      </c>
      <c r="F429" s="524" t="s">
        <v>1013</v>
      </c>
      <c r="G429" s="8"/>
      <c r="H429" s="8"/>
      <c r="I429" s="3"/>
      <c r="J429" s="3"/>
      <c r="K429" s="8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>
        <f t="shared" si="1"/>
        <v>430</v>
      </c>
      <c r="B430" s="531" t="s">
        <v>1015</v>
      </c>
      <c r="C430" s="3" t="str">
        <f t="shared" si="3"/>
        <v>=&gt;</v>
      </c>
      <c r="D430" s="8" t="s">
        <v>32</v>
      </c>
      <c r="E430" s="464" t="s">
        <v>964</v>
      </c>
      <c r="F430" s="3" t="s">
        <v>850</v>
      </c>
      <c r="G430" s="534" t="s">
        <v>963</v>
      </c>
      <c r="H430" s="3" t="s">
        <v>6</v>
      </c>
      <c r="I430" s="523" t="s">
        <v>1012</v>
      </c>
      <c r="J430" s="3"/>
      <c r="K430" s="8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>
        <f t="shared" si="1"/>
        <v>431</v>
      </c>
      <c r="B431" s="531" t="s">
        <v>1015</v>
      </c>
      <c r="C431" s="3" t="str">
        <f t="shared" si="3"/>
        <v>=&gt;</v>
      </c>
      <c r="D431" s="354" t="s">
        <v>855</v>
      </c>
      <c r="E431" s="8" t="s">
        <v>32</v>
      </c>
      <c r="F431" s="535" t="s">
        <v>894</v>
      </c>
      <c r="G431" s="532" t="s">
        <v>1016</v>
      </c>
      <c r="H431" s="395" t="s">
        <v>28</v>
      </c>
      <c r="I431" s="3" t="s">
        <v>6</v>
      </c>
      <c r="J431" s="524" t="s">
        <v>1013</v>
      </c>
      <c r="K431" s="8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>
        <f t="shared" si="1"/>
        <v>432</v>
      </c>
      <c r="B432" s="532" t="s">
        <v>1016</v>
      </c>
      <c r="C432" s="3" t="str">
        <f t="shared" si="3"/>
        <v>=&gt;</v>
      </c>
      <c r="D432" s="8" t="str">
        <f>"="</f>
        <v>=</v>
      </c>
      <c r="E432" s="8"/>
      <c r="F432" s="8"/>
      <c r="G432" s="8"/>
      <c r="H432" s="3"/>
      <c r="I432" s="3"/>
      <c r="J432" s="3"/>
      <c r="K432" s="8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>
        <f t="shared" si="1"/>
        <v>433</v>
      </c>
      <c r="B433" s="532" t="s">
        <v>1016</v>
      </c>
      <c r="C433" s="3" t="str">
        <f t="shared" si="3"/>
        <v>=&gt;</v>
      </c>
      <c r="D433" s="8" t="str">
        <f>"+="</f>
        <v>+=</v>
      </c>
      <c r="E433" s="8"/>
      <c r="F433" s="8"/>
      <c r="G433" s="8"/>
      <c r="H433" s="3"/>
      <c r="I433" s="3"/>
      <c r="J433" s="3"/>
      <c r="K433" s="8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>
        <f t="shared" si="1"/>
        <v>434</v>
      </c>
      <c r="B434" s="532" t="s">
        <v>1016</v>
      </c>
      <c r="C434" s="3" t="str">
        <f t="shared" si="3"/>
        <v>=&gt;</v>
      </c>
      <c r="D434" s="8" t="str">
        <f>"-="</f>
        <v>-=</v>
      </c>
      <c r="E434" s="8"/>
      <c r="F434" s="8"/>
      <c r="G434" s="8"/>
      <c r="H434" s="3"/>
      <c r="I434" s="3"/>
      <c r="J434" s="3"/>
      <c r="K434" s="8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>
        <f t="shared" si="1"/>
        <v>435</v>
      </c>
      <c r="B435" s="532" t="s">
        <v>1016</v>
      </c>
      <c r="C435" s="3" t="str">
        <f t="shared" si="3"/>
        <v>=&gt;</v>
      </c>
      <c r="D435" s="8" t="str">
        <f>"*="</f>
        <v>*=</v>
      </c>
      <c r="E435" s="8"/>
      <c r="F435" s="8"/>
      <c r="G435" s="8"/>
      <c r="H435" s="3"/>
      <c r="I435" s="3"/>
      <c r="J435" s="3"/>
      <c r="K435" s="8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>
        <f t="shared" si="1"/>
        <v>436</v>
      </c>
      <c r="B436" s="532" t="s">
        <v>1016</v>
      </c>
      <c r="C436" s="3" t="str">
        <f t="shared" si="3"/>
        <v>=&gt;</v>
      </c>
      <c r="D436" s="8" t="str">
        <f>"/="</f>
        <v>/=</v>
      </c>
      <c r="E436" s="8"/>
      <c r="F436" s="8"/>
      <c r="G436" s="8"/>
      <c r="H436" s="3"/>
      <c r="I436" s="3"/>
      <c r="J436" s="3"/>
      <c r="K436" s="8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>
        <f t="shared" si="1"/>
        <v>437</v>
      </c>
      <c r="B437" s="532" t="s">
        <v>1016</v>
      </c>
      <c r="C437" s="3" t="str">
        <f t="shared" si="3"/>
        <v>=&gt;</v>
      </c>
      <c r="D437" s="8" t="str">
        <f>"%="</f>
        <v>%=</v>
      </c>
      <c r="E437" s="8"/>
      <c r="F437" s="8"/>
      <c r="G437" s="8"/>
      <c r="H437" s="3"/>
      <c r="I437" s="3"/>
      <c r="J437" s="3"/>
      <c r="K437" s="8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409">
        <f t="shared" si="1"/>
        <v>438</v>
      </c>
      <c r="B438" s="524" t="s">
        <v>1013</v>
      </c>
      <c r="C438" s="3" t="str">
        <f t="shared" si="3"/>
        <v>=&gt;</v>
      </c>
      <c r="D438" s="536" t="s">
        <v>1018</v>
      </c>
      <c r="E438" s="524" t="s">
        <v>1013</v>
      </c>
      <c r="F438" s="100"/>
      <c r="G438" s="537"/>
      <c r="H438" s="537"/>
      <c r="I438" s="537"/>
      <c r="J438" s="537"/>
      <c r="K438" s="537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409">
        <f t="shared" si="1"/>
        <v>439</v>
      </c>
      <c r="B439" s="524" t="s">
        <v>1013</v>
      </c>
      <c r="C439" s="3" t="str">
        <f t="shared" si="3"/>
        <v>=&gt;</v>
      </c>
      <c r="D439" s="538" t="s">
        <v>1019</v>
      </c>
      <c r="E439" s="3" t="s">
        <v>6</v>
      </c>
      <c r="F439" s="524" t="s">
        <v>1013</v>
      </c>
      <c r="G439" s="537"/>
      <c r="H439" s="537"/>
      <c r="I439" s="537"/>
      <c r="J439" s="537"/>
      <c r="K439" s="537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409">
        <f t="shared" si="1"/>
        <v>440</v>
      </c>
      <c r="B440" s="524" t="s">
        <v>1013</v>
      </c>
      <c r="C440" s="3" t="str">
        <f t="shared" si="3"/>
        <v>=&gt;</v>
      </c>
      <c r="D440" s="539" t="s">
        <v>1020</v>
      </c>
      <c r="E440" s="524" t="s">
        <v>1013</v>
      </c>
      <c r="F440" s="537"/>
      <c r="G440" s="537"/>
      <c r="H440" s="537"/>
      <c r="I440" s="537"/>
      <c r="J440" s="537"/>
      <c r="K440" s="537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409">
        <f t="shared" si="1"/>
        <v>441</v>
      </c>
      <c r="B441" s="524" t="s">
        <v>1013</v>
      </c>
      <c r="C441" s="3" t="str">
        <f t="shared" si="3"/>
        <v>=&gt;</v>
      </c>
      <c r="D441" s="540" t="s">
        <v>1021</v>
      </c>
      <c r="E441" s="524" t="s">
        <v>1013</v>
      </c>
      <c r="F441" s="537"/>
      <c r="G441" s="537"/>
      <c r="H441" s="537"/>
      <c r="I441" s="537"/>
      <c r="J441" s="537"/>
      <c r="K441" s="537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409">
        <f t="shared" si="1"/>
        <v>442</v>
      </c>
      <c r="B442" s="524" t="s">
        <v>1013</v>
      </c>
      <c r="C442" s="3" t="str">
        <f t="shared" si="3"/>
        <v>=&gt;</v>
      </c>
      <c r="D442" s="541" t="s">
        <v>1022</v>
      </c>
      <c r="E442" s="524" t="s">
        <v>1013</v>
      </c>
      <c r="F442" s="100"/>
      <c r="G442" s="537"/>
      <c r="H442" s="537"/>
      <c r="I442" s="537"/>
      <c r="J442" s="537"/>
      <c r="K442" s="537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409">
        <f t="shared" si="1"/>
        <v>443</v>
      </c>
      <c r="B443" s="524" t="s">
        <v>1013</v>
      </c>
      <c r="C443" s="3" t="str">
        <f t="shared" si="3"/>
        <v>=&gt;</v>
      </c>
      <c r="D443" s="542" t="s">
        <v>8</v>
      </c>
      <c r="E443" s="100"/>
      <c r="F443" s="100"/>
      <c r="G443" s="537"/>
      <c r="H443" s="537"/>
      <c r="I443" s="537"/>
      <c r="J443" s="537"/>
      <c r="K443" s="537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>
        <f t="shared" si="1"/>
        <v>444</v>
      </c>
      <c r="B444" s="543" t="s">
        <v>1018</v>
      </c>
      <c r="C444" s="3" t="str">
        <f t="shared" si="3"/>
        <v>=&gt;</v>
      </c>
      <c r="D444" s="3" t="s">
        <v>14</v>
      </c>
      <c r="E444" s="544" t="s">
        <v>1023</v>
      </c>
      <c r="F444" s="524" t="s">
        <v>1013</v>
      </c>
      <c r="G444" s="8"/>
      <c r="H444" s="8"/>
      <c r="I444" s="3"/>
      <c r="J444" s="3"/>
      <c r="K444" s="8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>
        <f t="shared" si="1"/>
        <v>445</v>
      </c>
      <c r="B445" s="544" t="s">
        <v>1023</v>
      </c>
      <c r="C445" s="3" t="str">
        <f t="shared" si="3"/>
        <v>=&gt;</v>
      </c>
      <c r="D445" s="533" t="s">
        <v>1017</v>
      </c>
      <c r="E445" s="8" t="s">
        <v>6</v>
      </c>
      <c r="F445" s="8"/>
      <c r="G445" s="8"/>
      <c r="H445" s="3"/>
      <c r="I445" s="3"/>
      <c r="J445" s="3"/>
      <c r="K445" s="8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>
        <f t="shared" si="1"/>
        <v>446</v>
      </c>
      <c r="B446" s="544" t="s">
        <v>1023</v>
      </c>
      <c r="C446" s="3" t="str">
        <f t="shared" si="3"/>
        <v>=&gt;</v>
      </c>
      <c r="D446" s="545" t="s">
        <v>1024</v>
      </c>
      <c r="E446" s="8"/>
      <c r="F446" s="8"/>
      <c r="G446" s="8"/>
      <c r="H446" s="3"/>
      <c r="I446" s="3"/>
      <c r="J446" s="3"/>
      <c r="K446" s="8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>
        <f t="shared" si="1"/>
        <v>447</v>
      </c>
      <c r="B447" s="533" t="s">
        <v>1017</v>
      </c>
      <c r="C447" s="3" t="str">
        <f t="shared" si="3"/>
        <v>=&gt;</v>
      </c>
      <c r="D447" s="546" t="s">
        <v>1025</v>
      </c>
      <c r="E447" s="393" t="s">
        <v>894</v>
      </c>
      <c r="F447" s="3"/>
      <c r="G447" s="8"/>
      <c r="H447" s="3"/>
      <c r="I447" s="3"/>
      <c r="J447" s="3"/>
      <c r="K447" s="3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>
        <f t="shared" si="1"/>
        <v>448</v>
      </c>
      <c r="B448" s="546" t="s">
        <v>1025</v>
      </c>
      <c r="C448" s="3" t="str">
        <f t="shared" si="3"/>
        <v>=&gt;</v>
      </c>
      <c r="D448" s="3" t="s">
        <v>62</v>
      </c>
      <c r="E448" s="394" t="s">
        <v>895</v>
      </c>
      <c r="F448" s="3" t="s">
        <v>64</v>
      </c>
      <c r="G448" s="8"/>
      <c r="H448" s="3"/>
      <c r="I448" s="3"/>
      <c r="J448" s="3"/>
      <c r="K448" s="3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>
        <f t="shared" si="1"/>
        <v>449</v>
      </c>
      <c r="B449" s="545" t="s">
        <v>1024</v>
      </c>
      <c r="C449" s="3" t="str">
        <f t="shared" si="3"/>
        <v>=&gt;</v>
      </c>
      <c r="D449" s="535" t="s">
        <v>894</v>
      </c>
      <c r="E449" s="532" t="s">
        <v>1016</v>
      </c>
      <c r="F449" s="395" t="s">
        <v>28</v>
      </c>
      <c r="G449" s="3" t="s">
        <v>6</v>
      </c>
      <c r="H449" s="8"/>
      <c r="I449" s="3"/>
      <c r="J449" s="3"/>
      <c r="K449" s="8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>
        <f t="shared" si="1"/>
        <v>450</v>
      </c>
      <c r="B450" s="547" t="s">
        <v>1019</v>
      </c>
      <c r="C450" s="3" t="str">
        <f t="shared" si="3"/>
        <v>=&gt;</v>
      </c>
      <c r="D450" s="548" t="s">
        <v>1026</v>
      </c>
      <c r="E450" s="8"/>
      <c r="F450" s="8"/>
      <c r="G450" s="8"/>
      <c r="H450" s="3"/>
      <c r="I450" s="3"/>
      <c r="J450" s="3"/>
      <c r="K450" s="3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3">
        <f t="shared" si="1"/>
        <v>451</v>
      </c>
      <c r="B451" s="548" t="s">
        <v>1026</v>
      </c>
      <c r="C451" s="3" t="str">
        <f t="shared" si="3"/>
        <v>=&gt;</v>
      </c>
      <c r="D451" s="428" t="s">
        <v>911</v>
      </c>
      <c r="E451" s="8" t="s">
        <v>62</v>
      </c>
      <c r="F451" s="364" t="s">
        <v>865</v>
      </c>
      <c r="G451" s="413" t="s">
        <v>38</v>
      </c>
      <c r="H451" s="366" t="s">
        <v>28</v>
      </c>
      <c r="I451" s="8" t="s">
        <v>64</v>
      </c>
      <c r="J451" s="3"/>
      <c r="K451" s="3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>
        <f t="shared" si="1"/>
        <v>452</v>
      </c>
      <c r="B452" s="548" t="s">
        <v>1026</v>
      </c>
      <c r="C452" s="3" t="str">
        <f t="shared" si="3"/>
        <v>=&gt;</v>
      </c>
      <c r="D452" s="428" t="s">
        <v>915</v>
      </c>
      <c r="E452" s="8" t="s">
        <v>62</v>
      </c>
      <c r="F452" s="412" t="s">
        <v>916</v>
      </c>
      <c r="G452" s="8" t="s">
        <v>64</v>
      </c>
      <c r="H452" s="40"/>
      <c r="I452" s="3"/>
      <c r="J452" s="3"/>
      <c r="K452" s="3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>
        <f t="shared" si="1"/>
        <v>453</v>
      </c>
      <c r="B453" s="548" t="s">
        <v>1026</v>
      </c>
      <c r="C453" s="3" t="str">
        <f t="shared" si="3"/>
        <v>=&gt;</v>
      </c>
      <c r="D453" s="428" t="s">
        <v>918</v>
      </c>
      <c r="E453" s="8" t="s">
        <v>62</v>
      </c>
      <c r="F453" s="412" t="s">
        <v>916</v>
      </c>
      <c r="G453" s="413" t="s">
        <v>38</v>
      </c>
      <c r="H453" s="355" t="s">
        <v>855</v>
      </c>
      <c r="I453" s="413" t="s">
        <v>38</v>
      </c>
      <c r="J453" s="355" t="s">
        <v>855</v>
      </c>
      <c r="K453" s="7" t="s">
        <v>64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>
        <f t="shared" si="1"/>
        <v>454</v>
      </c>
      <c r="B454" s="548" t="s">
        <v>1026</v>
      </c>
      <c r="C454" s="3" t="str">
        <f t="shared" si="3"/>
        <v>=&gt;</v>
      </c>
      <c r="D454" s="428" t="s">
        <v>919</v>
      </c>
      <c r="E454" s="8" t="s">
        <v>62</v>
      </c>
      <c r="F454" s="414" t="s">
        <v>920</v>
      </c>
      <c r="G454" s="413" t="s">
        <v>38</v>
      </c>
      <c r="H454" s="414" t="s">
        <v>920</v>
      </c>
      <c r="I454" s="8" t="s">
        <v>64</v>
      </c>
      <c r="J454" s="3"/>
      <c r="K454" s="3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>
        <f t="shared" si="1"/>
        <v>455</v>
      </c>
      <c r="B455" s="548" t="s">
        <v>1026</v>
      </c>
      <c r="C455" s="3" t="str">
        <f t="shared" si="3"/>
        <v>=&gt;</v>
      </c>
      <c r="D455" s="428" t="s">
        <v>867</v>
      </c>
      <c r="E455" s="8" t="s">
        <v>62</v>
      </c>
      <c r="F455" s="355" t="s">
        <v>855</v>
      </c>
      <c r="G455" s="8" t="s">
        <v>64</v>
      </c>
      <c r="H455" s="40"/>
      <c r="I455" s="3"/>
      <c r="J455" s="3"/>
      <c r="K455" s="3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>
        <f t="shared" si="1"/>
        <v>456</v>
      </c>
      <c r="B456" s="548" t="s">
        <v>1026</v>
      </c>
      <c r="C456" s="3" t="str">
        <f t="shared" si="3"/>
        <v>=&gt;</v>
      </c>
      <c r="D456" s="428" t="s">
        <v>908</v>
      </c>
      <c r="E456" s="8" t="s">
        <v>62</v>
      </c>
      <c r="F456" s="407" t="s">
        <v>909</v>
      </c>
      <c r="G456" s="413" t="s">
        <v>38</v>
      </c>
      <c r="H456" s="407" t="s">
        <v>909</v>
      </c>
      <c r="I456" s="8" t="s">
        <v>64</v>
      </c>
      <c r="J456" s="3"/>
      <c r="K456" s="3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>
        <f t="shared" si="1"/>
        <v>457</v>
      </c>
      <c r="B457" s="548" t="s">
        <v>1026</v>
      </c>
      <c r="C457" s="3" t="str">
        <f t="shared" si="3"/>
        <v>=&gt;</v>
      </c>
      <c r="D457" s="428" t="s">
        <v>133</v>
      </c>
      <c r="E457" s="8" t="s">
        <v>62</v>
      </c>
      <c r="F457" s="355" t="s">
        <v>855</v>
      </c>
      <c r="G457" s="413" t="s">
        <v>38</v>
      </c>
      <c r="H457" s="355" t="s">
        <v>855</v>
      </c>
      <c r="I457" s="8" t="s">
        <v>64</v>
      </c>
      <c r="J457" s="3"/>
      <c r="K457" s="3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>
        <f t="shared" si="1"/>
        <v>458</v>
      </c>
      <c r="B458" s="548" t="s">
        <v>1026</v>
      </c>
      <c r="C458" s="3" t="str">
        <f t="shared" si="3"/>
        <v>=&gt;</v>
      </c>
      <c r="D458" s="428" t="s">
        <v>906</v>
      </c>
      <c r="E458" s="8" t="s">
        <v>62</v>
      </c>
      <c r="F458" s="8" t="s">
        <v>64</v>
      </c>
      <c r="G458" s="40"/>
      <c r="H458" s="8"/>
      <c r="I458" s="3"/>
      <c r="J458" s="3"/>
      <c r="K458" s="3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89">
        <f t="shared" si="1"/>
        <v>459</v>
      </c>
      <c r="B459" s="548" t="s">
        <v>1026</v>
      </c>
      <c r="C459" s="3" t="str">
        <f t="shared" si="3"/>
        <v>=&gt;</v>
      </c>
      <c r="D459" s="428" t="s">
        <v>914</v>
      </c>
      <c r="E459" s="8" t="s">
        <v>62</v>
      </c>
      <c r="F459" s="364" t="s">
        <v>865</v>
      </c>
      <c r="G459" s="413" t="s">
        <v>38</v>
      </c>
      <c r="H459" s="355" t="s">
        <v>855</v>
      </c>
      <c r="I459" s="8" t="s">
        <v>64</v>
      </c>
      <c r="J459" s="3"/>
      <c r="K459" s="3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>
        <f t="shared" si="1"/>
        <v>460</v>
      </c>
      <c r="B460" s="548" t="s">
        <v>1026</v>
      </c>
      <c r="C460" s="3" t="str">
        <f t="shared" si="3"/>
        <v>=&gt;</v>
      </c>
      <c r="D460" s="428" t="s">
        <v>913</v>
      </c>
      <c r="E460" s="8" t="s">
        <v>62</v>
      </c>
      <c r="F460" s="364" t="s">
        <v>865</v>
      </c>
      <c r="G460" s="8" t="s">
        <v>64</v>
      </c>
      <c r="H460" s="40"/>
      <c r="I460" s="3"/>
      <c r="J460" s="3"/>
      <c r="K460" s="3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>
        <f t="shared" si="1"/>
        <v>461</v>
      </c>
      <c r="B461" s="548" t="s">
        <v>1026</v>
      </c>
      <c r="C461" s="3" t="str">
        <f t="shared" si="3"/>
        <v>=&gt;</v>
      </c>
      <c r="D461" s="428" t="s">
        <v>866</v>
      </c>
      <c r="E461" s="8" t="s">
        <v>62</v>
      </c>
      <c r="F461" s="364" t="s">
        <v>865</v>
      </c>
      <c r="G461" s="413" t="s">
        <v>38</v>
      </c>
      <c r="H461" s="366" t="s">
        <v>28</v>
      </c>
      <c r="I461" s="8" t="s">
        <v>64</v>
      </c>
      <c r="J461" s="3"/>
      <c r="K461" s="3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>
        <f t="shared" si="1"/>
        <v>462</v>
      </c>
      <c r="B462" s="548" t="s">
        <v>1026</v>
      </c>
      <c r="C462" s="3" t="str">
        <f t="shared" si="3"/>
        <v>=&gt;</v>
      </c>
      <c r="D462" s="428" t="s">
        <v>864</v>
      </c>
      <c r="E462" s="8" t="s">
        <v>62</v>
      </c>
      <c r="F462" s="364" t="s">
        <v>865</v>
      </c>
      <c r="G462" s="8" t="s">
        <v>64</v>
      </c>
      <c r="H462" s="3"/>
      <c r="I462" s="3"/>
      <c r="J462" s="3"/>
      <c r="K462" s="3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>
        <f t="shared" si="1"/>
        <v>463</v>
      </c>
      <c r="B463" s="548" t="s">
        <v>1026</v>
      </c>
      <c r="C463" s="3" t="str">
        <f t="shared" si="3"/>
        <v>=&gt;</v>
      </c>
      <c r="D463" s="428" t="s">
        <v>912</v>
      </c>
      <c r="E463" s="8" t="s">
        <v>62</v>
      </c>
      <c r="F463" s="364" t="s">
        <v>865</v>
      </c>
      <c r="G463" s="8" t="s">
        <v>64</v>
      </c>
      <c r="H463" s="3"/>
      <c r="I463" s="3"/>
      <c r="J463" s="3"/>
      <c r="K463" s="3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>
        <f t="shared" si="1"/>
        <v>464</v>
      </c>
      <c r="B464" s="548" t="s">
        <v>1026</v>
      </c>
      <c r="C464" s="3" t="str">
        <f t="shared" si="3"/>
        <v>=&gt;</v>
      </c>
      <c r="D464" s="428" t="s">
        <v>134</v>
      </c>
      <c r="E464" s="8" t="s">
        <v>62</v>
      </c>
      <c r="F464" s="355" t="s">
        <v>855</v>
      </c>
      <c r="G464" s="8" t="s">
        <v>64</v>
      </c>
      <c r="H464" s="3"/>
      <c r="I464" s="3"/>
      <c r="J464" s="3"/>
      <c r="K464" s="3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>
        <f t="shared" si="1"/>
        <v>465</v>
      </c>
      <c r="B465" s="548" t="s">
        <v>1026</v>
      </c>
      <c r="C465" s="3" t="str">
        <f t="shared" si="3"/>
        <v>=&gt;</v>
      </c>
      <c r="D465" s="428" t="s">
        <v>917</v>
      </c>
      <c r="E465" s="8" t="s">
        <v>62</v>
      </c>
      <c r="F465" s="8" t="s">
        <v>64</v>
      </c>
      <c r="G465" s="8"/>
      <c r="H465" s="3"/>
      <c r="I465" s="3"/>
      <c r="J465" s="3"/>
      <c r="K465" s="3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>
        <f t="shared" si="1"/>
        <v>466</v>
      </c>
      <c r="B466" s="548" t="s">
        <v>1026</v>
      </c>
      <c r="C466" s="3" t="str">
        <f t="shared" si="3"/>
        <v>=&gt;</v>
      </c>
      <c r="D466" s="428" t="s">
        <v>921</v>
      </c>
      <c r="E466" s="8" t="s">
        <v>62</v>
      </c>
      <c r="F466" s="363" t="s">
        <v>863</v>
      </c>
      <c r="G466" s="8" t="s">
        <v>64</v>
      </c>
      <c r="H466" s="3"/>
      <c r="I466" s="3"/>
      <c r="J466" s="3"/>
      <c r="K466" s="3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3">
        <f t="shared" si="1"/>
        <v>467</v>
      </c>
      <c r="B467" s="548" t="s">
        <v>1026</v>
      </c>
      <c r="C467" s="3" t="str">
        <f t="shared" si="3"/>
        <v>=&gt;</v>
      </c>
      <c r="D467" s="428" t="s">
        <v>862</v>
      </c>
      <c r="E467" s="8" t="s">
        <v>62</v>
      </c>
      <c r="F467" s="363" t="s">
        <v>863</v>
      </c>
      <c r="G467" s="8" t="s">
        <v>64</v>
      </c>
      <c r="H467" s="3"/>
      <c r="I467" s="3"/>
      <c r="J467" s="3"/>
      <c r="K467" s="3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3">
        <f t="shared" si="1"/>
        <v>468</v>
      </c>
      <c r="B468" s="548" t="s">
        <v>1026</v>
      </c>
      <c r="C468" s="3" t="str">
        <f t="shared" si="3"/>
        <v>=&gt;</v>
      </c>
      <c r="D468" s="428" t="s">
        <v>907</v>
      </c>
      <c r="E468" s="8" t="s">
        <v>62</v>
      </c>
      <c r="F468" s="363" t="s">
        <v>863</v>
      </c>
      <c r="G468" s="8" t="s">
        <v>64</v>
      </c>
      <c r="H468" s="3"/>
      <c r="I468" s="3"/>
      <c r="J468" s="3"/>
      <c r="K468" s="3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3">
        <f t="shared" si="1"/>
        <v>469</v>
      </c>
      <c r="B469" s="549" t="s">
        <v>1020</v>
      </c>
      <c r="C469" s="3" t="str">
        <f t="shared" si="3"/>
        <v>=&gt;</v>
      </c>
      <c r="D469" s="550" t="s">
        <v>1027</v>
      </c>
      <c r="E469" s="537"/>
      <c r="F469" s="537"/>
      <c r="G469" s="537"/>
      <c r="H469" s="537"/>
      <c r="I469" s="537"/>
      <c r="J469" s="537"/>
      <c r="K469" s="537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3">
        <f t="shared" si="1"/>
        <v>470</v>
      </c>
      <c r="B470" s="549" t="s">
        <v>1020</v>
      </c>
      <c r="C470" s="3" t="str">
        <f t="shared" si="3"/>
        <v>=&gt;</v>
      </c>
      <c r="D470" s="551" t="s">
        <v>1028</v>
      </c>
      <c r="E470" s="537"/>
      <c r="F470" s="100"/>
      <c r="G470" s="537"/>
      <c r="H470" s="537"/>
      <c r="I470" s="537"/>
      <c r="J470" s="537"/>
      <c r="K470" s="537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3">
        <f t="shared" si="1"/>
        <v>471</v>
      </c>
      <c r="B471" s="550" t="s">
        <v>1027</v>
      </c>
      <c r="C471" s="3" t="str">
        <f t="shared" si="3"/>
        <v>=&gt;</v>
      </c>
      <c r="D471" s="542" t="s">
        <v>1029</v>
      </c>
      <c r="E471" s="3" t="s">
        <v>62</v>
      </c>
      <c r="F471" s="552" t="s">
        <v>976</v>
      </c>
      <c r="G471" s="3" t="s">
        <v>64</v>
      </c>
      <c r="H471" s="343" t="s">
        <v>839</v>
      </c>
      <c r="I471" s="553" t="s">
        <v>1030</v>
      </c>
      <c r="J471" s="554" t="s">
        <v>1031</v>
      </c>
      <c r="K471" s="537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3">
        <f t="shared" si="1"/>
        <v>472</v>
      </c>
      <c r="B472" s="553" t="s">
        <v>1030</v>
      </c>
      <c r="C472" s="3" t="str">
        <f t="shared" si="3"/>
        <v>=&gt;</v>
      </c>
      <c r="D472" s="542" t="s">
        <v>1032</v>
      </c>
      <c r="E472" s="3" t="s">
        <v>62</v>
      </c>
      <c r="F472" s="552" t="s">
        <v>976</v>
      </c>
      <c r="G472" s="3" t="s">
        <v>64</v>
      </c>
      <c r="H472" s="343" t="s">
        <v>839</v>
      </c>
      <c r="I472" s="553" t="s">
        <v>1030</v>
      </c>
      <c r="J472" s="40"/>
      <c r="K472" s="537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3">
        <f t="shared" si="1"/>
        <v>473</v>
      </c>
      <c r="B473" s="553" t="s">
        <v>1030</v>
      </c>
      <c r="C473" s="3" t="str">
        <f t="shared" si="3"/>
        <v>=&gt;</v>
      </c>
      <c r="D473" s="542" t="s">
        <v>8</v>
      </c>
      <c r="E473" s="537"/>
      <c r="F473" s="537"/>
      <c r="G473" s="537"/>
      <c r="H473" s="537"/>
      <c r="I473" s="537"/>
      <c r="J473" s="537"/>
      <c r="K473" s="537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3">
        <f t="shared" si="1"/>
        <v>474</v>
      </c>
      <c r="B474" s="554" t="s">
        <v>1031</v>
      </c>
      <c r="C474" s="3" t="str">
        <f t="shared" si="3"/>
        <v>=&gt;</v>
      </c>
      <c r="D474" s="542" t="s">
        <v>1033</v>
      </c>
      <c r="E474" s="343" t="s">
        <v>839</v>
      </c>
      <c r="F474" s="537"/>
      <c r="G474" s="537"/>
      <c r="H474" s="537"/>
      <c r="I474" s="537"/>
      <c r="J474" s="537"/>
      <c r="K474" s="537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3">
        <f t="shared" si="1"/>
        <v>475</v>
      </c>
      <c r="B475" s="554" t="s">
        <v>1031</v>
      </c>
      <c r="C475" s="3" t="str">
        <f t="shared" si="3"/>
        <v>=&gt;</v>
      </c>
      <c r="D475" s="542" t="s">
        <v>8</v>
      </c>
      <c r="E475" s="537"/>
      <c r="F475" s="537"/>
      <c r="G475" s="537"/>
      <c r="H475" s="537"/>
      <c r="I475" s="537"/>
      <c r="J475" s="537"/>
      <c r="K475" s="537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3">
        <f t="shared" si="1"/>
        <v>476</v>
      </c>
      <c r="B476" s="551" t="s">
        <v>1028</v>
      </c>
      <c r="C476" s="3" t="str">
        <f t="shared" si="3"/>
        <v>=&gt;</v>
      </c>
      <c r="D476" s="542" t="s">
        <v>1034</v>
      </c>
      <c r="E476" s="3" t="s">
        <v>62</v>
      </c>
      <c r="F476" s="363" t="s">
        <v>863</v>
      </c>
      <c r="G476" s="3" t="s">
        <v>64</v>
      </c>
      <c r="H476" s="555" t="s">
        <v>1035</v>
      </c>
      <c r="I476" s="537"/>
      <c r="J476" s="537"/>
      <c r="K476" s="537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3">
        <f t="shared" si="1"/>
        <v>477</v>
      </c>
      <c r="B477" s="555" t="s">
        <v>1035</v>
      </c>
      <c r="C477" s="3" t="str">
        <f t="shared" si="3"/>
        <v>=&gt;</v>
      </c>
      <c r="D477" s="542" t="s">
        <v>17</v>
      </c>
      <c r="E477" s="556" t="s">
        <v>1036</v>
      </c>
      <c r="F477" s="557" t="s">
        <v>1037</v>
      </c>
      <c r="G477" s="3" t="s">
        <v>19</v>
      </c>
      <c r="H477" s="3"/>
      <c r="I477" s="3"/>
      <c r="J477" s="3"/>
      <c r="K477" s="3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3">
        <f t="shared" si="1"/>
        <v>478</v>
      </c>
      <c r="B478" s="556" t="s">
        <v>1036</v>
      </c>
      <c r="C478" s="3" t="str">
        <f t="shared" si="3"/>
        <v>=&gt;</v>
      </c>
      <c r="D478" s="542" t="s">
        <v>1038</v>
      </c>
      <c r="E478" s="558" t="s">
        <v>1039</v>
      </c>
      <c r="F478" s="3" t="s">
        <v>180</v>
      </c>
      <c r="G478" s="559" t="s">
        <v>1040</v>
      </c>
      <c r="H478" s="556" t="s">
        <v>1036</v>
      </c>
      <c r="I478" s="100"/>
      <c r="J478" s="537"/>
      <c r="K478" s="537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3">
        <f t="shared" si="1"/>
        <v>479</v>
      </c>
      <c r="B479" s="556" t="s">
        <v>1036</v>
      </c>
      <c r="C479" s="3" t="str">
        <f t="shared" si="3"/>
        <v>=&gt;</v>
      </c>
      <c r="D479" s="542" t="s">
        <v>8</v>
      </c>
      <c r="E479" s="537"/>
      <c r="F479" s="537"/>
      <c r="G479" s="537"/>
      <c r="H479" s="537"/>
      <c r="I479" s="537"/>
      <c r="J479" s="537"/>
      <c r="K479" s="537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3">
        <f t="shared" si="1"/>
        <v>480</v>
      </c>
      <c r="B480" s="558" t="s">
        <v>1039</v>
      </c>
      <c r="C480" s="3" t="str">
        <f t="shared" si="3"/>
        <v>=&gt;</v>
      </c>
      <c r="D480" s="3" t="s">
        <v>868</v>
      </c>
      <c r="E480" s="537"/>
      <c r="F480" s="537"/>
      <c r="G480" s="537"/>
      <c r="H480" s="537"/>
      <c r="I480" s="537"/>
      <c r="J480" s="537"/>
      <c r="K480" s="537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3">
        <f t="shared" si="1"/>
        <v>481</v>
      </c>
      <c r="B481" s="558" t="s">
        <v>1039</v>
      </c>
      <c r="C481" s="3" t="str">
        <f t="shared" si="3"/>
        <v>=&gt;</v>
      </c>
      <c r="D481" s="542" t="s">
        <v>904</v>
      </c>
      <c r="E481" s="537"/>
      <c r="F481" s="537"/>
      <c r="G481" s="537"/>
      <c r="H481" s="537"/>
      <c r="I481" s="537"/>
      <c r="J481" s="537"/>
      <c r="K481" s="537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409">
        <f t="shared" si="1"/>
        <v>482</v>
      </c>
      <c r="B482" s="559" t="s">
        <v>1040</v>
      </c>
      <c r="C482" s="3" t="str">
        <f t="shared" si="3"/>
        <v>=&gt;</v>
      </c>
      <c r="D482" s="560" t="s">
        <v>1041</v>
      </c>
      <c r="E482" s="559" t="s">
        <v>1040</v>
      </c>
      <c r="F482" s="100"/>
      <c r="G482" s="537"/>
      <c r="H482" s="537"/>
      <c r="I482" s="537"/>
      <c r="J482" s="537"/>
      <c r="K482" s="537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409">
        <f t="shared" si="1"/>
        <v>483</v>
      </c>
      <c r="B483" s="559" t="s">
        <v>1040</v>
      </c>
      <c r="C483" s="3" t="str">
        <f t="shared" si="3"/>
        <v>=&gt;</v>
      </c>
      <c r="D483" s="538" t="s">
        <v>1019</v>
      </c>
      <c r="E483" s="3" t="s">
        <v>6</v>
      </c>
      <c r="F483" s="559" t="s">
        <v>1040</v>
      </c>
      <c r="G483" s="537"/>
      <c r="H483" s="537"/>
      <c r="I483" s="537"/>
      <c r="J483" s="537"/>
      <c r="K483" s="537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409">
        <f t="shared" si="1"/>
        <v>484</v>
      </c>
      <c r="B484" s="559" t="s">
        <v>1040</v>
      </c>
      <c r="C484" s="3" t="str">
        <f t="shared" si="3"/>
        <v>=&gt;</v>
      </c>
      <c r="D484" s="561" t="s">
        <v>1042</v>
      </c>
      <c r="E484" s="559" t="s">
        <v>1040</v>
      </c>
      <c r="F484" s="537"/>
      <c r="G484" s="537"/>
      <c r="H484" s="537"/>
      <c r="I484" s="537"/>
      <c r="J484" s="537"/>
      <c r="K484" s="537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409">
        <f t="shared" si="1"/>
        <v>485</v>
      </c>
      <c r="B485" s="559" t="s">
        <v>1040</v>
      </c>
      <c r="C485" s="3" t="str">
        <f t="shared" si="3"/>
        <v>=&gt;</v>
      </c>
      <c r="D485" s="540" t="s">
        <v>1021</v>
      </c>
      <c r="E485" s="559" t="s">
        <v>1040</v>
      </c>
      <c r="F485" s="100"/>
      <c r="G485" s="537"/>
      <c r="H485" s="537"/>
      <c r="I485" s="537"/>
      <c r="J485" s="537"/>
      <c r="K485" s="537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409">
        <f t="shared" si="1"/>
        <v>486</v>
      </c>
      <c r="B486" s="559" t="s">
        <v>1040</v>
      </c>
      <c r="C486" s="3" t="str">
        <f t="shared" si="3"/>
        <v>=&gt;</v>
      </c>
      <c r="D486" s="562" t="s">
        <v>1043</v>
      </c>
      <c r="E486" s="559" t="s">
        <v>1040</v>
      </c>
      <c r="F486" s="100"/>
      <c r="G486" s="537"/>
      <c r="H486" s="537"/>
      <c r="I486" s="537"/>
      <c r="J486" s="537"/>
      <c r="K486" s="537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409">
        <f t="shared" si="1"/>
        <v>487</v>
      </c>
      <c r="B487" s="559" t="s">
        <v>1040</v>
      </c>
      <c r="C487" s="3" t="str">
        <f t="shared" si="3"/>
        <v>=&gt;</v>
      </c>
      <c r="D487" s="541" t="s">
        <v>1022</v>
      </c>
      <c r="E487" s="559" t="s">
        <v>1040</v>
      </c>
      <c r="F487" s="100"/>
      <c r="G487" s="537"/>
      <c r="H487" s="537"/>
      <c r="I487" s="537"/>
      <c r="J487" s="537"/>
      <c r="K487" s="537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409">
        <f t="shared" si="1"/>
        <v>488</v>
      </c>
      <c r="B488" s="559" t="s">
        <v>1040</v>
      </c>
      <c r="C488" s="3" t="str">
        <f t="shared" si="3"/>
        <v>=&gt;</v>
      </c>
      <c r="D488" s="542" t="s">
        <v>8</v>
      </c>
      <c r="E488" s="100"/>
      <c r="F488" s="100"/>
      <c r="G488" s="537"/>
      <c r="H488" s="537"/>
      <c r="I488" s="537"/>
      <c r="J488" s="537"/>
      <c r="K488" s="537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409">
        <f t="shared" si="1"/>
        <v>489</v>
      </c>
      <c r="B489" s="560" t="s">
        <v>1041</v>
      </c>
      <c r="C489" s="3" t="str">
        <f t="shared" si="3"/>
        <v>=&gt;</v>
      </c>
      <c r="D489" s="3" t="s">
        <v>14</v>
      </c>
      <c r="E489" s="544" t="s">
        <v>1023</v>
      </c>
      <c r="F489" s="559" t="s">
        <v>1040</v>
      </c>
      <c r="G489" s="100"/>
      <c r="H489" s="100"/>
      <c r="I489" s="537"/>
      <c r="J489" s="537"/>
      <c r="K489" s="537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>
        <f t="shared" si="1"/>
        <v>490</v>
      </c>
      <c r="B490" s="561" t="s">
        <v>1042</v>
      </c>
      <c r="C490" s="3" t="str">
        <f t="shared" si="3"/>
        <v>=&gt;</v>
      </c>
      <c r="D490" s="563" t="s">
        <v>1044</v>
      </c>
      <c r="E490" s="537"/>
      <c r="F490" s="537"/>
      <c r="G490" s="537"/>
      <c r="H490" s="537"/>
      <c r="I490" s="537"/>
      <c r="J490" s="537"/>
      <c r="K490" s="537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3">
        <f t="shared" si="1"/>
        <v>491</v>
      </c>
      <c r="B491" s="561" t="s">
        <v>1042</v>
      </c>
      <c r="C491" s="3" t="str">
        <f t="shared" si="3"/>
        <v>=&gt;</v>
      </c>
      <c r="D491" s="551" t="s">
        <v>1028</v>
      </c>
      <c r="E491" s="537"/>
      <c r="F491" s="100"/>
      <c r="G491" s="537"/>
      <c r="H491" s="537"/>
      <c r="I491" s="537"/>
      <c r="J491" s="537"/>
      <c r="K491" s="537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3">
        <f t="shared" si="1"/>
        <v>492</v>
      </c>
      <c r="B492" s="563" t="s">
        <v>1044</v>
      </c>
      <c r="C492" s="3" t="str">
        <f t="shared" si="3"/>
        <v>=&gt;</v>
      </c>
      <c r="D492" s="542" t="s">
        <v>1029</v>
      </c>
      <c r="E492" s="3" t="s">
        <v>62</v>
      </c>
      <c r="F492" s="552" t="s">
        <v>976</v>
      </c>
      <c r="G492" s="3" t="s">
        <v>64</v>
      </c>
      <c r="H492" s="564" t="s">
        <v>1045</v>
      </c>
      <c r="I492" s="553" t="s">
        <v>1030</v>
      </c>
      <c r="J492" s="554" t="s">
        <v>1031</v>
      </c>
      <c r="K492" s="537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409">
        <f t="shared" si="1"/>
        <v>493</v>
      </c>
      <c r="B493" s="564" t="s">
        <v>1045</v>
      </c>
      <c r="C493" s="3" t="str">
        <f t="shared" si="3"/>
        <v>=&gt;</v>
      </c>
      <c r="D493" s="3" t="s">
        <v>17</v>
      </c>
      <c r="E493" s="565" t="s">
        <v>1046</v>
      </c>
      <c r="F493" s="559" t="s">
        <v>1040</v>
      </c>
      <c r="G493" s="3" t="s">
        <v>19</v>
      </c>
      <c r="H493" s="537"/>
      <c r="I493" s="537"/>
      <c r="J493" s="537"/>
      <c r="K493" s="537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3">
        <f t="shared" si="1"/>
        <v>494</v>
      </c>
      <c r="B494" s="565" t="s">
        <v>1046</v>
      </c>
      <c r="C494" s="3" t="str">
        <f t="shared" si="3"/>
        <v>=&gt;</v>
      </c>
      <c r="D494" s="3" t="s">
        <v>840</v>
      </c>
      <c r="E494" s="525" t="s">
        <v>841</v>
      </c>
      <c r="F494" s="565" t="s">
        <v>1046</v>
      </c>
      <c r="G494" s="526"/>
      <c r="H494" s="526"/>
      <c r="I494" s="526"/>
      <c r="J494" s="526"/>
      <c r="K494" s="526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3">
        <f t="shared" si="1"/>
        <v>495</v>
      </c>
      <c r="B495" s="565" t="s">
        <v>1046</v>
      </c>
      <c r="C495" s="3" t="str">
        <f t="shared" si="3"/>
        <v>=&gt;</v>
      </c>
      <c r="D495" s="3" t="s">
        <v>842</v>
      </c>
      <c r="E495" s="527" t="s">
        <v>843</v>
      </c>
      <c r="F495" s="565" t="s">
        <v>1046</v>
      </c>
      <c r="G495" s="526"/>
      <c r="H495" s="526"/>
      <c r="I495" s="526"/>
      <c r="J495" s="526"/>
      <c r="K495" s="526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3">
        <f t="shared" si="1"/>
        <v>496</v>
      </c>
      <c r="B496" s="565" t="s">
        <v>1046</v>
      </c>
      <c r="C496" s="3" t="str">
        <f t="shared" si="3"/>
        <v>=&gt;</v>
      </c>
      <c r="D496" s="3" t="s">
        <v>844</v>
      </c>
      <c r="E496" s="528" t="s">
        <v>845</v>
      </c>
      <c r="F496" s="565" t="s">
        <v>1046</v>
      </c>
      <c r="G496" s="526"/>
      <c r="H496" s="526"/>
      <c r="I496" s="526"/>
      <c r="J496" s="526"/>
      <c r="K496" s="526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3">
        <f t="shared" si="1"/>
        <v>497</v>
      </c>
      <c r="B497" s="565" t="s">
        <v>1046</v>
      </c>
      <c r="C497" s="3" t="str">
        <f t="shared" si="3"/>
        <v>=&gt;</v>
      </c>
      <c r="D497" s="3" t="s">
        <v>846</v>
      </c>
      <c r="E497" s="529" t="s">
        <v>847</v>
      </c>
      <c r="F497" s="565" t="s">
        <v>1046</v>
      </c>
      <c r="G497" s="526"/>
      <c r="H497" s="526"/>
      <c r="I497" s="526"/>
      <c r="J497" s="526"/>
      <c r="K497" s="526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3">
        <f t="shared" si="1"/>
        <v>498</v>
      </c>
      <c r="B498" s="565" t="s">
        <v>1046</v>
      </c>
      <c r="C498" s="3" t="str">
        <f t="shared" si="3"/>
        <v>=&gt;</v>
      </c>
      <c r="D498" s="3" t="s">
        <v>14</v>
      </c>
      <c r="E498" s="566" t="s">
        <v>1047</v>
      </c>
      <c r="F498" s="8"/>
      <c r="G498" s="3"/>
      <c r="H498" s="3"/>
      <c r="I498" s="3"/>
      <c r="J498" s="3"/>
      <c r="K498" s="3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3">
        <f t="shared" si="1"/>
        <v>499</v>
      </c>
      <c r="B499" s="565" t="s">
        <v>1046</v>
      </c>
      <c r="C499" s="3" t="str">
        <f t="shared" si="3"/>
        <v>=&gt;</v>
      </c>
      <c r="D499" s="3" t="s">
        <v>8</v>
      </c>
      <c r="E499" s="3"/>
      <c r="F499" s="3"/>
      <c r="G499" s="3"/>
      <c r="H499" s="3"/>
      <c r="I499" s="3"/>
      <c r="J499" s="3"/>
      <c r="K499" s="3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409">
        <f t="shared" si="1"/>
        <v>500</v>
      </c>
      <c r="B500" s="566" t="s">
        <v>1047</v>
      </c>
      <c r="C500" s="3" t="str">
        <f t="shared" si="3"/>
        <v>=&gt;</v>
      </c>
      <c r="D500" s="3" t="s">
        <v>850</v>
      </c>
      <c r="E500" s="513" t="s">
        <v>1004</v>
      </c>
      <c r="F500" s="3" t="s">
        <v>6</v>
      </c>
      <c r="G500" s="565" t="s">
        <v>1046</v>
      </c>
      <c r="H500" s="100"/>
      <c r="I500" s="537"/>
      <c r="J500" s="537"/>
      <c r="K500" s="537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409">
        <f t="shared" si="1"/>
        <v>501</v>
      </c>
      <c r="B501" s="566" t="s">
        <v>1047</v>
      </c>
      <c r="C501" s="3" t="str">
        <f t="shared" si="3"/>
        <v>=&gt;</v>
      </c>
      <c r="D501" s="3" t="s">
        <v>30</v>
      </c>
      <c r="E501" s="567" t="s">
        <v>1048</v>
      </c>
      <c r="F501" s="100"/>
      <c r="G501" s="100"/>
      <c r="H501" s="100"/>
      <c r="I501" s="537"/>
      <c r="J501" s="537"/>
      <c r="K501" s="537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409">
        <f t="shared" si="1"/>
        <v>502</v>
      </c>
      <c r="B502" s="566" t="s">
        <v>1047</v>
      </c>
      <c r="C502" s="3" t="str">
        <f t="shared" si="3"/>
        <v>=&gt;</v>
      </c>
      <c r="D502" s="424" t="s">
        <v>930</v>
      </c>
      <c r="E502" s="532" t="s">
        <v>1016</v>
      </c>
      <c r="F502" s="395" t="s">
        <v>28</v>
      </c>
      <c r="G502" s="3" t="s">
        <v>6</v>
      </c>
      <c r="H502" s="559" t="s">
        <v>1040</v>
      </c>
      <c r="I502" s="537"/>
      <c r="J502" s="537"/>
      <c r="K502" s="537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409">
        <f t="shared" si="1"/>
        <v>503</v>
      </c>
      <c r="B503" s="566" t="s">
        <v>1047</v>
      </c>
      <c r="C503" s="3" t="str">
        <f t="shared" si="3"/>
        <v>=&gt;</v>
      </c>
      <c r="D503" s="532" t="s">
        <v>1016</v>
      </c>
      <c r="E503" s="395" t="s">
        <v>28</v>
      </c>
      <c r="F503" s="3" t="s">
        <v>6</v>
      </c>
      <c r="G503" s="559" t="s">
        <v>1040</v>
      </c>
      <c r="H503" s="100"/>
      <c r="I503" s="537"/>
      <c r="J503" s="537"/>
      <c r="K503" s="537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409">
        <f t="shared" si="1"/>
        <v>504</v>
      </c>
      <c r="B504" s="566" t="s">
        <v>1047</v>
      </c>
      <c r="C504" s="3" t="str">
        <f t="shared" si="3"/>
        <v>=&gt;</v>
      </c>
      <c r="D504" s="533" t="s">
        <v>1017</v>
      </c>
      <c r="E504" s="8" t="s">
        <v>6</v>
      </c>
      <c r="F504" s="559" t="s">
        <v>1040</v>
      </c>
      <c r="G504" s="100"/>
      <c r="H504" s="100"/>
      <c r="I504" s="537"/>
      <c r="J504" s="537"/>
      <c r="K504" s="537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409">
        <f t="shared" si="1"/>
        <v>505</v>
      </c>
      <c r="B505" s="567" t="s">
        <v>1048</v>
      </c>
      <c r="C505" s="3" t="str">
        <f t="shared" si="3"/>
        <v>=&gt;</v>
      </c>
      <c r="D505" s="8" t="s">
        <v>32</v>
      </c>
      <c r="E505" s="464" t="s">
        <v>964</v>
      </c>
      <c r="F505" s="3" t="s">
        <v>850</v>
      </c>
      <c r="G505" s="513" t="s">
        <v>1004</v>
      </c>
      <c r="H505" s="3" t="s">
        <v>6</v>
      </c>
      <c r="I505" s="565" t="s">
        <v>1046</v>
      </c>
      <c r="J505" s="537"/>
      <c r="K505" s="537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409">
        <f t="shared" si="1"/>
        <v>506</v>
      </c>
      <c r="B506" s="567" t="s">
        <v>1048</v>
      </c>
      <c r="C506" s="3" t="str">
        <f t="shared" si="3"/>
        <v>=&gt;</v>
      </c>
      <c r="D506" s="568" t="s">
        <v>855</v>
      </c>
      <c r="E506" s="8" t="s">
        <v>32</v>
      </c>
      <c r="F506" s="535" t="s">
        <v>894</v>
      </c>
      <c r="G506" s="532" t="s">
        <v>1016</v>
      </c>
      <c r="H506" s="395" t="s">
        <v>28</v>
      </c>
      <c r="I506" s="3" t="s">
        <v>6</v>
      </c>
      <c r="J506" s="559" t="s">
        <v>1040</v>
      </c>
      <c r="K506" s="537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>
        <f t="shared" si="1"/>
        <v>507</v>
      </c>
      <c r="B507" s="569" t="s">
        <v>1021</v>
      </c>
      <c r="C507" s="3" t="str">
        <f t="shared" si="3"/>
        <v>=&gt;</v>
      </c>
      <c r="D507" s="570" t="s">
        <v>1049</v>
      </c>
      <c r="E507" s="537"/>
      <c r="F507" s="537"/>
      <c r="G507" s="537"/>
      <c r="H507" s="537"/>
      <c r="I507" s="537"/>
      <c r="J507" s="537"/>
      <c r="K507" s="100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>
        <f t="shared" si="1"/>
        <v>508</v>
      </c>
      <c r="B508" s="569" t="s">
        <v>1021</v>
      </c>
      <c r="C508" s="3" t="str">
        <f t="shared" si="3"/>
        <v>=&gt;</v>
      </c>
      <c r="D508" s="571" t="s">
        <v>1050</v>
      </c>
      <c r="E508" s="537"/>
      <c r="F508" s="537"/>
      <c r="G508" s="537"/>
      <c r="H508" s="537"/>
      <c r="I508" s="537"/>
      <c r="J508" s="537"/>
      <c r="K508" s="100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>
        <f t="shared" si="1"/>
        <v>509</v>
      </c>
      <c r="B509" s="569" t="s">
        <v>1021</v>
      </c>
      <c r="C509" s="3" t="str">
        <f t="shared" si="3"/>
        <v>=&gt;</v>
      </c>
      <c r="D509" s="572" t="s">
        <v>1051</v>
      </c>
      <c r="E509" s="537"/>
      <c r="F509" s="537"/>
      <c r="G509" s="537"/>
      <c r="H509" s="537"/>
      <c r="I509" s="537"/>
      <c r="J509" s="537"/>
      <c r="K509" s="100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>
        <f t="shared" si="1"/>
        <v>510</v>
      </c>
      <c r="B510" s="570" t="s">
        <v>1049</v>
      </c>
      <c r="C510" s="3" t="str">
        <f t="shared" si="3"/>
        <v>=&gt;</v>
      </c>
      <c r="D510" s="542" t="s">
        <v>1052</v>
      </c>
      <c r="E510" s="3" t="s">
        <v>62</v>
      </c>
      <c r="F510" s="573" t="s">
        <v>1053</v>
      </c>
      <c r="G510" s="574" t="s">
        <v>189</v>
      </c>
      <c r="H510" s="552" t="s">
        <v>976</v>
      </c>
      <c r="I510" s="3" t="s">
        <v>64</v>
      </c>
      <c r="J510" s="575" t="s">
        <v>1054</v>
      </c>
      <c r="K510" s="100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>
        <f t="shared" si="1"/>
        <v>511</v>
      </c>
      <c r="B511" s="573" t="s">
        <v>1053</v>
      </c>
      <c r="C511" s="3" t="str">
        <f t="shared" si="3"/>
        <v>=&gt;</v>
      </c>
      <c r="D511" s="3" t="s">
        <v>14</v>
      </c>
      <c r="E511" s="576" t="s">
        <v>1055</v>
      </c>
      <c r="F511" s="3" t="s">
        <v>6</v>
      </c>
      <c r="G511" s="40"/>
      <c r="H511" s="537"/>
      <c r="I511" s="537"/>
      <c r="J511" s="537"/>
      <c r="K511" s="100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>
        <f t="shared" si="1"/>
        <v>512</v>
      </c>
      <c r="B512" s="576" t="s">
        <v>1055</v>
      </c>
      <c r="C512" s="3" t="str">
        <f t="shared" si="3"/>
        <v>=&gt;</v>
      </c>
      <c r="D512" s="409" t="str">
        <f>"="</f>
        <v>=</v>
      </c>
      <c r="E512" s="355" t="s">
        <v>855</v>
      </c>
      <c r="F512" s="3"/>
      <c r="G512" s="537"/>
      <c r="H512" s="537"/>
      <c r="I512" s="537"/>
      <c r="J512" s="537"/>
      <c r="K512" s="100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3">
        <f t="shared" si="1"/>
        <v>513</v>
      </c>
      <c r="B513" s="576" t="s">
        <v>1055</v>
      </c>
      <c r="C513" s="3" t="str">
        <f t="shared" si="3"/>
        <v>=&gt;</v>
      </c>
      <c r="D513" s="3" t="s">
        <v>8</v>
      </c>
      <c r="E513" s="409"/>
      <c r="F513" s="3"/>
      <c r="G513" s="537"/>
      <c r="H513" s="537"/>
      <c r="I513" s="537"/>
      <c r="J513" s="537"/>
      <c r="K513" s="100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3">
        <f t="shared" si="1"/>
        <v>514</v>
      </c>
      <c r="B514" s="574" t="s">
        <v>189</v>
      </c>
      <c r="C514" s="3" t="str">
        <f t="shared" si="3"/>
        <v>=&gt;</v>
      </c>
      <c r="D514" s="3" t="s">
        <v>14</v>
      </c>
      <c r="E514" s="545" t="s">
        <v>1024</v>
      </c>
      <c r="F514" s="537"/>
      <c r="G514" s="537"/>
      <c r="H514" s="537"/>
      <c r="I514" s="537"/>
      <c r="J514" s="537"/>
      <c r="K514" s="100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409">
        <f t="shared" si="1"/>
        <v>515</v>
      </c>
      <c r="B515" s="575" t="s">
        <v>1054</v>
      </c>
      <c r="C515" s="3" t="str">
        <f t="shared" si="3"/>
        <v>=&gt;</v>
      </c>
      <c r="D515" s="3" t="s">
        <v>17</v>
      </c>
      <c r="E515" s="577" t="s">
        <v>1056</v>
      </c>
      <c r="F515" s="578" t="s">
        <v>1057</v>
      </c>
      <c r="G515" s="7" t="s">
        <v>19</v>
      </c>
      <c r="H515" s="537"/>
      <c r="I515" s="537"/>
      <c r="J515" s="537"/>
      <c r="K515" s="537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3">
        <f t="shared" si="1"/>
        <v>516</v>
      </c>
      <c r="B516" s="577" t="s">
        <v>1056</v>
      </c>
      <c r="C516" s="3" t="str">
        <f t="shared" si="3"/>
        <v>=&gt;</v>
      </c>
      <c r="D516" s="3" t="s">
        <v>840</v>
      </c>
      <c r="E516" s="525" t="s">
        <v>841</v>
      </c>
      <c r="F516" s="577" t="s">
        <v>1056</v>
      </c>
      <c r="G516" s="526"/>
      <c r="H516" s="526"/>
      <c r="I516" s="526"/>
      <c r="J516" s="526"/>
      <c r="K516" s="526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3">
        <f t="shared" si="1"/>
        <v>517</v>
      </c>
      <c r="B517" s="577" t="s">
        <v>1056</v>
      </c>
      <c r="C517" s="3" t="str">
        <f t="shared" si="3"/>
        <v>=&gt;</v>
      </c>
      <c r="D517" s="3" t="s">
        <v>842</v>
      </c>
      <c r="E517" s="527" t="s">
        <v>843</v>
      </c>
      <c r="F517" s="577" t="s">
        <v>1056</v>
      </c>
      <c r="G517" s="526"/>
      <c r="H517" s="526"/>
      <c r="I517" s="526"/>
      <c r="J517" s="526"/>
      <c r="K517" s="526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3">
        <f t="shared" si="1"/>
        <v>518</v>
      </c>
      <c r="B518" s="577" t="s">
        <v>1056</v>
      </c>
      <c r="C518" s="3" t="str">
        <f t="shared" si="3"/>
        <v>=&gt;</v>
      </c>
      <c r="D518" s="3" t="s">
        <v>844</v>
      </c>
      <c r="E518" s="528" t="s">
        <v>845</v>
      </c>
      <c r="F518" s="577" t="s">
        <v>1056</v>
      </c>
      <c r="G518" s="526"/>
      <c r="H518" s="526"/>
      <c r="I518" s="526"/>
      <c r="J518" s="526"/>
      <c r="K518" s="526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3">
        <f t="shared" si="1"/>
        <v>519</v>
      </c>
      <c r="B519" s="577" t="s">
        <v>1056</v>
      </c>
      <c r="C519" s="3" t="str">
        <f t="shared" si="3"/>
        <v>=&gt;</v>
      </c>
      <c r="D519" s="3" t="s">
        <v>846</v>
      </c>
      <c r="E519" s="529" t="s">
        <v>847</v>
      </c>
      <c r="F519" s="577" t="s">
        <v>1056</v>
      </c>
      <c r="G519" s="526"/>
      <c r="H519" s="526"/>
      <c r="I519" s="526"/>
      <c r="J519" s="526"/>
      <c r="K519" s="526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3">
        <f t="shared" si="1"/>
        <v>520</v>
      </c>
      <c r="B520" s="577" t="s">
        <v>1056</v>
      </c>
      <c r="C520" s="3" t="str">
        <f t="shared" si="3"/>
        <v>=&gt;</v>
      </c>
      <c r="D520" s="3" t="s">
        <v>14</v>
      </c>
      <c r="E520" s="579" t="s">
        <v>1058</v>
      </c>
      <c r="F520" s="8"/>
      <c r="G520" s="3"/>
      <c r="H520" s="3"/>
      <c r="I520" s="3"/>
      <c r="J520" s="3"/>
      <c r="K520" s="3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3">
        <f t="shared" si="1"/>
        <v>521</v>
      </c>
      <c r="B521" s="577" t="s">
        <v>1056</v>
      </c>
      <c r="C521" s="3" t="str">
        <f t="shared" si="3"/>
        <v>=&gt;</v>
      </c>
      <c r="D521" s="3" t="s">
        <v>8</v>
      </c>
      <c r="E521" s="3"/>
      <c r="F521" s="3"/>
      <c r="G521" s="3"/>
      <c r="H521" s="3"/>
      <c r="I521" s="3"/>
      <c r="J521" s="3"/>
      <c r="K521" s="3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409">
        <f t="shared" si="1"/>
        <v>522</v>
      </c>
      <c r="B522" s="579" t="s">
        <v>1058</v>
      </c>
      <c r="C522" s="3" t="str">
        <f t="shared" si="3"/>
        <v>=&gt;</v>
      </c>
      <c r="D522" s="3" t="s">
        <v>850</v>
      </c>
      <c r="E522" s="513" t="s">
        <v>1004</v>
      </c>
      <c r="F522" s="3" t="s">
        <v>6</v>
      </c>
      <c r="G522" s="577" t="s">
        <v>1056</v>
      </c>
      <c r="H522" s="100"/>
      <c r="I522" s="537"/>
      <c r="J522" s="537"/>
      <c r="K522" s="537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409">
        <f t="shared" si="1"/>
        <v>523</v>
      </c>
      <c r="B523" s="579" t="s">
        <v>1058</v>
      </c>
      <c r="C523" s="3" t="str">
        <f t="shared" si="3"/>
        <v>=&gt;</v>
      </c>
      <c r="D523" s="3" t="s">
        <v>30</v>
      </c>
      <c r="E523" s="580" t="s">
        <v>1059</v>
      </c>
      <c r="F523" s="100"/>
      <c r="G523" s="100"/>
      <c r="H523" s="100"/>
      <c r="I523" s="537"/>
      <c r="J523" s="537"/>
      <c r="K523" s="537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409">
        <f t="shared" si="1"/>
        <v>524</v>
      </c>
      <c r="B524" s="579" t="s">
        <v>1058</v>
      </c>
      <c r="C524" s="3" t="str">
        <f t="shared" si="3"/>
        <v>=&gt;</v>
      </c>
      <c r="D524" s="424" t="s">
        <v>930</v>
      </c>
      <c r="E524" s="532" t="s">
        <v>1016</v>
      </c>
      <c r="F524" s="395" t="s">
        <v>28</v>
      </c>
      <c r="G524" s="3" t="s">
        <v>6</v>
      </c>
      <c r="H524" s="578" t="s">
        <v>1057</v>
      </c>
      <c r="I524" s="537"/>
      <c r="J524" s="537"/>
      <c r="K524" s="537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409">
        <f t="shared" si="1"/>
        <v>525</v>
      </c>
      <c r="B525" s="579" t="s">
        <v>1058</v>
      </c>
      <c r="C525" s="3" t="str">
        <f t="shared" si="3"/>
        <v>=&gt;</v>
      </c>
      <c r="D525" s="532" t="s">
        <v>1016</v>
      </c>
      <c r="E525" s="395" t="s">
        <v>28</v>
      </c>
      <c r="F525" s="3" t="s">
        <v>6</v>
      </c>
      <c r="G525" s="578" t="s">
        <v>1057</v>
      </c>
      <c r="H525" s="100"/>
      <c r="I525" s="537"/>
      <c r="J525" s="537"/>
      <c r="K525" s="537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409">
        <f t="shared" si="1"/>
        <v>526</v>
      </c>
      <c r="B526" s="579" t="s">
        <v>1058</v>
      </c>
      <c r="C526" s="3" t="str">
        <f t="shared" si="3"/>
        <v>=&gt;</v>
      </c>
      <c r="D526" s="533" t="s">
        <v>1017</v>
      </c>
      <c r="E526" s="8" t="s">
        <v>6</v>
      </c>
      <c r="F526" s="578" t="s">
        <v>1057</v>
      </c>
      <c r="G526" s="100"/>
      <c r="H526" s="100"/>
      <c r="I526" s="537"/>
      <c r="J526" s="537"/>
      <c r="K526" s="537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409">
        <f t="shared" si="1"/>
        <v>527</v>
      </c>
      <c r="B527" s="580" t="s">
        <v>1059</v>
      </c>
      <c r="C527" s="3" t="str">
        <f t="shared" si="3"/>
        <v>=&gt;</v>
      </c>
      <c r="D527" s="8" t="s">
        <v>32</v>
      </c>
      <c r="E527" s="464" t="s">
        <v>964</v>
      </c>
      <c r="F527" s="3" t="s">
        <v>850</v>
      </c>
      <c r="G527" s="513" t="s">
        <v>1004</v>
      </c>
      <c r="H527" s="3" t="s">
        <v>6</v>
      </c>
      <c r="I527" s="577" t="s">
        <v>1056</v>
      </c>
      <c r="J527" s="537"/>
      <c r="K527" s="537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409">
        <f t="shared" si="1"/>
        <v>528</v>
      </c>
      <c r="B528" s="580" t="s">
        <v>1059</v>
      </c>
      <c r="C528" s="3" t="str">
        <f t="shared" si="3"/>
        <v>=&gt;</v>
      </c>
      <c r="D528" s="568" t="s">
        <v>855</v>
      </c>
      <c r="E528" s="8" t="s">
        <v>32</v>
      </c>
      <c r="F528" s="535" t="s">
        <v>894</v>
      </c>
      <c r="G528" s="532" t="s">
        <v>1016</v>
      </c>
      <c r="H528" s="395" t="s">
        <v>28</v>
      </c>
      <c r="I528" s="3" t="s">
        <v>6</v>
      </c>
      <c r="J528" s="578" t="s">
        <v>1057</v>
      </c>
      <c r="K528" s="537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409">
        <f t="shared" si="1"/>
        <v>529</v>
      </c>
      <c r="B529" s="578" t="s">
        <v>1057</v>
      </c>
      <c r="C529" s="3" t="str">
        <f t="shared" si="3"/>
        <v>=&gt;</v>
      </c>
      <c r="D529" s="581" t="s">
        <v>1060</v>
      </c>
      <c r="E529" s="578" t="s">
        <v>1057</v>
      </c>
      <c r="F529" s="100"/>
      <c r="G529" s="537"/>
      <c r="H529" s="537"/>
      <c r="I529" s="537"/>
      <c r="J529" s="537"/>
      <c r="K529" s="537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409">
        <f t="shared" si="1"/>
        <v>530</v>
      </c>
      <c r="B530" s="578" t="s">
        <v>1057</v>
      </c>
      <c r="C530" s="3" t="str">
        <f t="shared" si="3"/>
        <v>=&gt;</v>
      </c>
      <c r="D530" s="538" t="s">
        <v>1019</v>
      </c>
      <c r="E530" s="3" t="s">
        <v>6</v>
      </c>
      <c r="F530" s="578" t="s">
        <v>1057</v>
      </c>
      <c r="G530" s="537"/>
      <c r="H530" s="537"/>
      <c r="I530" s="537"/>
      <c r="J530" s="537"/>
      <c r="K530" s="537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409">
        <f t="shared" si="1"/>
        <v>531</v>
      </c>
      <c r="B531" s="578" t="s">
        <v>1057</v>
      </c>
      <c r="C531" s="3" t="str">
        <f t="shared" si="3"/>
        <v>=&gt;</v>
      </c>
      <c r="D531" s="582" t="s">
        <v>1061</v>
      </c>
      <c r="E531" s="578" t="s">
        <v>1057</v>
      </c>
      <c r="F531" s="537"/>
      <c r="G531" s="537"/>
      <c r="H531" s="537"/>
      <c r="I531" s="537"/>
      <c r="J531" s="537"/>
      <c r="K531" s="537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409">
        <f t="shared" si="1"/>
        <v>532</v>
      </c>
      <c r="B532" s="578" t="s">
        <v>1057</v>
      </c>
      <c r="C532" s="3" t="str">
        <f t="shared" si="3"/>
        <v>=&gt;</v>
      </c>
      <c r="D532" s="540" t="s">
        <v>1021</v>
      </c>
      <c r="E532" s="578" t="s">
        <v>1057</v>
      </c>
      <c r="F532" s="537"/>
      <c r="G532" s="537"/>
      <c r="H532" s="537"/>
      <c r="I532" s="537"/>
      <c r="J532" s="537"/>
      <c r="K532" s="537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409">
        <f t="shared" si="1"/>
        <v>533</v>
      </c>
      <c r="B533" s="578" t="s">
        <v>1057</v>
      </c>
      <c r="C533" s="3" t="str">
        <f t="shared" si="3"/>
        <v>=&gt;</v>
      </c>
      <c r="D533" s="583" t="s">
        <v>1062</v>
      </c>
      <c r="E533" s="578" t="s">
        <v>1057</v>
      </c>
      <c r="F533" s="100"/>
      <c r="G533" s="537"/>
      <c r="H533" s="537"/>
      <c r="I533" s="537"/>
      <c r="J533" s="537"/>
      <c r="K533" s="537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409">
        <f t="shared" si="1"/>
        <v>534</v>
      </c>
      <c r="B534" s="578" t="s">
        <v>1057</v>
      </c>
      <c r="C534" s="3" t="str">
        <f t="shared" si="3"/>
        <v>=&gt;</v>
      </c>
      <c r="D534" s="542" t="s">
        <v>8</v>
      </c>
      <c r="E534" s="100"/>
      <c r="F534" s="100"/>
      <c r="G534" s="537"/>
      <c r="H534" s="537"/>
      <c r="I534" s="537"/>
      <c r="J534" s="537"/>
      <c r="K534" s="537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409">
        <f t="shared" si="1"/>
        <v>535</v>
      </c>
      <c r="B535" s="581" t="s">
        <v>1060</v>
      </c>
      <c r="C535" s="3" t="str">
        <f t="shared" si="3"/>
        <v>=&gt;</v>
      </c>
      <c r="D535" s="3" t="s">
        <v>14</v>
      </c>
      <c r="E535" s="544" t="s">
        <v>1023</v>
      </c>
      <c r="F535" s="578" t="s">
        <v>1057</v>
      </c>
      <c r="G535" s="100"/>
      <c r="H535" s="100"/>
      <c r="I535" s="537"/>
      <c r="J535" s="537"/>
      <c r="K535" s="537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3">
        <f t="shared" si="1"/>
        <v>536</v>
      </c>
      <c r="B536" s="582" t="s">
        <v>1061</v>
      </c>
      <c r="C536" s="3" t="str">
        <f t="shared" si="3"/>
        <v>=&gt;</v>
      </c>
      <c r="D536" s="584" t="s">
        <v>1063</v>
      </c>
      <c r="E536" s="537"/>
      <c r="F536" s="537"/>
      <c r="G536" s="537"/>
      <c r="H536" s="537"/>
      <c r="I536" s="537"/>
      <c r="J536" s="537"/>
      <c r="K536" s="537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3">
        <f t="shared" si="1"/>
        <v>537</v>
      </c>
      <c r="B537" s="582" t="s">
        <v>1061</v>
      </c>
      <c r="C537" s="3" t="str">
        <f t="shared" si="3"/>
        <v>=&gt;</v>
      </c>
      <c r="D537" s="585" t="s">
        <v>1064</v>
      </c>
      <c r="E537" s="537"/>
      <c r="F537" s="537"/>
      <c r="G537" s="537"/>
      <c r="H537" s="537"/>
      <c r="I537" s="537"/>
      <c r="J537" s="537"/>
      <c r="K537" s="537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3">
        <f t="shared" si="1"/>
        <v>538</v>
      </c>
      <c r="B538" s="584" t="s">
        <v>1063</v>
      </c>
      <c r="C538" s="3" t="str">
        <f t="shared" si="3"/>
        <v>=&gt;</v>
      </c>
      <c r="D538" s="542" t="s">
        <v>1029</v>
      </c>
      <c r="E538" s="3" t="s">
        <v>62</v>
      </c>
      <c r="F538" s="552" t="s">
        <v>976</v>
      </c>
      <c r="G538" s="3" t="s">
        <v>64</v>
      </c>
      <c r="H538" s="575" t="s">
        <v>1054</v>
      </c>
      <c r="I538" s="586" t="s">
        <v>1065</v>
      </c>
      <c r="J538" s="587" t="s">
        <v>1066</v>
      </c>
      <c r="K538" s="537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3">
        <f t="shared" si="1"/>
        <v>539</v>
      </c>
      <c r="B539" s="586" t="s">
        <v>1065</v>
      </c>
      <c r="C539" s="3" t="str">
        <f t="shared" si="3"/>
        <v>=&gt;</v>
      </c>
      <c r="D539" s="542" t="s">
        <v>1032</v>
      </c>
      <c r="E539" s="3" t="s">
        <v>62</v>
      </c>
      <c r="F539" s="552" t="s">
        <v>976</v>
      </c>
      <c r="G539" s="3" t="s">
        <v>64</v>
      </c>
      <c r="H539" s="575" t="s">
        <v>1054</v>
      </c>
      <c r="I539" s="586" t="s">
        <v>1065</v>
      </c>
      <c r="J539" s="537"/>
      <c r="K539" s="537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3">
        <f t="shared" si="1"/>
        <v>540</v>
      </c>
      <c r="B540" s="586" t="s">
        <v>1065</v>
      </c>
      <c r="C540" s="3" t="str">
        <f t="shared" si="3"/>
        <v>=&gt;</v>
      </c>
      <c r="D540" s="542" t="s">
        <v>8</v>
      </c>
      <c r="E540" s="537"/>
      <c r="F540" s="537"/>
      <c r="G540" s="537"/>
      <c r="H540" s="537"/>
      <c r="I540" s="537"/>
      <c r="J540" s="537"/>
      <c r="K540" s="537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3">
        <f t="shared" si="1"/>
        <v>541</v>
      </c>
      <c r="B541" s="587" t="s">
        <v>1066</v>
      </c>
      <c r="C541" s="3" t="str">
        <f t="shared" si="3"/>
        <v>=&gt;</v>
      </c>
      <c r="D541" s="542" t="s">
        <v>1033</v>
      </c>
      <c r="E541" s="575" t="s">
        <v>1054</v>
      </c>
      <c r="F541" s="537"/>
      <c r="G541" s="537"/>
      <c r="H541" s="537"/>
      <c r="I541" s="537"/>
      <c r="J541" s="537"/>
      <c r="K541" s="537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3">
        <f t="shared" si="1"/>
        <v>542</v>
      </c>
      <c r="B542" s="587" t="s">
        <v>1066</v>
      </c>
      <c r="C542" s="3" t="str">
        <f t="shared" si="3"/>
        <v>=&gt;</v>
      </c>
      <c r="D542" s="542" t="s">
        <v>8</v>
      </c>
      <c r="E542" s="537"/>
      <c r="F542" s="537"/>
      <c r="G542" s="537"/>
      <c r="H542" s="537"/>
      <c r="I542" s="537"/>
      <c r="J542" s="537"/>
      <c r="K542" s="537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3">
        <f t="shared" si="1"/>
        <v>543</v>
      </c>
      <c r="B543" s="585" t="s">
        <v>1064</v>
      </c>
      <c r="C543" s="3" t="str">
        <f t="shared" si="3"/>
        <v>=&gt;</v>
      </c>
      <c r="D543" s="542" t="s">
        <v>1034</v>
      </c>
      <c r="E543" s="3" t="s">
        <v>62</v>
      </c>
      <c r="F543" s="363" t="s">
        <v>863</v>
      </c>
      <c r="G543" s="3" t="s">
        <v>64</v>
      </c>
      <c r="H543" s="588" t="s">
        <v>1067</v>
      </c>
      <c r="I543" s="537"/>
      <c r="J543" s="537"/>
      <c r="K543" s="537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3">
        <f t="shared" si="1"/>
        <v>544</v>
      </c>
      <c r="B544" s="588" t="s">
        <v>1067</v>
      </c>
      <c r="C544" s="3" t="str">
        <f t="shared" si="3"/>
        <v>=&gt;</v>
      </c>
      <c r="D544" s="542" t="s">
        <v>17</v>
      </c>
      <c r="E544" s="589" t="s">
        <v>1068</v>
      </c>
      <c r="F544" s="590" t="s">
        <v>1069</v>
      </c>
      <c r="G544" s="3" t="s">
        <v>19</v>
      </c>
      <c r="H544" s="3"/>
      <c r="I544" s="3"/>
      <c r="J544" s="3"/>
      <c r="K544" s="3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3">
        <f t="shared" si="1"/>
        <v>545</v>
      </c>
      <c r="B545" s="589" t="s">
        <v>1068</v>
      </c>
      <c r="C545" s="3" t="str">
        <f t="shared" si="3"/>
        <v>=&gt;</v>
      </c>
      <c r="D545" s="542" t="s">
        <v>1038</v>
      </c>
      <c r="E545" s="558" t="s">
        <v>1039</v>
      </c>
      <c r="F545" s="3" t="s">
        <v>180</v>
      </c>
      <c r="G545" s="578" t="s">
        <v>1057</v>
      </c>
      <c r="H545" s="589" t="s">
        <v>1068</v>
      </c>
      <c r="I545" s="100"/>
      <c r="J545" s="537"/>
      <c r="K545" s="537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3">
        <f t="shared" si="1"/>
        <v>546</v>
      </c>
      <c r="B546" s="589" t="s">
        <v>1068</v>
      </c>
      <c r="C546" s="3" t="str">
        <f t="shared" si="3"/>
        <v>=&gt;</v>
      </c>
      <c r="D546" s="542" t="s">
        <v>8</v>
      </c>
      <c r="E546" s="537"/>
      <c r="F546" s="537"/>
      <c r="G546" s="537"/>
      <c r="H546" s="537"/>
      <c r="I546" s="537"/>
      <c r="J546" s="537"/>
      <c r="K546" s="537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3">
        <f t="shared" si="1"/>
        <v>547</v>
      </c>
      <c r="B547" s="590" t="s">
        <v>1069</v>
      </c>
      <c r="C547" s="3" t="str">
        <f t="shared" si="3"/>
        <v>=&gt;</v>
      </c>
      <c r="D547" s="542" t="s">
        <v>1070</v>
      </c>
      <c r="E547" s="3" t="s">
        <v>180</v>
      </c>
      <c r="F547" s="578" t="s">
        <v>1057</v>
      </c>
      <c r="G547" s="537"/>
      <c r="H547" s="537"/>
      <c r="I547" s="537"/>
      <c r="J547" s="537"/>
      <c r="K547" s="537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3">
        <f t="shared" si="1"/>
        <v>548</v>
      </c>
      <c r="B548" s="590" t="s">
        <v>1069</v>
      </c>
      <c r="C548" s="3" t="str">
        <f t="shared" si="3"/>
        <v>=&gt;</v>
      </c>
      <c r="D548" s="542" t="s">
        <v>8</v>
      </c>
      <c r="E548" s="537"/>
      <c r="F548" s="537"/>
      <c r="G548" s="537"/>
      <c r="H548" s="537"/>
      <c r="I548" s="537"/>
      <c r="J548" s="537"/>
      <c r="K548" s="537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3">
        <f t="shared" si="1"/>
        <v>549</v>
      </c>
      <c r="B549" s="591" t="s">
        <v>1062</v>
      </c>
      <c r="C549" s="3" t="str">
        <f t="shared" si="3"/>
        <v>=&gt;</v>
      </c>
      <c r="D549" s="592" t="s">
        <v>1071</v>
      </c>
      <c r="E549" s="537"/>
      <c r="F549" s="537"/>
      <c r="G549" s="537"/>
      <c r="H549" s="537"/>
      <c r="I549" s="537"/>
      <c r="J549" s="537"/>
      <c r="K549" s="100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>
        <f t="shared" si="1"/>
        <v>550</v>
      </c>
      <c r="B550" s="591" t="s">
        <v>1062</v>
      </c>
      <c r="C550" s="3" t="str">
        <f t="shared" si="3"/>
        <v>=&gt;</v>
      </c>
      <c r="D550" s="593" t="s">
        <v>1043</v>
      </c>
      <c r="E550" s="537"/>
      <c r="F550" s="537"/>
      <c r="G550" s="537"/>
      <c r="H550" s="537"/>
      <c r="I550" s="537"/>
      <c r="J550" s="537"/>
      <c r="K550" s="100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3">
        <f t="shared" si="1"/>
        <v>551</v>
      </c>
      <c r="B551" s="591" t="s">
        <v>1062</v>
      </c>
      <c r="C551" s="3" t="str">
        <f t="shared" si="3"/>
        <v>=&gt;</v>
      </c>
      <c r="D551" s="594" t="s">
        <v>1022</v>
      </c>
      <c r="E551" s="537"/>
      <c r="F551" s="537"/>
      <c r="G551" s="537"/>
      <c r="H551" s="537"/>
      <c r="I551" s="537"/>
      <c r="J551" s="537"/>
      <c r="K551" s="100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>
        <f t="shared" si="1"/>
        <v>552</v>
      </c>
      <c r="B552" s="592" t="s">
        <v>1071</v>
      </c>
      <c r="C552" s="3" t="str">
        <f t="shared" si="3"/>
        <v>=&gt;</v>
      </c>
      <c r="D552" s="3" t="s">
        <v>1072</v>
      </c>
      <c r="E552" s="3" t="s">
        <v>6</v>
      </c>
      <c r="F552" s="3"/>
      <c r="G552" s="3"/>
      <c r="H552" s="3"/>
      <c r="I552" s="3"/>
      <c r="J552" s="3"/>
      <c r="K552" s="8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>
        <f t="shared" si="1"/>
        <v>553</v>
      </c>
      <c r="B553" s="593" t="s">
        <v>1043</v>
      </c>
      <c r="C553" s="3" t="str">
        <f t="shared" si="3"/>
        <v>=&gt;</v>
      </c>
      <c r="D553" s="542" t="s">
        <v>1073</v>
      </c>
      <c r="E553" s="3" t="s">
        <v>6</v>
      </c>
      <c r="F553" s="3"/>
      <c r="G553" s="3"/>
      <c r="H553" s="3"/>
      <c r="I553" s="3"/>
      <c r="J553" s="3"/>
      <c r="K553" s="3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>
        <f t="shared" si="1"/>
        <v>554</v>
      </c>
      <c r="B554" s="594" t="s">
        <v>1022</v>
      </c>
      <c r="C554" s="3" t="str">
        <f t="shared" si="3"/>
        <v>=&gt;</v>
      </c>
      <c r="D554" s="542" t="s">
        <v>1074</v>
      </c>
      <c r="E554" s="395" t="s">
        <v>28</v>
      </c>
      <c r="F554" s="3" t="s">
        <v>6</v>
      </c>
      <c r="G554" s="3"/>
      <c r="H554" s="3"/>
      <c r="I554" s="3"/>
      <c r="J554" s="3"/>
      <c r="K554" s="3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>
        <f t="shared" si="1"/>
        <v>555</v>
      </c>
      <c r="B555" s="571" t="s">
        <v>1050</v>
      </c>
      <c r="C555" s="3" t="str">
        <f t="shared" si="3"/>
        <v>=&gt;</v>
      </c>
      <c r="D555" s="542" t="s">
        <v>1075</v>
      </c>
      <c r="E555" s="3" t="s">
        <v>62</v>
      </c>
      <c r="F555" s="552" t="s">
        <v>976</v>
      </c>
      <c r="G555" s="3" t="s">
        <v>64</v>
      </c>
      <c r="H555" s="575" t="s">
        <v>1054</v>
      </c>
      <c r="I555" s="537"/>
      <c r="J555" s="537"/>
      <c r="K555" s="100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>
        <f t="shared" si="1"/>
        <v>556</v>
      </c>
      <c r="B556" s="572" t="s">
        <v>1051</v>
      </c>
      <c r="C556" s="3" t="str">
        <f t="shared" si="3"/>
        <v>=&gt;</v>
      </c>
      <c r="D556" s="542" t="s">
        <v>1076</v>
      </c>
      <c r="E556" s="575" t="s">
        <v>1054</v>
      </c>
      <c r="F556" s="3" t="s">
        <v>1075</v>
      </c>
      <c r="G556" s="3" t="s">
        <v>62</v>
      </c>
      <c r="H556" s="552" t="s">
        <v>976</v>
      </c>
      <c r="I556" s="3" t="s">
        <v>64</v>
      </c>
      <c r="J556" s="3" t="s">
        <v>6</v>
      </c>
      <c r="K556" s="100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>
        <f t="shared" si="1"/>
        <v>557</v>
      </c>
      <c r="B557" s="557" t="s">
        <v>1037</v>
      </c>
      <c r="C557" s="3" t="str">
        <f t="shared" si="3"/>
        <v>=&gt;</v>
      </c>
      <c r="D557" s="542" t="s">
        <v>1070</v>
      </c>
      <c r="E557" s="3" t="s">
        <v>180</v>
      </c>
      <c r="F557" s="559" t="s">
        <v>1040</v>
      </c>
      <c r="G557" s="537"/>
      <c r="H557" s="537"/>
      <c r="I557" s="537"/>
      <c r="J557" s="537"/>
      <c r="K557" s="537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>
        <f t="shared" si="1"/>
        <v>558</v>
      </c>
      <c r="B558" s="557" t="s">
        <v>1037</v>
      </c>
      <c r="C558" s="3" t="str">
        <f t="shared" si="3"/>
        <v>=&gt;</v>
      </c>
      <c r="D558" s="542" t="s">
        <v>8</v>
      </c>
      <c r="E558" s="537"/>
      <c r="F558" s="537"/>
      <c r="G558" s="537"/>
      <c r="H558" s="537"/>
      <c r="I558" s="537"/>
      <c r="J558" s="537"/>
      <c r="K558" s="537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0"/>
    <col customWidth="1" min="2" max="2" width="18.63"/>
    <col customWidth="1" hidden="1" min="3" max="3" width="3.0"/>
    <col customWidth="1" min="4" max="4" width="17.75"/>
    <col customWidth="1" min="5" max="7" width="18.63"/>
    <col customWidth="1" min="8" max="8" width="17.5"/>
    <col customWidth="1" min="9" max="9" width="17.75"/>
    <col customWidth="1" min="10" max="10" width="15.0"/>
    <col customWidth="1" min="11" max="11" width="14.38"/>
    <col customWidth="1" min="12" max="12" width="17.5"/>
  </cols>
  <sheetData>
    <row r="1">
      <c r="A1" s="3">
        <f t="shared" ref="A1:A136" si="1">ROW()</f>
        <v>1</v>
      </c>
      <c r="B1" s="340" t="s">
        <v>0</v>
      </c>
      <c r="C1" s="3" t="str">
        <f t="shared" ref="C1:C18" si="2">"=&gt;"</f>
        <v>=&gt;</v>
      </c>
      <c r="D1" s="341" t="s">
        <v>836</v>
      </c>
      <c r="E1" s="342" t="s">
        <v>837</v>
      </c>
      <c r="F1" s="595" t="s">
        <v>1077</v>
      </c>
      <c r="G1" s="537"/>
      <c r="H1" s="537"/>
      <c r="I1" s="537"/>
      <c r="J1" s="537"/>
      <c r="K1" s="537"/>
      <c r="L1" s="537"/>
    </row>
    <row r="2">
      <c r="A2" s="3">
        <f t="shared" si="1"/>
        <v>2</v>
      </c>
      <c r="B2" s="341" t="s">
        <v>836</v>
      </c>
      <c r="C2" s="3" t="str">
        <f t="shared" si="2"/>
        <v>=&gt;</v>
      </c>
      <c r="D2" s="596" t="s">
        <v>1078</v>
      </c>
      <c r="E2" s="341" t="s">
        <v>836</v>
      </c>
      <c r="F2" s="537"/>
      <c r="G2" s="537"/>
      <c r="H2" s="537"/>
      <c r="I2" s="537"/>
      <c r="J2" s="537"/>
      <c r="K2" s="537"/>
      <c r="L2" s="537"/>
    </row>
    <row r="3">
      <c r="A3" s="3">
        <f t="shared" si="1"/>
        <v>3</v>
      </c>
      <c r="B3" s="341" t="s">
        <v>836</v>
      </c>
      <c r="C3" s="3" t="str">
        <f t="shared" si="2"/>
        <v>=&gt;</v>
      </c>
      <c r="D3" s="597" t="s">
        <v>1079</v>
      </c>
      <c r="E3" s="341" t="s">
        <v>836</v>
      </c>
      <c r="F3" s="537"/>
      <c r="G3" s="537"/>
      <c r="H3" s="537"/>
      <c r="I3" s="537"/>
      <c r="J3" s="537"/>
      <c r="K3" s="537"/>
      <c r="L3" s="537"/>
    </row>
    <row r="4">
      <c r="A4" s="3">
        <f t="shared" si="1"/>
        <v>4</v>
      </c>
      <c r="B4" s="341" t="s">
        <v>836</v>
      </c>
      <c r="C4" s="3" t="str">
        <f t="shared" si="2"/>
        <v>=&gt;</v>
      </c>
      <c r="D4" s="348" t="s">
        <v>848</v>
      </c>
      <c r="E4" s="341" t="s">
        <v>836</v>
      </c>
      <c r="F4" s="537"/>
      <c r="G4" s="537"/>
      <c r="H4" s="537"/>
      <c r="I4" s="537"/>
      <c r="J4" s="537"/>
      <c r="K4" s="537"/>
      <c r="L4" s="537"/>
    </row>
    <row r="5">
      <c r="A5" s="3">
        <f t="shared" si="1"/>
        <v>5</v>
      </c>
      <c r="B5" s="341" t="s">
        <v>836</v>
      </c>
      <c r="C5" s="3" t="str">
        <f t="shared" si="2"/>
        <v>=&gt;</v>
      </c>
      <c r="D5" s="598" t="s">
        <v>1080</v>
      </c>
      <c r="E5" s="341" t="s">
        <v>836</v>
      </c>
      <c r="F5" s="537"/>
      <c r="G5" s="537"/>
      <c r="H5" s="537"/>
      <c r="I5" s="537"/>
      <c r="J5" s="537"/>
      <c r="K5" s="537"/>
      <c r="L5" s="537"/>
    </row>
    <row r="6">
      <c r="A6" s="3">
        <f t="shared" si="1"/>
        <v>6</v>
      </c>
      <c r="B6" s="341" t="s">
        <v>836</v>
      </c>
      <c r="C6" s="3" t="str">
        <f t="shared" si="2"/>
        <v>=&gt;</v>
      </c>
      <c r="D6" s="3" t="s">
        <v>8</v>
      </c>
      <c r="E6" s="537"/>
      <c r="F6" s="537"/>
      <c r="G6" s="537"/>
      <c r="H6" s="537"/>
      <c r="I6" s="537"/>
      <c r="J6" s="537"/>
      <c r="K6" s="537"/>
      <c r="L6" s="537"/>
    </row>
    <row r="7">
      <c r="A7" s="3">
        <f t="shared" si="1"/>
        <v>7</v>
      </c>
      <c r="B7" s="596" t="s">
        <v>1078</v>
      </c>
      <c r="C7" s="3" t="str">
        <f t="shared" si="2"/>
        <v>=&gt;</v>
      </c>
      <c r="D7" s="599" t="s">
        <v>1081</v>
      </c>
      <c r="E7" s="7" t="s">
        <v>850</v>
      </c>
      <c r="F7" s="600" t="s">
        <v>1082</v>
      </c>
      <c r="G7" s="3" t="s">
        <v>6</v>
      </c>
      <c r="H7" s="596" t="s">
        <v>1078</v>
      </c>
      <c r="I7" s="100"/>
      <c r="J7" s="100"/>
      <c r="K7" s="537"/>
      <c r="L7" s="537"/>
    </row>
    <row r="8">
      <c r="A8" s="3">
        <f t="shared" si="1"/>
        <v>8</v>
      </c>
      <c r="B8" s="596" t="s">
        <v>1078</v>
      </c>
      <c r="C8" s="3" t="str">
        <f t="shared" si="2"/>
        <v>=&gt;</v>
      </c>
      <c r="D8" s="3" t="s">
        <v>8</v>
      </c>
      <c r="E8" s="537"/>
      <c r="F8" s="537"/>
      <c r="G8" s="537"/>
      <c r="H8" s="537"/>
      <c r="I8" s="100"/>
      <c r="J8" s="100"/>
      <c r="K8" s="537"/>
      <c r="L8" s="537"/>
    </row>
    <row r="9">
      <c r="A9" s="3">
        <f t="shared" si="1"/>
        <v>9</v>
      </c>
      <c r="B9" s="599" t="s">
        <v>1081</v>
      </c>
      <c r="C9" s="3" t="str">
        <f t="shared" si="2"/>
        <v>=&gt;</v>
      </c>
      <c r="D9" s="3" t="s">
        <v>840</v>
      </c>
      <c r="E9" s="100"/>
      <c r="F9" s="100"/>
      <c r="G9" s="100"/>
      <c r="H9" s="537"/>
      <c r="I9" s="537"/>
      <c r="J9" s="537"/>
      <c r="K9" s="537"/>
      <c r="L9" s="537"/>
    </row>
    <row r="10">
      <c r="A10" s="3">
        <f t="shared" si="1"/>
        <v>10</v>
      </c>
      <c r="B10" s="599" t="s">
        <v>1081</v>
      </c>
      <c r="C10" s="3" t="str">
        <f t="shared" si="2"/>
        <v>=&gt;</v>
      </c>
      <c r="D10" s="3" t="s">
        <v>844</v>
      </c>
      <c r="E10" s="100"/>
      <c r="F10" s="100"/>
      <c r="G10" s="100"/>
      <c r="H10" s="537"/>
      <c r="I10" s="537"/>
      <c r="J10" s="537"/>
      <c r="K10" s="537"/>
      <c r="L10" s="537"/>
    </row>
    <row r="11">
      <c r="A11" s="3">
        <f t="shared" si="1"/>
        <v>11</v>
      </c>
      <c r="B11" s="599" t="s">
        <v>1081</v>
      </c>
      <c r="C11" s="3" t="str">
        <f t="shared" si="2"/>
        <v>=&gt;</v>
      </c>
      <c r="D11" s="3" t="s">
        <v>846</v>
      </c>
      <c r="E11" s="100"/>
      <c r="F11" s="100"/>
      <c r="G11" s="100"/>
      <c r="H11" s="537"/>
      <c r="I11" s="537"/>
      <c r="J11" s="537"/>
      <c r="K11" s="537"/>
      <c r="L11" s="537"/>
    </row>
    <row r="12">
      <c r="A12" s="3">
        <f t="shared" si="1"/>
        <v>12</v>
      </c>
      <c r="B12" s="599" t="s">
        <v>1081</v>
      </c>
      <c r="C12" s="3" t="str">
        <f t="shared" si="2"/>
        <v>=&gt;</v>
      </c>
      <c r="D12" s="3" t="s">
        <v>842</v>
      </c>
      <c r="E12" s="100"/>
      <c r="F12" s="100"/>
      <c r="G12" s="100"/>
      <c r="H12" s="537"/>
      <c r="I12" s="537"/>
      <c r="J12" s="537"/>
      <c r="K12" s="537"/>
      <c r="L12" s="537"/>
    </row>
    <row r="13">
      <c r="A13" s="3">
        <f t="shared" si="1"/>
        <v>13</v>
      </c>
      <c r="B13" s="600" t="s">
        <v>1082</v>
      </c>
      <c r="C13" s="3" t="str">
        <f t="shared" si="2"/>
        <v>=&gt;</v>
      </c>
      <c r="D13" s="3" t="s">
        <v>14</v>
      </c>
      <c r="E13" s="601" t="s">
        <v>1083</v>
      </c>
      <c r="F13" s="602" t="s">
        <v>1084</v>
      </c>
      <c r="G13" s="100"/>
      <c r="H13" s="537"/>
      <c r="I13" s="537"/>
      <c r="J13" s="100"/>
      <c r="K13" s="537"/>
      <c r="L13" s="537"/>
    </row>
    <row r="14">
      <c r="A14" s="3">
        <f t="shared" si="1"/>
        <v>14</v>
      </c>
      <c r="B14" s="601" t="s">
        <v>1083</v>
      </c>
      <c r="C14" s="3" t="str">
        <f t="shared" si="2"/>
        <v>=&gt;</v>
      </c>
      <c r="D14" s="3" t="str">
        <f>"="</f>
        <v>=</v>
      </c>
      <c r="E14" s="603" t="s">
        <v>1085</v>
      </c>
      <c r="F14" s="100"/>
      <c r="G14" s="100"/>
      <c r="H14" s="537"/>
      <c r="I14" s="537"/>
      <c r="J14" s="537"/>
      <c r="K14" s="537"/>
      <c r="L14" s="537"/>
    </row>
    <row r="15">
      <c r="A15" s="3">
        <f t="shared" si="1"/>
        <v>15</v>
      </c>
      <c r="B15" s="601" t="s">
        <v>1083</v>
      </c>
      <c r="C15" s="3" t="str">
        <f t="shared" si="2"/>
        <v>=&gt;</v>
      </c>
      <c r="D15" s="3" t="s">
        <v>8</v>
      </c>
      <c r="E15" s="537"/>
      <c r="F15" s="100"/>
      <c r="G15" s="100"/>
      <c r="H15" s="537"/>
      <c r="I15" s="537"/>
      <c r="J15" s="537"/>
      <c r="K15" s="537"/>
      <c r="L15" s="537"/>
    </row>
    <row r="16">
      <c r="A16" s="3">
        <f t="shared" si="1"/>
        <v>16</v>
      </c>
      <c r="B16" s="602" t="s">
        <v>1084</v>
      </c>
      <c r="C16" s="3" t="str">
        <f t="shared" si="2"/>
        <v>=&gt;</v>
      </c>
      <c r="D16" s="3" t="s">
        <v>38</v>
      </c>
      <c r="E16" s="3" t="s">
        <v>14</v>
      </c>
      <c r="F16" s="601" t="s">
        <v>1083</v>
      </c>
      <c r="G16" s="602" t="s">
        <v>1084</v>
      </c>
      <c r="H16" s="537"/>
      <c r="I16" s="537"/>
      <c r="J16" s="537"/>
      <c r="K16" s="537"/>
      <c r="L16" s="537"/>
    </row>
    <row r="17">
      <c r="A17" s="3">
        <f t="shared" si="1"/>
        <v>17</v>
      </c>
      <c r="B17" s="602" t="s">
        <v>1084</v>
      </c>
      <c r="C17" s="3" t="str">
        <f t="shared" si="2"/>
        <v>=&gt;</v>
      </c>
      <c r="D17" s="3" t="s">
        <v>8</v>
      </c>
      <c r="E17" s="100"/>
      <c r="F17" s="537"/>
      <c r="G17" s="100"/>
      <c r="H17" s="537"/>
      <c r="I17" s="537"/>
      <c r="J17" s="537"/>
      <c r="K17" s="537"/>
      <c r="L17" s="537"/>
    </row>
    <row r="18">
      <c r="A18" s="3">
        <f t="shared" si="1"/>
        <v>18</v>
      </c>
      <c r="B18" s="603" t="s">
        <v>1085</v>
      </c>
      <c r="C18" s="3" t="str">
        <f t="shared" si="2"/>
        <v>=&gt;</v>
      </c>
      <c r="D18" s="604" t="s">
        <v>1086</v>
      </c>
      <c r="E18" s="537"/>
      <c r="F18" s="100"/>
      <c r="G18" s="537"/>
      <c r="H18" s="537"/>
      <c r="I18" s="537"/>
      <c r="J18" s="537"/>
      <c r="K18" s="537"/>
      <c r="L18" s="537"/>
    </row>
    <row r="19">
      <c r="A19" s="3">
        <f t="shared" si="1"/>
        <v>19</v>
      </c>
      <c r="B19" s="604" t="s">
        <v>1086</v>
      </c>
      <c r="C19" s="3" t="s">
        <v>199</v>
      </c>
      <c r="D19" s="605" t="s">
        <v>154</v>
      </c>
      <c r="E19" s="606" t="s">
        <v>155</v>
      </c>
      <c r="F19" s="537"/>
      <c r="G19" s="537"/>
      <c r="H19" s="537"/>
      <c r="I19" s="537"/>
      <c r="J19" s="537"/>
      <c r="K19" s="537"/>
      <c r="L19" s="537"/>
    </row>
    <row r="20">
      <c r="A20" s="3">
        <f t="shared" si="1"/>
        <v>20</v>
      </c>
      <c r="B20" s="607" t="s">
        <v>154</v>
      </c>
      <c r="C20" s="3" t="str">
        <f t="shared" ref="C20:C110" si="3">"=&gt;"</f>
        <v>=&gt;</v>
      </c>
      <c r="D20" s="608" t="s">
        <v>1087</v>
      </c>
      <c r="E20" s="609" t="s">
        <v>157</v>
      </c>
      <c r="F20" s="537"/>
      <c r="G20" s="537"/>
      <c r="H20" s="537"/>
      <c r="I20" s="537"/>
      <c r="J20" s="537"/>
      <c r="K20" s="537"/>
      <c r="L20" s="537"/>
    </row>
    <row r="21">
      <c r="A21" s="3">
        <f t="shared" si="1"/>
        <v>21</v>
      </c>
      <c r="B21" s="606" t="s">
        <v>155</v>
      </c>
      <c r="C21" s="3" t="str">
        <f t="shared" si="3"/>
        <v>=&gt;</v>
      </c>
      <c r="D21" s="3" t="s">
        <v>937</v>
      </c>
      <c r="E21" s="605" t="s">
        <v>154</v>
      </c>
      <c r="F21" s="610" t="s">
        <v>155</v>
      </c>
      <c r="G21" s="537"/>
      <c r="H21" s="537"/>
      <c r="I21" s="537"/>
      <c r="J21" s="537"/>
      <c r="K21" s="537"/>
      <c r="L21" s="537"/>
    </row>
    <row r="22">
      <c r="A22" s="3">
        <f t="shared" si="1"/>
        <v>22</v>
      </c>
      <c r="B22" s="610" t="s">
        <v>155</v>
      </c>
      <c r="C22" s="3" t="str">
        <f t="shared" si="3"/>
        <v>=&gt;</v>
      </c>
      <c r="D22" s="3" t="s">
        <v>8</v>
      </c>
      <c r="E22" s="537"/>
      <c r="F22" s="537"/>
      <c r="G22" s="537"/>
      <c r="H22" s="537"/>
      <c r="I22" s="537"/>
      <c r="J22" s="537"/>
      <c r="K22" s="537"/>
      <c r="L22" s="537"/>
    </row>
    <row r="23">
      <c r="A23" s="3">
        <f t="shared" si="1"/>
        <v>23</v>
      </c>
      <c r="B23" s="608" t="s">
        <v>1087</v>
      </c>
      <c r="C23" s="3" t="str">
        <f t="shared" si="3"/>
        <v>=&gt;</v>
      </c>
      <c r="D23" s="611" t="s">
        <v>110</v>
      </c>
      <c r="E23" s="612" t="s">
        <v>1088</v>
      </c>
      <c r="F23" s="537"/>
      <c r="G23" s="537"/>
      <c r="H23" s="537"/>
      <c r="I23" s="537"/>
      <c r="J23" s="537"/>
      <c r="K23" s="537"/>
      <c r="L23" s="537"/>
    </row>
    <row r="24">
      <c r="A24" s="3">
        <f t="shared" si="1"/>
        <v>24</v>
      </c>
      <c r="B24" s="609" t="s">
        <v>157</v>
      </c>
      <c r="C24" s="3" t="str">
        <f t="shared" si="3"/>
        <v>=&gt;</v>
      </c>
      <c r="D24" s="3" t="s">
        <v>936</v>
      </c>
      <c r="E24" s="608" t="s">
        <v>1087</v>
      </c>
      <c r="F24" s="609" t="s">
        <v>157</v>
      </c>
      <c r="G24" s="537"/>
      <c r="H24" s="537"/>
      <c r="I24" s="537"/>
      <c r="J24" s="537"/>
      <c r="K24" s="537"/>
      <c r="L24" s="537"/>
    </row>
    <row r="25">
      <c r="A25" s="3">
        <f t="shared" si="1"/>
        <v>25</v>
      </c>
      <c r="B25" s="609" t="s">
        <v>157</v>
      </c>
      <c r="C25" s="3" t="str">
        <f t="shared" si="3"/>
        <v>=&gt;</v>
      </c>
      <c r="D25" s="3" t="s">
        <v>8</v>
      </c>
      <c r="E25" s="537"/>
      <c r="F25" s="537"/>
      <c r="G25" s="537"/>
      <c r="H25" s="537"/>
      <c r="I25" s="537"/>
      <c r="J25" s="537"/>
      <c r="K25" s="537"/>
      <c r="L25" s="537"/>
    </row>
    <row r="26">
      <c r="A26" s="3">
        <f t="shared" si="1"/>
        <v>26</v>
      </c>
      <c r="B26" s="611" t="s">
        <v>110</v>
      </c>
      <c r="C26" s="3" t="str">
        <f t="shared" si="3"/>
        <v>=&gt;</v>
      </c>
      <c r="D26" s="613" t="s">
        <v>1089</v>
      </c>
      <c r="E26" s="614" t="s">
        <v>1090</v>
      </c>
      <c r="F26" s="537"/>
      <c r="G26" s="537"/>
      <c r="H26" s="537"/>
      <c r="I26" s="537"/>
      <c r="J26" s="537"/>
      <c r="K26" s="537"/>
      <c r="L26" s="537"/>
    </row>
    <row r="27">
      <c r="A27" s="3">
        <f t="shared" si="1"/>
        <v>27</v>
      </c>
      <c r="B27" s="612" t="s">
        <v>1088</v>
      </c>
      <c r="C27" s="3" t="str">
        <f t="shared" si="3"/>
        <v>=&gt;</v>
      </c>
      <c r="D27" s="615" t="s">
        <v>934</v>
      </c>
      <c r="E27" s="611" t="s">
        <v>110</v>
      </c>
      <c r="F27" s="612" t="s">
        <v>1088</v>
      </c>
      <c r="G27" s="537"/>
      <c r="H27" s="537"/>
      <c r="I27" s="537"/>
      <c r="J27" s="537"/>
      <c r="K27" s="537"/>
      <c r="L27" s="537"/>
    </row>
    <row r="28">
      <c r="A28" s="3">
        <f t="shared" si="1"/>
        <v>28</v>
      </c>
      <c r="B28" s="612" t="s">
        <v>1088</v>
      </c>
      <c r="C28" s="3" t="str">
        <f t="shared" si="3"/>
        <v>=&gt;</v>
      </c>
      <c r="D28" s="8" t="s">
        <v>163</v>
      </c>
      <c r="E28" s="611" t="s">
        <v>110</v>
      </c>
      <c r="F28" s="612" t="s">
        <v>1088</v>
      </c>
      <c r="G28" s="537"/>
      <c r="H28" s="537"/>
      <c r="I28" s="537"/>
      <c r="J28" s="537"/>
      <c r="K28" s="537"/>
      <c r="L28" s="537"/>
    </row>
    <row r="29">
      <c r="A29" s="3">
        <f t="shared" si="1"/>
        <v>29</v>
      </c>
      <c r="B29" s="612" t="s">
        <v>1088</v>
      </c>
      <c r="C29" s="3" t="str">
        <f t="shared" si="3"/>
        <v>=&gt;</v>
      </c>
      <c r="D29" s="3" t="s">
        <v>8</v>
      </c>
      <c r="E29" s="537"/>
      <c r="F29" s="537"/>
      <c r="G29" s="537"/>
      <c r="H29" s="537"/>
      <c r="I29" s="537"/>
      <c r="J29" s="537"/>
      <c r="K29" s="537"/>
      <c r="L29" s="537"/>
    </row>
    <row r="30">
      <c r="A30" s="3">
        <f t="shared" si="1"/>
        <v>30</v>
      </c>
      <c r="B30" s="613" t="s">
        <v>1089</v>
      </c>
      <c r="C30" s="3" t="str">
        <f t="shared" si="3"/>
        <v>=&gt;</v>
      </c>
      <c r="D30" s="616" t="s">
        <v>1091</v>
      </c>
      <c r="E30" s="617" t="s">
        <v>1092</v>
      </c>
      <c r="F30" s="537"/>
      <c r="G30" s="537"/>
      <c r="H30" s="537"/>
      <c r="I30" s="537"/>
      <c r="J30" s="537"/>
      <c r="K30" s="537"/>
      <c r="L30" s="537"/>
    </row>
    <row r="31">
      <c r="A31" s="3">
        <f t="shared" si="1"/>
        <v>31</v>
      </c>
      <c r="B31" s="614" t="s">
        <v>1090</v>
      </c>
      <c r="C31" s="3" t="str">
        <f t="shared" si="3"/>
        <v>=&gt;</v>
      </c>
      <c r="D31" s="3" t="s">
        <v>164</v>
      </c>
      <c r="E31" s="613" t="s">
        <v>1089</v>
      </c>
      <c r="F31" s="614" t="s">
        <v>1090</v>
      </c>
      <c r="G31" s="537"/>
      <c r="H31" s="537"/>
      <c r="I31" s="537"/>
      <c r="J31" s="537"/>
      <c r="K31" s="537"/>
      <c r="L31" s="537"/>
    </row>
    <row r="32">
      <c r="A32" s="3">
        <f t="shared" si="1"/>
        <v>32</v>
      </c>
      <c r="B32" s="614" t="s">
        <v>1090</v>
      </c>
      <c r="C32" s="3" t="str">
        <f t="shared" si="3"/>
        <v>=&gt;</v>
      </c>
      <c r="D32" s="618" t="s">
        <v>165</v>
      </c>
      <c r="E32" s="613" t="s">
        <v>1089</v>
      </c>
      <c r="F32" s="614" t="s">
        <v>1090</v>
      </c>
      <c r="G32" s="537"/>
      <c r="H32" s="537"/>
      <c r="I32" s="537"/>
      <c r="J32" s="537"/>
      <c r="K32" s="537"/>
      <c r="L32" s="537"/>
    </row>
    <row r="33">
      <c r="A33" s="3">
        <f t="shared" si="1"/>
        <v>33</v>
      </c>
      <c r="B33" s="614" t="s">
        <v>1090</v>
      </c>
      <c r="C33" s="3" t="str">
        <f t="shared" si="3"/>
        <v>=&gt;</v>
      </c>
      <c r="D33" s="3" t="s">
        <v>166</v>
      </c>
      <c r="E33" s="613" t="s">
        <v>1089</v>
      </c>
      <c r="F33" s="614" t="s">
        <v>1090</v>
      </c>
      <c r="G33" s="537"/>
      <c r="H33" s="537"/>
      <c r="I33" s="537"/>
      <c r="J33" s="537"/>
      <c r="K33" s="537"/>
      <c r="L33" s="537"/>
    </row>
    <row r="34">
      <c r="A34" s="3">
        <f t="shared" si="1"/>
        <v>34</v>
      </c>
      <c r="B34" s="614" t="s">
        <v>1090</v>
      </c>
      <c r="C34" s="3" t="str">
        <f t="shared" si="3"/>
        <v>=&gt;</v>
      </c>
      <c r="D34" s="619" t="s">
        <v>167</v>
      </c>
      <c r="E34" s="613" t="s">
        <v>1089</v>
      </c>
      <c r="F34" s="614" t="s">
        <v>1090</v>
      </c>
      <c r="G34" s="537"/>
      <c r="H34" s="537"/>
      <c r="I34" s="537"/>
      <c r="J34" s="537"/>
      <c r="K34" s="537"/>
      <c r="L34" s="537"/>
    </row>
    <row r="35">
      <c r="A35" s="3">
        <f t="shared" si="1"/>
        <v>35</v>
      </c>
      <c r="B35" s="614" t="s">
        <v>1090</v>
      </c>
      <c r="C35" s="3" t="str">
        <f t="shared" si="3"/>
        <v>=&gt;</v>
      </c>
      <c r="D35" s="3" t="s">
        <v>8</v>
      </c>
      <c r="E35" s="537"/>
      <c r="F35" s="620"/>
      <c r="G35" s="537"/>
      <c r="H35" s="537"/>
      <c r="I35" s="537"/>
      <c r="J35" s="537"/>
      <c r="K35" s="537"/>
      <c r="L35" s="537"/>
    </row>
    <row r="36">
      <c r="A36" s="3">
        <f t="shared" si="1"/>
        <v>36</v>
      </c>
      <c r="B36" s="616" t="s">
        <v>1091</v>
      </c>
      <c r="C36" s="3" t="str">
        <f t="shared" si="3"/>
        <v>=&gt;</v>
      </c>
      <c r="D36" s="621" t="s">
        <v>1093</v>
      </c>
      <c r="E36" s="622" t="s">
        <v>1094</v>
      </c>
      <c r="F36" s="537"/>
      <c r="G36" s="100"/>
      <c r="H36" s="537"/>
      <c r="I36" s="537"/>
      <c r="J36" s="537"/>
      <c r="K36" s="537"/>
      <c r="L36" s="537"/>
    </row>
    <row r="37">
      <c r="A37" s="3">
        <f t="shared" si="1"/>
        <v>37</v>
      </c>
      <c r="B37" s="617" t="s">
        <v>1092</v>
      </c>
      <c r="C37" s="3" t="str">
        <f t="shared" si="3"/>
        <v>=&gt;</v>
      </c>
      <c r="D37" s="615" t="s">
        <v>924</v>
      </c>
      <c r="E37" s="616" t="s">
        <v>1091</v>
      </c>
      <c r="F37" s="617" t="s">
        <v>1092</v>
      </c>
      <c r="G37" s="537"/>
      <c r="H37" s="537"/>
      <c r="I37" s="537"/>
      <c r="J37" s="537"/>
      <c r="K37" s="537"/>
      <c r="L37" s="537"/>
    </row>
    <row r="38">
      <c r="A38" s="3">
        <f t="shared" si="1"/>
        <v>38</v>
      </c>
      <c r="B38" s="617" t="s">
        <v>1092</v>
      </c>
      <c r="C38" s="3" t="str">
        <f t="shared" si="3"/>
        <v>=&gt;</v>
      </c>
      <c r="D38" s="623" t="s">
        <v>41</v>
      </c>
      <c r="E38" s="616" t="s">
        <v>1091</v>
      </c>
      <c r="F38" s="617" t="s">
        <v>1092</v>
      </c>
      <c r="G38" s="537"/>
      <c r="H38" s="537"/>
      <c r="I38" s="537"/>
      <c r="J38" s="537"/>
      <c r="K38" s="537"/>
      <c r="L38" s="537"/>
    </row>
    <row r="39">
      <c r="A39" s="3">
        <f t="shared" si="1"/>
        <v>39</v>
      </c>
      <c r="B39" s="617" t="s">
        <v>1092</v>
      </c>
      <c r="C39" s="3" t="str">
        <f t="shared" si="3"/>
        <v>=&gt;</v>
      </c>
      <c r="D39" s="3" t="s">
        <v>8</v>
      </c>
      <c r="E39" s="537"/>
      <c r="F39" s="537"/>
      <c r="G39" s="100"/>
      <c r="H39" s="537"/>
      <c r="I39" s="537"/>
      <c r="J39" s="537"/>
      <c r="K39" s="537"/>
      <c r="L39" s="537"/>
    </row>
    <row r="40">
      <c r="A40" s="3">
        <f t="shared" si="1"/>
        <v>40</v>
      </c>
      <c r="B40" s="621" t="s">
        <v>1093</v>
      </c>
      <c r="C40" s="3" t="str">
        <f t="shared" si="3"/>
        <v>=&gt;</v>
      </c>
      <c r="D40" s="8" t="s">
        <v>885</v>
      </c>
      <c r="E40" s="621" t="s">
        <v>1093</v>
      </c>
      <c r="F40" s="537"/>
      <c r="G40" s="537"/>
      <c r="H40" s="537"/>
      <c r="I40" s="537"/>
      <c r="J40" s="537"/>
      <c r="K40" s="537"/>
      <c r="L40" s="537"/>
    </row>
    <row r="41">
      <c r="A41" s="3">
        <f t="shared" si="1"/>
        <v>41</v>
      </c>
      <c r="B41" s="621" t="s">
        <v>1093</v>
      </c>
      <c r="C41" s="3" t="str">
        <f t="shared" si="3"/>
        <v>=&gt;</v>
      </c>
      <c r="D41" s="624" t="s">
        <v>1095</v>
      </c>
      <c r="E41" s="537"/>
      <c r="F41" s="537"/>
      <c r="G41" s="537"/>
      <c r="H41" s="537"/>
      <c r="I41" s="537"/>
      <c r="J41" s="537"/>
      <c r="K41" s="537"/>
      <c r="L41" s="537"/>
    </row>
    <row r="42">
      <c r="A42" s="3">
        <f t="shared" si="1"/>
        <v>42</v>
      </c>
      <c r="B42" s="622" t="s">
        <v>1094</v>
      </c>
      <c r="C42" s="3" t="str">
        <f t="shared" si="3"/>
        <v>=&gt;</v>
      </c>
      <c r="D42" s="7" t="s">
        <v>887</v>
      </c>
      <c r="E42" s="621" t="s">
        <v>1093</v>
      </c>
      <c r="F42" s="622" t="s">
        <v>1094</v>
      </c>
      <c r="G42" s="537"/>
      <c r="H42" s="537"/>
      <c r="I42" s="537"/>
      <c r="J42" s="537"/>
      <c r="K42" s="537"/>
      <c r="L42" s="537"/>
    </row>
    <row r="43">
      <c r="A43" s="3">
        <f t="shared" si="1"/>
        <v>43</v>
      </c>
      <c r="B43" s="622" t="s">
        <v>1094</v>
      </c>
      <c r="C43" s="3" t="str">
        <f t="shared" si="3"/>
        <v>=&gt;</v>
      </c>
      <c r="D43" s="3" t="s">
        <v>120</v>
      </c>
      <c r="E43" s="621" t="s">
        <v>1093</v>
      </c>
      <c r="F43" s="622" t="s">
        <v>1094</v>
      </c>
      <c r="G43" s="537"/>
      <c r="H43" s="537"/>
      <c r="I43" s="537"/>
      <c r="J43" s="537"/>
      <c r="K43" s="537"/>
      <c r="L43" s="537"/>
    </row>
    <row r="44">
      <c r="A44" s="3">
        <f t="shared" si="1"/>
        <v>44</v>
      </c>
      <c r="B44" s="622" t="s">
        <v>1094</v>
      </c>
      <c r="C44" s="3" t="str">
        <f t="shared" si="3"/>
        <v>=&gt;</v>
      </c>
      <c r="D44" s="3" t="s">
        <v>121</v>
      </c>
      <c r="E44" s="621" t="s">
        <v>1093</v>
      </c>
      <c r="F44" s="622" t="s">
        <v>1094</v>
      </c>
      <c r="G44" s="537"/>
      <c r="H44" s="537"/>
      <c r="I44" s="537"/>
      <c r="J44" s="537"/>
      <c r="K44" s="537"/>
      <c r="L44" s="537"/>
    </row>
    <row r="45">
      <c r="A45" s="3">
        <f t="shared" si="1"/>
        <v>45</v>
      </c>
      <c r="B45" s="622" t="s">
        <v>1094</v>
      </c>
      <c r="C45" s="3" t="str">
        <f t="shared" si="3"/>
        <v>=&gt;</v>
      </c>
      <c r="D45" s="3" t="s">
        <v>8</v>
      </c>
      <c r="E45" s="537"/>
      <c r="F45" s="537"/>
      <c r="G45" s="537"/>
      <c r="H45" s="537"/>
      <c r="I45" s="537"/>
      <c r="J45" s="537"/>
      <c r="K45" s="537"/>
      <c r="L45" s="537"/>
    </row>
    <row r="46">
      <c r="A46" s="3">
        <f t="shared" si="1"/>
        <v>46</v>
      </c>
      <c r="B46" s="624" t="s">
        <v>1095</v>
      </c>
      <c r="C46" s="3" t="str">
        <f t="shared" si="3"/>
        <v>=&gt;</v>
      </c>
      <c r="D46" s="7" t="s">
        <v>62</v>
      </c>
      <c r="E46" s="603" t="s">
        <v>1085</v>
      </c>
      <c r="F46" s="3" t="s">
        <v>64</v>
      </c>
      <c r="G46" s="537"/>
      <c r="H46" s="537"/>
      <c r="I46" s="537"/>
      <c r="J46" s="537"/>
      <c r="K46" s="537"/>
      <c r="L46" s="537"/>
    </row>
    <row r="47">
      <c r="A47" s="3">
        <f t="shared" si="1"/>
        <v>47</v>
      </c>
      <c r="B47" s="624" t="s">
        <v>1095</v>
      </c>
      <c r="C47" s="3" t="str">
        <f t="shared" si="3"/>
        <v>=&gt;</v>
      </c>
      <c r="D47" s="3" t="s">
        <v>868</v>
      </c>
      <c r="E47" s="537"/>
      <c r="F47" s="537"/>
      <c r="G47" s="537"/>
      <c r="H47" s="537"/>
      <c r="I47" s="537"/>
      <c r="J47" s="537"/>
      <c r="K47" s="537"/>
      <c r="L47" s="537"/>
    </row>
    <row r="48">
      <c r="A48" s="3">
        <f t="shared" si="1"/>
        <v>48</v>
      </c>
      <c r="B48" s="624" t="s">
        <v>1095</v>
      </c>
      <c r="C48" s="3" t="str">
        <f t="shared" si="3"/>
        <v>=&gt;</v>
      </c>
      <c r="D48" s="3" t="s">
        <v>902</v>
      </c>
      <c r="E48" s="537"/>
      <c r="F48" s="537"/>
      <c r="G48" s="537"/>
      <c r="H48" s="537"/>
      <c r="I48" s="537"/>
      <c r="J48" s="537"/>
      <c r="K48" s="537"/>
      <c r="L48" s="537"/>
    </row>
    <row r="49">
      <c r="A49" s="3">
        <f t="shared" si="1"/>
        <v>49</v>
      </c>
      <c r="B49" s="624" t="s">
        <v>1095</v>
      </c>
      <c r="C49" s="3" t="str">
        <f t="shared" si="3"/>
        <v>=&gt;</v>
      </c>
      <c r="D49" s="3" t="s">
        <v>903</v>
      </c>
      <c r="E49" s="537"/>
      <c r="F49" s="537"/>
      <c r="G49" s="537"/>
      <c r="H49" s="537"/>
      <c r="I49" s="537"/>
      <c r="J49" s="537"/>
      <c r="K49" s="537"/>
      <c r="L49" s="537"/>
    </row>
    <row r="50">
      <c r="A50" s="3">
        <f t="shared" si="1"/>
        <v>50</v>
      </c>
      <c r="B50" s="624" t="s">
        <v>1095</v>
      </c>
      <c r="C50" s="3" t="str">
        <f t="shared" si="3"/>
        <v>=&gt;</v>
      </c>
      <c r="D50" s="3" t="s">
        <v>904</v>
      </c>
      <c r="E50" s="537"/>
      <c r="F50" s="537"/>
      <c r="G50" s="537"/>
      <c r="H50" s="537"/>
      <c r="I50" s="537"/>
      <c r="J50" s="537"/>
      <c r="K50" s="537"/>
      <c r="L50" s="537"/>
    </row>
    <row r="51">
      <c r="A51" s="3">
        <f t="shared" si="1"/>
        <v>51</v>
      </c>
      <c r="B51" s="624" t="s">
        <v>1095</v>
      </c>
      <c r="C51" s="3" t="str">
        <f t="shared" si="3"/>
        <v>=&gt;</v>
      </c>
      <c r="D51" s="3" t="s">
        <v>14</v>
      </c>
      <c r="E51" s="537"/>
      <c r="F51" s="537"/>
      <c r="G51" s="537"/>
      <c r="H51" s="537"/>
      <c r="I51" s="537"/>
      <c r="J51" s="537"/>
      <c r="K51" s="537"/>
      <c r="L51" s="537"/>
    </row>
    <row r="52">
      <c r="A52" s="3">
        <f t="shared" si="1"/>
        <v>52</v>
      </c>
      <c r="B52" s="624" t="s">
        <v>1095</v>
      </c>
      <c r="C52" s="3" t="str">
        <f t="shared" si="3"/>
        <v>=&gt;</v>
      </c>
      <c r="D52" s="625" t="s">
        <v>1096</v>
      </c>
      <c r="E52" s="537"/>
      <c r="F52" s="537"/>
      <c r="G52" s="537"/>
      <c r="H52" s="537"/>
      <c r="I52" s="537"/>
      <c r="J52" s="537"/>
      <c r="K52" s="537"/>
      <c r="L52" s="537"/>
    </row>
    <row r="53">
      <c r="A53" s="3">
        <f t="shared" si="1"/>
        <v>53</v>
      </c>
      <c r="B53" s="624" t="s">
        <v>1095</v>
      </c>
      <c r="C53" s="3" t="str">
        <f t="shared" si="3"/>
        <v>=&gt;</v>
      </c>
      <c r="D53" s="626" t="s">
        <v>1097</v>
      </c>
      <c r="E53" s="537"/>
      <c r="F53" s="537"/>
      <c r="G53" s="537"/>
      <c r="H53" s="537"/>
      <c r="I53" s="537"/>
      <c r="J53" s="537"/>
      <c r="K53" s="537"/>
      <c r="L53" s="537"/>
    </row>
    <row r="54">
      <c r="A54" s="3">
        <f t="shared" si="1"/>
        <v>54</v>
      </c>
      <c r="B54" s="624" t="s">
        <v>1095</v>
      </c>
      <c r="C54" s="3" t="str">
        <f t="shared" si="3"/>
        <v>=&gt;</v>
      </c>
      <c r="D54" s="627" t="s">
        <v>1098</v>
      </c>
      <c r="E54" s="537"/>
      <c r="F54" s="537"/>
      <c r="G54" s="537"/>
      <c r="H54" s="537"/>
      <c r="I54" s="537"/>
      <c r="J54" s="537"/>
      <c r="K54" s="537"/>
      <c r="L54" s="537"/>
    </row>
    <row r="55">
      <c r="A55" s="3">
        <f t="shared" si="1"/>
        <v>55</v>
      </c>
      <c r="B55" s="627" t="s">
        <v>1098</v>
      </c>
      <c r="C55" s="3" t="str">
        <f t="shared" si="3"/>
        <v>=&gt;</v>
      </c>
      <c r="D55" s="628" t="s">
        <v>1026</v>
      </c>
      <c r="E55" s="546" t="s">
        <v>1025</v>
      </c>
      <c r="F55" s="537"/>
      <c r="G55" s="537"/>
      <c r="H55" s="537"/>
      <c r="I55" s="537"/>
      <c r="J55" s="537"/>
      <c r="K55" s="537"/>
      <c r="L55" s="537"/>
    </row>
    <row r="56">
      <c r="A56" s="3">
        <f t="shared" si="1"/>
        <v>56</v>
      </c>
      <c r="B56" s="627" t="s">
        <v>1098</v>
      </c>
      <c r="C56" s="3" t="str">
        <f t="shared" si="3"/>
        <v>=&gt;</v>
      </c>
      <c r="D56" s="3" t="s">
        <v>14</v>
      </c>
      <c r="E56" s="546" t="s">
        <v>1025</v>
      </c>
      <c r="F56" s="537"/>
      <c r="G56" s="537"/>
      <c r="H56" s="537"/>
      <c r="I56" s="537"/>
      <c r="J56" s="537"/>
      <c r="K56" s="537"/>
      <c r="L56" s="537"/>
    </row>
    <row r="57">
      <c r="A57" s="3">
        <f t="shared" si="1"/>
        <v>57</v>
      </c>
      <c r="B57" s="628" t="s">
        <v>1026</v>
      </c>
      <c r="C57" s="3" t="str">
        <f t="shared" si="3"/>
        <v>=&gt;</v>
      </c>
      <c r="D57" s="428" t="s">
        <v>911</v>
      </c>
      <c r="E57" s="537"/>
      <c r="F57" s="537"/>
      <c r="G57" s="100"/>
      <c r="H57" s="537"/>
      <c r="I57" s="537"/>
      <c r="J57" s="537"/>
      <c r="K57" s="537"/>
      <c r="L57" s="537"/>
    </row>
    <row r="58">
      <c r="A58" s="3">
        <f t="shared" si="1"/>
        <v>58</v>
      </c>
      <c r="B58" s="628" t="s">
        <v>1026</v>
      </c>
      <c r="C58" s="3" t="str">
        <f t="shared" si="3"/>
        <v>=&gt;</v>
      </c>
      <c r="D58" s="428" t="s">
        <v>915</v>
      </c>
      <c r="E58" s="537"/>
      <c r="F58" s="537"/>
      <c r="G58" s="100"/>
      <c r="H58" s="537"/>
      <c r="I58" s="537"/>
      <c r="J58" s="537"/>
      <c r="K58" s="537"/>
      <c r="L58" s="537"/>
    </row>
    <row r="59">
      <c r="A59" s="3">
        <f t="shared" si="1"/>
        <v>59</v>
      </c>
      <c r="B59" s="628" t="s">
        <v>1026</v>
      </c>
      <c r="C59" s="3" t="str">
        <f t="shared" si="3"/>
        <v>=&gt;</v>
      </c>
      <c r="D59" s="428" t="s">
        <v>918</v>
      </c>
      <c r="E59" s="537"/>
      <c r="F59" s="537"/>
      <c r="G59" s="100"/>
      <c r="H59" s="537"/>
      <c r="I59" s="537"/>
      <c r="J59" s="537"/>
      <c r="K59" s="537"/>
      <c r="L59" s="537"/>
    </row>
    <row r="60">
      <c r="A60" s="3">
        <f t="shared" si="1"/>
        <v>60</v>
      </c>
      <c r="B60" s="628" t="s">
        <v>1026</v>
      </c>
      <c r="C60" s="3" t="str">
        <f t="shared" si="3"/>
        <v>=&gt;</v>
      </c>
      <c r="D60" s="428" t="s">
        <v>919</v>
      </c>
      <c r="E60" s="537"/>
      <c r="F60" s="537"/>
      <c r="G60" s="100"/>
      <c r="H60" s="537"/>
      <c r="I60" s="537"/>
      <c r="J60" s="537"/>
      <c r="K60" s="537"/>
      <c r="L60" s="537"/>
    </row>
    <row r="61">
      <c r="A61" s="3">
        <f t="shared" si="1"/>
        <v>61</v>
      </c>
      <c r="B61" s="628" t="s">
        <v>1026</v>
      </c>
      <c r="C61" s="3" t="str">
        <f t="shared" si="3"/>
        <v>=&gt;</v>
      </c>
      <c r="D61" s="428" t="s">
        <v>867</v>
      </c>
      <c r="E61" s="537"/>
      <c r="F61" s="537"/>
      <c r="G61" s="100"/>
      <c r="H61" s="537"/>
      <c r="I61" s="537"/>
      <c r="J61" s="537"/>
      <c r="K61" s="537"/>
      <c r="L61" s="537"/>
    </row>
    <row r="62">
      <c r="A62" s="3">
        <f t="shared" si="1"/>
        <v>62</v>
      </c>
      <c r="B62" s="628" t="s">
        <v>1026</v>
      </c>
      <c r="C62" s="3" t="str">
        <f t="shared" si="3"/>
        <v>=&gt;</v>
      </c>
      <c r="D62" s="428" t="s">
        <v>908</v>
      </c>
      <c r="E62" s="537"/>
      <c r="F62" s="537"/>
      <c r="G62" s="100"/>
      <c r="H62" s="537"/>
      <c r="I62" s="537"/>
      <c r="J62" s="537"/>
      <c r="K62" s="537"/>
      <c r="L62" s="537"/>
    </row>
    <row r="63">
      <c r="A63" s="3">
        <f t="shared" si="1"/>
        <v>63</v>
      </c>
      <c r="B63" s="628" t="s">
        <v>1026</v>
      </c>
      <c r="C63" s="3" t="str">
        <f t="shared" si="3"/>
        <v>=&gt;</v>
      </c>
      <c r="D63" s="428" t="s">
        <v>133</v>
      </c>
      <c r="E63" s="537"/>
      <c r="F63" s="537"/>
      <c r="G63" s="100"/>
      <c r="H63" s="537"/>
      <c r="I63" s="537"/>
      <c r="J63" s="537"/>
      <c r="K63" s="537"/>
      <c r="L63" s="537"/>
    </row>
    <row r="64">
      <c r="A64" s="3">
        <f t="shared" si="1"/>
        <v>64</v>
      </c>
      <c r="B64" s="628" t="s">
        <v>1026</v>
      </c>
      <c r="C64" s="3" t="str">
        <f t="shared" si="3"/>
        <v>=&gt;</v>
      </c>
      <c r="D64" s="428" t="s">
        <v>906</v>
      </c>
      <c r="E64" s="537"/>
      <c r="F64" s="537"/>
      <c r="G64" s="100"/>
      <c r="H64" s="537"/>
      <c r="I64" s="537"/>
      <c r="J64" s="537"/>
      <c r="K64" s="537"/>
      <c r="L64" s="537"/>
    </row>
    <row r="65">
      <c r="A65" s="3">
        <f t="shared" si="1"/>
        <v>65</v>
      </c>
      <c r="B65" s="628" t="s">
        <v>1026</v>
      </c>
      <c r="C65" s="3" t="str">
        <f t="shared" si="3"/>
        <v>=&gt;</v>
      </c>
      <c r="D65" s="428" t="s">
        <v>914</v>
      </c>
      <c r="E65" s="537"/>
      <c r="F65" s="537"/>
      <c r="G65" s="100"/>
      <c r="H65" s="537"/>
      <c r="I65" s="537"/>
      <c r="J65" s="537"/>
      <c r="K65" s="537"/>
      <c r="L65" s="537"/>
    </row>
    <row r="66">
      <c r="A66" s="3">
        <f t="shared" si="1"/>
        <v>66</v>
      </c>
      <c r="B66" s="628" t="s">
        <v>1026</v>
      </c>
      <c r="C66" s="3" t="str">
        <f t="shared" si="3"/>
        <v>=&gt;</v>
      </c>
      <c r="D66" s="428" t="s">
        <v>913</v>
      </c>
      <c r="E66" s="537"/>
      <c r="F66" s="537"/>
      <c r="G66" s="100"/>
      <c r="H66" s="537"/>
      <c r="I66" s="537"/>
      <c r="J66" s="537"/>
      <c r="K66" s="537"/>
      <c r="L66" s="537"/>
    </row>
    <row r="67">
      <c r="A67" s="3">
        <f t="shared" si="1"/>
        <v>67</v>
      </c>
      <c r="B67" s="628" t="s">
        <v>1026</v>
      </c>
      <c r="C67" s="3" t="str">
        <f t="shared" si="3"/>
        <v>=&gt;</v>
      </c>
      <c r="D67" s="428" t="s">
        <v>866</v>
      </c>
      <c r="E67" s="537"/>
      <c r="F67" s="537"/>
      <c r="G67" s="100"/>
      <c r="H67" s="537"/>
      <c r="I67" s="537"/>
      <c r="J67" s="537"/>
      <c r="K67" s="537"/>
      <c r="L67" s="537"/>
    </row>
    <row r="68">
      <c r="A68" s="3">
        <f t="shared" si="1"/>
        <v>68</v>
      </c>
      <c r="B68" s="628" t="s">
        <v>1026</v>
      </c>
      <c r="C68" s="3" t="str">
        <f t="shared" si="3"/>
        <v>=&gt;</v>
      </c>
      <c r="D68" s="428" t="s">
        <v>864</v>
      </c>
      <c r="E68" s="537"/>
      <c r="F68" s="537"/>
      <c r="G68" s="100"/>
      <c r="H68" s="537"/>
      <c r="I68" s="537"/>
      <c r="J68" s="537"/>
      <c r="K68" s="537"/>
      <c r="L68" s="537"/>
    </row>
    <row r="69">
      <c r="A69" s="3">
        <f t="shared" si="1"/>
        <v>69</v>
      </c>
      <c r="B69" s="628" t="s">
        <v>1026</v>
      </c>
      <c r="C69" s="3" t="str">
        <f t="shared" si="3"/>
        <v>=&gt;</v>
      </c>
      <c r="D69" s="428" t="s">
        <v>912</v>
      </c>
      <c r="E69" s="537"/>
      <c r="F69" s="537"/>
      <c r="G69" s="100"/>
      <c r="H69" s="537"/>
      <c r="I69" s="537"/>
      <c r="J69" s="537"/>
      <c r="K69" s="537"/>
      <c r="L69" s="537"/>
    </row>
    <row r="70">
      <c r="A70" s="3">
        <f t="shared" si="1"/>
        <v>70</v>
      </c>
      <c r="B70" s="628" t="s">
        <v>1026</v>
      </c>
      <c r="C70" s="3" t="str">
        <f t="shared" si="3"/>
        <v>=&gt;</v>
      </c>
      <c r="D70" s="428" t="s">
        <v>134</v>
      </c>
      <c r="E70" s="537"/>
      <c r="F70" s="537"/>
      <c r="G70" s="100"/>
      <c r="H70" s="537"/>
      <c r="I70" s="537"/>
      <c r="J70" s="537"/>
      <c r="K70" s="537"/>
      <c r="L70" s="537"/>
    </row>
    <row r="71">
      <c r="A71" s="3">
        <f t="shared" si="1"/>
        <v>71</v>
      </c>
      <c r="B71" s="628" t="s">
        <v>1026</v>
      </c>
      <c r="C71" s="3" t="str">
        <f t="shared" si="3"/>
        <v>=&gt;</v>
      </c>
      <c r="D71" s="428" t="s">
        <v>917</v>
      </c>
      <c r="E71" s="537"/>
      <c r="F71" s="537"/>
      <c r="G71" s="100"/>
      <c r="H71" s="537"/>
      <c r="I71" s="537"/>
      <c r="J71" s="537"/>
      <c r="K71" s="537"/>
      <c r="L71" s="537"/>
    </row>
    <row r="72">
      <c r="A72" s="3">
        <f t="shared" si="1"/>
        <v>72</v>
      </c>
      <c r="B72" s="628" t="s">
        <v>1026</v>
      </c>
      <c r="C72" s="3" t="str">
        <f t="shared" si="3"/>
        <v>=&gt;</v>
      </c>
      <c r="D72" s="428" t="s">
        <v>921</v>
      </c>
      <c r="E72" s="537"/>
      <c r="F72" s="537"/>
      <c r="G72" s="100"/>
      <c r="H72" s="537"/>
      <c r="I72" s="537"/>
      <c r="J72" s="537"/>
      <c r="K72" s="537"/>
      <c r="L72" s="537"/>
    </row>
    <row r="73">
      <c r="A73" s="3">
        <f t="shared" si="1"/>
        <v>73</v>
      </c>
      <c r="B73" s="628" t="s">
        <v>1026</v>
      </c>
      <c r="C73" s="3" t="str">
        <f t="shared" si="3"/>
        <v>=&gt;</v>
      </c>
      <c r="D73" s="428" t="s">
        <v>862</v>
      </c>
      <c r="E73" s="537"/>
      <c r="F73" s="537"/>
      <c r="G73" s="100"/>
      <c r="H73" s="537"/>
      <c r="I73" s="537"/>
      <c r="J73" s="537"/>
      <c r="K73" s="537"/>
      <c r="L73" s="537"/>
    </row>
    <row r="74">
      <c r="A74" s="3">
        <f t="shared" si="1"/>
        <v>74</v>
      </c>
      <c r="B74" s="628" t="s">
        <v>1026</v>
      </c>
      <c r="C74" s="3" t="str">
        <f t="shared" si="3"/>
        <v>=&gt;</v>
      </c>
      <c r="D74" s="428" t="s">
        <v>907</v>
      </c>
      <c r="E74" s="537"/>
      <c r="F74" s="537"/>
      <c r="G74" s="100"/>
      <c r="H74" s="537"/>
      <c r="I74" s="537"/>
      <c r="J74" s="537"/>
      <c r="K74" s="537"/>
      <c r="L74" s="537"/>
    </row>
    <row r="75">
      <c r="A75" s="3">
        <f t="shared" si="1"/>
        <v>75</v>
      </c>
      <c r="B75" s="546" t="s">
        <v>1025</v>
      </c>
      <c r="C75" s="3" t="str">
        <f t="shared" si="3"/>
        <v>=&gt;</v>
      </c>
      <c r="D75" s="3" t="s">
        <v>62</v>
      </c>
      <c r="E75" s="394" t="s">
        <v>895</v>
      </c>
      <c r="F75" s="3" t="s">
        <v>64</v>
      </c>
      <c r="G75" s="100"/>
      <c r="H75" s="537"/>
      <c r="I75" s="537"/>
      <c r="J75" s="537"/>
      <c r="K75" s="537"/>
      <c r="L75" s="537"/>
    </row>
    <row r="76">
      <c r="A76" s="3">
        <f t="shared" si="1"/>
        <v>76</v>
      </c>
      <c r="B76" s="394" t="s">
        <v>895</v>
      </c>
      <c r="C76" s="3" t="str">
        <f t="shared" si="3"/>
        <v>=&gt;</v>
      </c>
      <c r="D76" s="395" t="s">
        <v>28</v>
      </c>
      <c r="E76" s="396" t="s">
        <v>896</v>
      </c>
      <c r="F76" s="537"/>
      <c r="G76" s="100"/>
      <c r="H76" s="537"/>
      <c r="I76" s="537"/>
      <c r="J76" s="537"/>
      <c r="K76" s="537"/>
      <c r="L76" s="537"/>
    </row>
    <row r="77">
      <c r="A77" s="3">
        <f t="shared" si="1"/>
        <v>77</v>
      </c>
      <c r="B77" s="394" t="s">
        <v>895</v>
      </c>
      <c r="C77" s="3" t="str">
        <f t="shared" si="3"/>
        <v>=&gt;</v>
      </c>
      <c r="D77" s="3" t="s">
        <v>8</v>
      </c>
      <c r="E77" s="537"/>
      <c r="F77" s="100"/>
      <c r="G77" s="537"/>
      <c r="H77" s="537"/>
      <c r="I77" s="537"/>
      <c r="J77" s="537"/>
      <c r="K77" s="537"/>
      <c r="L77" s="537"/>
    </row>
    <row r="78">
      <c r="A78" s="3">
        <f t="shared" si="1"/>
        <v>78</v>
      </c>
      <c r="B78" s="395" t="s">
        <v>28</v>
      </c>
      <c r="C78" s="3" t="str">
        <f t="shared" si="3"/>
        <v>=&gt;</v>
      </c>
      <c r="D78" s="603" t="s">
        <v>1085</v>
      </c>
      <c r="E78" s="537"/>
      <c r="F78" s="100"/>
      <c r="G78" s="537"/>
      <c r="H78" s="537"/>
      <c r="I78" s="537"/>
      <c r="J78" s="537"/>
      <c r="K78" s="537"/>
      <c r="L78" s="537"/>
    </row>
    <row r="79">
      <c r="A79" s="3">
        <f t="shared" si="1"/>
        <v>79</v>
      </c>
      <c r="B79" s="395" t="s">
        <v>28</v>
      </c>
      <c r="C79" s="3" t="str">
        <f t="shared" si="3"/>
        <v>=&gt;</v>
      </c>
      <c r="D79" s="629" t="s">
        <v>1099</v>
      </c>
      <c r="E79" s="537"/>
      <c r="F79" s="100"/>
      <c r="G79" s="537"/>
      <c r="H79" s="537"/>
      <c r="I79" s="537"/>
      <c r="J79" s="537"/>
      <c r="K79" s="537"/>
      <c r="L79" s="537"/>
    </row>
    <row r="80">
      <c r="A80" s="3">
        <f t="shared" si="1"/>
        <v>80</v>
      </c>
      <c r="B80" s="395" t="s">
        <v>28</v>
      </c>
      <c r="C80" s="3" t="str">
        <f t="shared" si="3"/>
        <v>=&gt;</v>
      </c>
      <c r="D80" s="630" t="s">
        <v>1100</v>
      </c>
      <c r="E80" s="537"/>
      <c r="F80" s="100"/>
      <c r="G80" s="537"/>
      <c r="H80" s="537"/>
      <c r="I80" s="537"/>
      <c r="J80" s="537"/>
      <c r="K80" s="537"/>
      <c r="L80" s="537"/>
    </row>
    <row r="81">
      <c r="A81" s="3">
        <f t="shared" si="1"/>
        <v>81</v>
      </c>
      <c r="B81" s="396" t="s">
        <v>896</v>
      </c>
      <c r="C81" s="3" t="str">
        <f t="shared" si="3"/>
        <v>=&gt;</v>
      </c>
      <c r="D81" s="3" t="s">
        <v>38</v>
      </c>
      <c r="E81" s="395" t="s">
        <v>28</v>
      </c>
      <c r="F81" s="396" t="s">
        <v>896</v>
      </c>
      <c r="G81" s="537"/>
      <c r="H81" s="537"/>
      <c r="I81" s="537"/>
      <c r="J81" s="537"/>
      <c r="K81" s="537"/>
      <c r="L81" s="537"/>
    </row>
    <row r="82">
      <c r="A82" s="3">
        <f t="shared" si="1"/>
        <v>82</v>
      </c>
      <c r="B82" s="396" t="s">
        <v>896</v>
      </c>
      <c r="C82" s="3" t="str">
        <f t="shared" si="3"/>
        <v>=&gt;</v>
      </c>
      <c r="D82" s="3" t="s">
        <v>8</v>
      </c>
      <c r="E82" s="537"/>
      <c r="F82" s="537"/>
      <c r="G82" s="537"/>
      <c r="H82" s="537"/>
      <c r="I82" s="537"/>
      <c r="J82" s="537"/>
      <c r="K82" s="537"/>
      <c r="L82" s="537"/>
    </row>
    <row r="83">
      <c r="A83" s="3">
        <f t="shared" si="1"/>
        <v>83</v>
      </c>
      <c r="B83" s="597" t="s">
        <v>1079</v>
      </c>
      <c r="C83" s="3" t="str">
        <f t="shared" si="3"/>
        <v>=&gt;</v>
      </c>
      <c r="D83" s="599" t="s">
        <v>1081</v>
      </c>
      <c r="E83" s="462" t="s">
        <v>962</v>
      </c>
      <c r="F83" s="8" t="s">
        <v>850</v>
      </c>
      <c r="G83" s="463" t="s">
        <v>963</v>
      </c>
      <c r="H83" s="3" t="s">
        <v>6</v>
      </c>
      <c r="I83" s="537"/>
      <c r="J83" s="537"/>
      <c r="K83" s="537"/>
      <c r="L83" s="537"/>
    </row>
    <row r="84">
      <c r="A84" s="3">
        <f t="shared" si="1"/>
        <v>84</v>
      </c>
      <c r="B84" s="597" t="s">
        <v>1079</v>
      </c>
      <c r="C84" s="3" t="str">
        <f t="shared" si="3"/>
        <v>=&gt;</v>
      </c>
      <c r="D84" s="3" t="s">
        <v>14</v>
      </c>
      <c r="E84" s="462" t="s">
        <v>962</v>
      </c>
      <c r="F84" s="8" t="s">
        <v>850</v>
      </c>
      <c r="G84" s="463" t="s">
        <v>963</v>
      </c>
      <c r="H84" s="3" t="s">
        <v>6</v>
      </c>
      <c r="I84" s="537"/>
      <c r="J84" s="537"/>
      <c r="K84" s="537"/>
      <c r="L84" s="537"/>
    </row>
    <row r="85">
      <c r="A85" s="3">
        <f t="shared" si="1"/>
        <v>85</v>
      </c>
      <c r="B85" s="462" t="s">
        <v>962</v>
      </c>
      <c r="C85" s="3" t="str">
        <f t="shared" si="3"/>
        <v>=&gt;</v>
      </c>
      <c r="D85" s="3" t="s">
        <v>30</v>
      </c>
      <c r="E85" s="3" t="s">
        <v>32</v>
      </c>
      <c r="F85" s="464" t="s">
        <v>964</v>
      </c>
      <c r="G85" s="537"/>
      <c r="H85" s="537"/>
      <c r="I85" s="537"/>
      <c r="J85" s="537"/>
      <c r="K85" s="537"/>
      <c r="L85" s="537"/>
    </row>
    <row r="86">
      <c r="A86" s="3">
        <f t="shared" si="1"/>
        <v>86</v>
      </c>
      <c r="B86" s="463" t="s">
        <v>963</v>
      </c>
      <c r="C86" s="3" t="str">
        <f t="shared" si="3"/>
        <v>=&gt;</v>
      </c>
      <c r="D86" s="3" t="s">
        <v>14</v>
      </c>
      <c r="E86" s="631" t="s">
        <v>1101</v>
      </c>
      <c r="F86" s="466" t="s">
        <v>966</v>
      </c>
      <c r="G86" s="537"/>
      <c r="H86" s="537"/>
      <c r="I86" s="537"/>
      <c r="J86" s="537"/>
      <c r="K86" s="537"/>
      <c r="L86" s="537"/>
    </row>
    <row r="87">
      <c r="A87" s="3">
        <f t="shared" si="1"/>
        <v>87</v>
      </c>
      <c r="B87" s="631" t="s">
        <v>1101</v>
      </c>
      <c r="C87" s="3" t="str">
        <f t="shared" si="3"/>
        <v>=&gt;</v>
      </c>
      <c r="D87" s="3" t="str">
        <f>"="</f>
        <v>=</v>
      </c>
      <c r="E87" s="632" t="s">
        <v>1102</v>
      </c>
      <c r="F87" s="537"/>
      <c r="G87" s="537"/>
      <c r="H87" s="537"/>
      <c r="I87" s="537"/>
      <c r="J87" s="537"/>
      <c r="K87" s="537"/>
      <c r="L87" s="537"/>
    </row>
    <row r="88">
      <c r="A88" s="3">
        <f t="shared" si="1"/>
        <v>88</v>
      </c>
      <c r="B88" s="631" t="s">
        <v>1101</v>
      </c>
      <c r="C88" s="3" t="str">
        <f t="shared" si="3"/>
        <v>=&gt;</v>
      </c>
      <c r="D88" s="3" t="s">
        <v>8</v>
      </c>
      <c r="E88" s="537"/>
      <c r="F88" s="537"/>
      <c r="G88" s="537"/>
      <c r="H88" s="537"/>
      <c r="I88" s="537"/>
      <c r="J88" s="537"/>
      <c r="K88" s="537"/>
      <c r="L88" s="537"/>
    </row>
    <row r="89">
      <c r="A89" s="3">
        <f t="shared" si="1"/>
        <v>89</v>
      </c>
      <c r="B89" s="466" t="s">
        <v>966</v>
      </c>
      <c r="C89" s="3" t="str">
        <f t="shared" si="3"/>
        <v>=&gt;</v>
      </c>
      <c r="D89" s="3" t="s">
        <v>38</v>
      </c>
      <c r="E89" s="463" t="s">
        <v>963</v>
      </c>
      <c r="F89" s="537"/>
      <c r="G89" s="537"/>
      <c r="H89" s="537"/>
      <c r="I89" s="537"/>
      <c r="J89" s="537"/>
      <c r="K89" s="537"/>
      <c r="L89" s="537"/>
    </row>
    <row r="90">
      <c r="A90" s="3">
        <f t="shared" si="1"/>
        <v>90</v>
      </c>
      <c r="B90" s="466" t="s">
        <v>966</v>
      </c>
      <c r="C90" s="3" t="str">
        <f t="shared" si="3"/>
        <v>=&gt;</v>
      </c>
      <c r="D90" s="3" t="s">
        <v>8</v>
      </c>
      <c r="E90" s="537"/>
      <c r="F90" s="537"/>
      <c r="G90" s="537"/>
      <c r="H90" s="537"/>
      <c r="I90" s="537"/>
      <c r="J90" s="537"/>
      <c r="K90" s="537"/>
      <c r="L90" s="537"/>
    </row>
    <row r="91">
      <c r="A91" s="3">
        <f t="shared" si="1"/>
        <v>91</v>
      </c>
      <c r="B91" s="464" t="s">
        <v>964</v>
      </c>
      <c r="C91" s="3" t="str">
        <f t="shared" si="3"/>
        <v>=&gt;</v>
      </c>
      <c r="D91" s="462" t="s">
        <v>962</v>
      </c>
      <c r="E91" s="537"/>
      <c r="F91" s="537"/>
      <c r="G91" s="537"/>
      <c r="H91" s="537"/>
      <c r="I91" s="537"/>
      <c r="J91" s="537"/>
      <c r="K91" s="537"/>
      <c r="L91" s="537"/>
    </row>
    <row r="92">
      <c r="A92" s="3">
        <f t="shared" si="1"/>
        <v>92</v>
      </c>
      <c r="B92" s="464" t="s">
        <v>964</v>
      </c>
      <c r="C92" s="3" t="str">
        <f t="shared" si="3"/>
        <v>=&gt;</v>
      </c>
      <c r="D92" s="3" t="s">
        <v>8</v>
      </c>
      <c r="E92" s="537"/>
      <c r="F92" s="537"/>
      <c r="G92" s="537"/>
      <c r="H92" s="100"/>
      <c r="I92" s="537"/>
      <c r="J92" s="537"/>
      <c r="K92" s="537"/>
      <c r="L92" s="537"/>
    </row>
    <row r="93">
      <c r="A93" s="3">
        <f t="shared" si="1"/>
        <v>93</v>
      </c>
      <c r="B93" s="632" t="s">
        <v>1102</v>
      </c>
      <c r="C93" s="3" t="str">
        <f t="shared" si="3"/>
        <v>=&gt;</v>
      </c>
      <c r="D93" s="629" t="s">
        <v>1099</v>
      </c>
      <c r="E93" s="537"/>
      <c r="F93" s="537"/>
      <c r="G93" s="537"/>
      <c r="H93" s="537"/>
      <c r="I93" s="537"/>
      <c r="J93" s="537"/>
      <c r="K93" s="537"/>
      <c r="L93" s="537"/>
    </row>
    <row r="94">
      <c r="A94" s="3">
        <f t="shared" si="1"/>
        <v>94</v>
      </c>
      <c r="B94" s="632" t="s">
        <v>1102</v>
      </c>
      <c r="C94" s="3" t="str">
        <f t="shared" si="3"/>
        <v>=&gt;</v>
      </c>
      <c r="D94" s="3" t="s">
        <v>14</v>
      </c>
      <c r="E94" s="393" t="s">
        <v>894</v>
      </c>
      <c r="F94" s="537"/>
      <c r="G94" s="537"/>
      <c r="H94" s="537"/>
      <c r="I94" s="537"/>
      <c r="J94" s="537"/>
      <c r="K94" s="537"/>
      <c r="L94" s="537"/>
    </row>
    <row r="95">
      <c r="A95" s="3">
        <f t="shared" si="1"/>
        <v>95</v>
      </c>
      <c r="B95" s="632" t="s">
        <v>1102</v>
      </c>
      <c r="C95" s="3" t="str">
        <f t="shared" si="3"/>
        <v>=&gt;</v>
      </c>
      <c r="D95" s="627" t="s">
        <v>1098</v>
      </c>
      <c r="E95" s="537"/>
      <c r="F95" s="537"/>
      <c r="G95" s="537"/>
      <c r="H95" s="537"/>
      <c r="I95" s="537"/>
      <c r="J95" s="537"/>
      <c r="K95" s="537"/>
      <c r="L95" s="537"/>
    </row>
    <row r="96">
      <c r="A96" s="3">
        <f t="shared" si="1"/>
        <v>96</v>
      </c>
      <c r="B96" s="629" t="s">
        <v>1099</v>
      </c>
      <c r="C96" s="3" t="str">
        <f t="shared" si="3"/>
        <v>=&gt;</v>
      </c>
      <c r="D96" s="3" t="s">
        <v>30</v>
      </c>
      <c r="E96" s="633" t="s">
        <v>1103</v>
      </c>
      <c r="F96" s="3" t="s">
        <v>32</v>
      </c>
      <c r="G96" s="100"/>
      <c r="H96" s="537"/>
      <c r="I96" s="537"/>
      <c r="J96" s="537"/>
      <c r="K96" s="537"/>
      <c r="L96" s="537"/>
    </row>
    <row r="97">
      <c r="A97" s="3">
        <f t="shared" si="1"/>
        <v>97</v>
      </c>
      <c r="B97" s="393" t="s">
        <v>894</v>
      </c>
      <c r="C97" s="3" t="str">
        <f t="shared" si="3"/>
        <v>=&gt;</v>
      </c>
      <c r="D97" s="423" t="s">
        <v>892</v>
      </c>
      <c r="E97" s="537"/>
      <c r="F97" s="100"/>
      <c r="G97" s="100"/>
      <c r="H97" s="537"/>
      <c r="I97" s="537"/>
      <c r="J97" s="537"/>
      <c r="K97" s="537"/>
      <c r="L97" s="537"/>
    </row>
    <row r="98">
      <c r="A98" s="3">
        <f t="shared" si="1"/>
        <v>98</v>
      </c>
      <c r="B98" s="393" t="s">
        <v>894</v>
      </c>
      <c r="C98" s="3" t="str">
        <f t="shared" si="3"/>
        <v>=&gt;</v>
      </c>
      <c r="D98" s="3" t="s">
        <v>180</v>
      </c>
      <c r="E98" s="3" t="s">
        <v>14</v>
      </c>
      <c r="F98" s="537"/>
      <c r="G98" s="100"/>
      <c r="H98" s="537"/>
      <c r="I98" s="537"/>
      <c r="J98" s="537"/>
      <c r="K98" s="537"/>
      <c r="L98" s="537"/>
    </row>
    <row r="99">
      <c r="A99" s="3">
        <f t="shared" si="1"/>
        <v>99</v>
      </c>
      <c r="B99" s="393" t="s">
        <v>894</v>
      </c>
      <c r="C99" s="3" t="str">
        <f t="shared" si="3"/>
        <v>=&gt;</v>
      </c>
      <c r="D99" s="3" t="s">
        <v>8</v>
      </c>
      <c r="E99" s="537"/>
      <c r="F99" s="537"/>
      <c r="G99" s="100"/>
      <c r="H99" s="537"/>
      <c r="I99" s="537"/>
      <c r="J99" s="537"/>
      <c r="K99" s="537"/>
      <c r="L99" s="537"/>
    </row>
    <row r="100">
      <c r="A100" s="3">
        <f t="shared" si="1"/>
        <v>100</v>
      </c>
      <c r="B100" s="633" t="s">
        <v>1103</v>
      </c>
      <c r="C100" s="3" t="str">
        <f t="shared" si="3"/>
        <v>=&gt;</v>
      </c>
      <c r="D100" s="395" t="s">
        <v>28</v>
      </c>
      <c r="E100" s="403" t="s">
        <v>901</v>
      </c>
      <c r="F100" s="537"/>
      <c r="G100" s="537"/>
      <c r="H100" s="537"/>
      <c r="I100" s="537"/>
      <c r="J100" s="537"/>
      <c r="K100" s="537"/>
      <c r="L100" s="537"/>
    </row>
    <row r="101">
      <c r="A101" s="3">
        <f t="shared" si="1"/>
        <v>101</v>
      </c>
      <c r="B101" s="633" t="s">
        <v>1103</v>
      </c>
      <c r="C101" s="3" t="str">
        <f t="shared" si="3"/>
        <v>=&gt;</v>
      </c>
      <c r="D101" s="3" t="s">
        <v>8</v>
      </c>
      <c r="E101" s="537"/>
      <c r="F101" s="537"/>
      <c r="G101" s="537"/>
      <c r="H101" s="537"/>
      <c r="I101" s="537"/>
      <c r="J101" s="537"/>
      <c r="K101" s="537"/>
      <c r="L101" s="537"/>
    </row>
    <row r="102">
      <c r="A102" s="3">
        <f t="shared" si="1"/>
        <v>102</v>
      </c>
      <c r="B102" s="403" t="s">
        <v>901</v>
      </c>
      <c r="C102" s="3" t="str">
        <f t="shared" si="3"/>
        <v>=&gt;</v>
      </c>
      <c r="D102" s="3" t="s">
        <v>38</v>
      </c>
      <c r="E102" s="395" t="s">
        <v>28</v>
      </c>
      <c r="F102" s="403" t="s">
        <v>901</v>
      </c>
      <c r="G102" s="537"/>
      <c r="H102" s="537"/>
      <c r="I102" s="537"/>
      <c r="J102" s="537"/>
      <c r="K102" s="537"/>
      <c r="L102" s="537"/>
    </row>
    <row r="103">
      <c r="A103" s="3">
        <f t="shared" si="1"/>
        <v>103</v>
      </c>
      <c r="B103" s="403" t="s">
        <v>901</v>
      </c>
      <c r="C103" s="3" t="str">
        <f t="shared" si="3"/>
        <v>=&gt;</v>
      </c>
      <c r="D103" s="3" t="s">
        <v>8</v>
      </c>
      <c r="E103" s="537"/>
      <c r="F103" s="537"/>
      <c r="G103" s="537"/>
      <c r="H103" s="537"/>
      <c r="I103" s="537"/>
      <c r="J103" s="537"/>
      <c r="K103" s="537"/>
      <c r="L103" s="537"/>
    </row>
    <row r="104">
      <c r="A104" s="3">
        <f t="shared" si="1"/>
        <v>104</v>
      </c>
      <c r="B104" s="626" t="s">
        <v>1097</v>
      </c>
      <c r="C104" s="3" t="str">
        <f t="shared" si="3"/>
        <v>=&gt;</v>
      </c>
      <c r="D104" s="632" t="s">
        <v>1102</v>
      </c>
      <c r="E104" s="423" t="s">
        <v>892</v>
      </c>
      <c r="F104" s="537"/>
      <c r="G104" s="537"/>
      <c r="H104" s="537"/>
      <c r="I104" s="537"/>
      <c r="J104" s="537"/>
      <c r="K104" s="537"/>
      <c r="L104" s="537"/>
    </row>
    <row r="105">
      <c r="A105" s="3">
        <f t="shared" si="1"/>
        <v>105</v>
      </c>
      <c r="B105" s="423" t="s">
        <v>892</v>
      </c>
      <c r="C105" s="3" t="str">
        <f t="shared" si="3"/>
        <v>=&gt;</v>
      </c>
      <c r="D105" s="3" t="s">
        <v>30</v>
      </c>
      <c r="E105" s="603" t="s">
        <v>1085</v>
      </c>
      <c r="F105" s="3" t="s">
        <v>32</v>
      </c>
      <c r="G105" s="634" t="s">
        <v>1104</v>
      </c>
      <c r="H105" s="537"/>
      <c r="I105" s="537"/>
      <c r="J105" s="537"/>
      <c r="K105" s="537"/>
      <c r="L105" s="537"/>
    </row>
    <row r="106">
      <c r="A106" s="3">
        <f t="shared" si="1"/>
        <v>106</v>
      </c>
      <c r="B106" s="634" t="s">
        <v>1104</v>
      </c>
      <c r="C106" s="3" t="str">
        <f t="shared" si="3"/>
        <v>=&gt;</v>
      </c>
      <c r="D106" s="423" t="s">
        <v>892</v>
      </c>
      <c r="E106" s="537"/>
      <c r="F106" s="537"/>
      <c r="G106" s="537"/>
      <c r="H106" s="537"/>
      <c r="I106" s="537"/>
      <c r="J106" s="537"/>
      <c r="K106" s="537"/>
      <c r="L106" s="537"/>
    </row>
    <row r="107">
      <c r="A107" s="3">
        <f t="shared" si="1"/>
        <v>107</v>
      </c>
      <c r="B107" s="634" t="s">
        <v>1104</v>
      </c>
      <c r="C107" s="3" t="str">
        <f t="shared" si="3"/>
        <v>=&gt;</v>
      </c>
      <c r="D107" s="7" t="s">
        <v>8</v>
      </c>
      <c r="E107" s="537"/>
      <c r="F107" s="537"/>
      <c r="G107" s="537"/>
      <c r="H107" s="537"/>
      <c r="I107" s="537"/>
      <c r="J107" s="537"/>
      <c r="K107" s="537"/>
      <c r="L107" s="537"/>
    </row>
    <row r="108">
      <c r="A108" s="3">
        <f t="shared" si="1"/>
        <v>108</v>
      </c>
      <c r="B108" s="348" t="s">
        <v>848</v>
      </c>
      <c r="C108" s="3" t="str">
        <f t="shared" si="3"/>
        <v>=&gt;</v>
      </c>
      <c r="D108" s="7" t="s">
        <v>999</v>
      </c>
      <c r="E108" s="3" t="s">
        <v>850</v>
      </c>
      <c r="F108" s="3" t="s">
        <v>14</v>
      </c>
      <c r="G108" s="3" t="str">
        <f>"="</f>
        <v>=</v>
      </c>
      <c r="H108" s="3" t="s">
        <v>30</v>
      </c>
      <c r="I108" s="509" t="s">
        <v>1000</v>
      </c>
      <c r="J108" s="3" t="s">
        <v>32</v>
      </c>
      <c r="K108" s="3" t="s">
        <v>6</v>
      </c>
      <c r="L108" s="537"/>
    </row>
    <row r="109">
      <c r="A109" s="3">
        <f t="shared" si="1"/>
        <v>109</v>
      </c>
      <c r="B109" s="509" t="s">
        <v>1000</v>
      </c>
      <c r="C109" s="3" t="str">
        <f t="shared" si="3"/>
        <v>=&gt;</v>
      </c>
      <c r="D109" s="599" t="s">
        <v>1081</v>
      </c>
      <c r="E109" s="464" t="s">
        <v>964</v>
      </c>
      <c r="F109" s="3" t="s">
        <v>850</v>
      </c>
      <c r="G109" s="3" t="s">
        <v>14</v>
      </c>
      <c r="H109" s="3" t="s">
        <v>6</v>
      </c>
      <c r="I109" s="511" t="s">
        <v>1002</v>
      </c>
      <c r="J109" s="537"/>
      <c r="K109" s="537"/>
      <c r="L109" s="537"/>
    </row>
    <row r="110">
      <c r="A110" s="3">
        <f t="shared" si="1"/>
        <v>110</v>
      </c>
      <c r="B110" s="509" t="s">
        <v>1000</v>
      </c>
      <c r="C110" s="3" t="str">
        <f t="shared" si="3"/>
        <v>=&gt;</v>
      </c>
      <c r="D110" s="3" t="s">
        <v>14</v>
      </c>
      <c r="E110" s="464" t="s">
        <v>964</v>
      </c>
      <c r="F110" s="3" t="s">
        <v>850</v>
      </c>
      <c r="G110" s="3" t="s">
        <v>14</v>
      </c>
      <c r="H110" s="3" t="s">
        <v>6</v>
      </c>
      <c r="I110" s="511" t="s">
        <v>1002</v>
      </c>
      <c r="J110" s="537"/>
      <c r="K110" s="537"/>
      <c r="L110" s="537"/>
    </row>
    <row r="111">
      <c r="A111" s="3">
        <f t="shared" si="1"/>
        <v>111</v>
      </c>
      <c r="B111" s="511" t="s">
        <v>1002</v>
      </c>
      <c r="C111" s="537"/>
      <c r="D111" s="509" t="s">
        <v>1000</v>
      </c>
      <c r="E111" s="537"/>
      <c r="F111" s="537"/>
      <c r="G111" s="537"/>
      <c r="H111" s="537"/>
      <c r="I111" s="537"/>
      <c r="J111" s="537"/>
      <c r="K111" s="537"/>
      <c r="L111" s="537"/>
    </row>
    <row r="112">
      <c r="A112" s="3">
        <f t="shared" si="1"/>
        <v>112</v>
      </c>
      <c r="B112" s="511" t="s">
        <v>1002</v>
      </c>
      <c r="C112" s="537"/>
      <c r="D112" s="3" t="s">
        <v>8</v>
      </c>
      <c r="E112" s="537"/>
      <c r="F112" s="537"/>
      <c r="G112" s="537"/>
      <c r="H112" s="537"/>
      <c r="I112" s="537"/>
      <c r="J112" s="537"/>
      <c r="K112" s="537"/>
      <c r="L112" s="537"/>
    </row>
    <row r="113">
      <c r="A113" s="3">
        <f t="shared" si="1"/>
        <v>113</v>
      </c>
      <c r="B113" s="598" t="s">
        <v>1080</v>
      </c>
      <c r="C113" s="3" t="str">
        <f t="shared" ref="C113:C124" si="4">"=&gt;"</f>
        <v>=&gt;</v>
      </c>
      <c r="D113" s="3" t="s">
        <v>14</v>
      </c>
      <c r="E113" s="3" t="s">
        <v>850</v>
      </c>
      <c r="F113" s="513" t="s">
        <v>1004</v>
      </c>
      <c r="G113" s="3" t="s">
        <v>6</v>
      </c>
      <c r="H113" s="537"/>
      <c r="I113" s="537"/>
      <c r="J113" s="537"/>
      <c r="K113" s="537"/>
      <c r="L113" s="537"/>
    </row>
    <row r="114">
      <c r="A114" s="3">
        <f t="shared" si="1"/>
        <v>114</v>
      </c>
      <c r="B114" s="513" t="s">
        <v>1004</v>
      </c>
      <c r="C114" s="3" t="str">
        <f t="shared" si="4"/>
        <v>=&gt;</v>
      </c>
      <c r="D114" s="3" t="s">
        <v>14</v>
      </c>
      <c r="E114" s="635" t="s">
        <v>1105</v>
      </c>
      <c r="F114" s="516" t="s">
        <v>1006</v>
      </c>
      <c r="G114" s="537"/>
      <c r="H114" s="537"/>
      <c r="I114" s="537"/>
      <c r="J114" s="537"/>
      <c r="K114" s="537"/>
      <c r="L114" s="537"/>
    </row>
    <row r="115">
      <c r="A115" s="3">
        <f t="shared" si="1"/>
        <v>115</v>
      </c>
      <c r="B115" s="635" t="s">
        <v>1105</v>
      </c>
      <c r="C115" s="3" t="str">
        <f t="shared" si="4"/>
        <v>=&gt;</v>
      </c>
      <c r="D115" s="3" t="str">
        <f>"="</f>
        <v>=</v>
      </c>
      <c r="E115" s="636" t="s">
        <v>1106</v>
      </c>
      <c r="F115" s="537"/>
      <c r="G115" s="537"/>
      <c r="H115" s="537"/>
      <c r="I115" s="537"/>
      <c r="J115" s="537"/>
      <c r="K115" s="537"/>
      <c r="L115" s="537"/>
    </row>
    <row r="116">
      <c r="A116" s="3">
        <f t="shared" si="1"/>
        <v>116</v>
      </c>
      <c r="B116" s="635" t="s">
        <v>1105</v>
      </c>
      <c r="C116" s="3" t="str">
        <f t="shared" si="4"/>
        <v>=&gt;</v>
      </c>
      <c r="D116" s="3" t="s">
        <v>8</v>
      </c>
      <c r="E116" s="537"/>
      <c r="F116" s="537"/>
      <c r="G116" s="537"/>
      <c r="H116" s="537"/>
      <c r="I116" s="537"/>
      <c r="J116" s="537"/>
      <c r="K116" s="537"/>
      <c r="L116" s="537"/>
    </row>
    <row r="117">
      <c r="A117" s="3">
        <f t="shared" si="1"/>
        <v>117</v>
      </c>
      <c r="B117" s="516" t="s">
        <v>1006</v>
      </c>
      <c r="C117" s="3" t="str">
        <f t="shared" si="4"/>
        <v>=&gt;</v>
      </c>
      <c r="D117" s="3" t="s">
        <v>38</v>
      </c>
      <c r="E117" s="513" t="s">
        <v>1004</v>
      </c>
      <c r="F117" s="537"/>
      <c r="G117" s="537"/>
      <c r="H117" s="537"/>
      <c r="I117" s="537"/>
      <c r="J117" s="537"/>
      <c r="K117" s="537"/>
      <c r="L117" s="537"/>
    </row>
    <row r="118">
      <c r="A118" s="3">
        <f t="shared" si="1"/>
        <v>118</v>
      </c>
      <c r="B118" s="516" t="s">
        <v>1006</v>
      </c>
      <c r="C118" s="3" t="str">
        <f t="shared" si="4"/>
        <v>=&gt;</v>
      </c>
      <c r="D118" s="3" t="s">
        <v>8</v>
      </c>
      <c r="E118" s="537"/>
      <c r="F118" s="537"/>
      <c r="G118" s="537"/>
      <c r="H118" s="537"/>
      <c r="I118" s="537"/>
      <c r="J118" s="537"/>
      <c r="K118" s="537"/>
      <c r="L118" s="537"/>
    </row>
    <row r="119">
      <c r="A119" s="3">
        <f t="shared" si="1"/>
        <v>119</v>
      </c>
      <c r="B119" s="636" t="s">
        <v>1106</v>
      </c>
      <c r="C119" s="3" t="str">
        <f t="shared" si="4"/>
        <v>=&gt;</v>
      </c>
      <c r="D119" s="630" t="s">
        <v>1100</v>
      </c>
      <c r="E119" s="100"/>
      <c r="F119" s="537"/>
      <c r="G119" s="537"/>
      <c r="H119" s="537"/>
      <c r="I119" s="537"/>
      <c r="J119" s="537"/>
      <c r="K119" s="537"/>
      <c r="L119" s="537"/>
    </row>
    <row r="120">
      <c r="A120" s="3">
        <f t="shared" si="1"/>
        <v>120</v>
      </c>
      <c r="B120" s="636" t="s">
        <v>1106</v>
      </c>
      <c r="C120" s="3" t="str">
        <f t="shared" si="4"/>
        <v>=&gt;</v>
      </c>
      <c r="D120" s="3" t="s">
        <v>14</v>
      </c>
      <c r="E120" s="393" t="s">
        <v>894</v>
      </c>
      <c r="F120" s="537"/>
      <c r="G120" s="537"/>
      <c r="H120" s="537"/>
      <c r="I120" s="537"/>
      <c r="J120" s="537"/>
      <c r="K120" s="537"/>
      <c r="L120" s="537"/>
    </row>
    <row r="121">
      <c r="A121" s="3">
        <f t="shared" si="1"/>
        <v>121</v>
      </c>
      <c r="B121" s="636" t="s">
        <v>1106</v>
      </c>
      <c r="C121" s="3" t="str">
        <f t="shared" si="4"/>
        <v>=&gt;</v>
      </c>
      <c r="D121" s="627" t="s">
        <v>1098</v>
      </c>
      <c r="E121" s="537"/>
      <c r="F121" s="537"/>
      <c r="G121" s="537"/>
      <c r="H121" s="537"/>
      <c r="I121" s="537"/>
      <c r="J121" s="537"/>
      <c r="K121" s="537"/>
      <c r="L121" s="537"/>
    </row>
    <row r="122">
      <c r="A122" s="3">
        <f t="shared" si="1"/>
        <v>122</v>
      </c>
      <c r="B122" s="630" t="s">
        <v>1100</v>
      </c>
      <c r="C122" s="3" t="str">
        <f t="shared" si="4"/>
        <v>=&gt;</v>
      </c>
      <c r="D122" s="3" t="s">
        <v>30</v>
      </c>
      <c r="E122" s="422" t="s">
        <v>929</v>
      </c>
      <c r="F122" s="3" t="s">
        <v>32</v>
      </c>
      <c r="G122" s="537"/>
      <c r="H122" s="537"/>
      <c r="I122" s="100"/>
      <c r="J122" s="537"/>
      <c r="K122" s="537"/>
      <c r="L122" s="537"/>
    </row>
    <row r="123">
      <c r="A123" s="3">
        <f t="shared" si="1"/>
        <v>123</v>
      </c>
      <c r="B123" s="422" t="s">
        <v>929</v>
      </c>
      <c r="C123" s="3" t="str">
        <f t="shared" si="4"/>
        <v>=&gt;</v>
      </c>
      <c r="D123" s="637" t="s">
        <v>1107</v>
      </c>
      <c r="E123" s="422" t="s">
        <v>929</v>
      </c>
      <c r="F123" s="537"/>
      <c r="G123" s="537"/>
      <c r="H123" s="537"/>
      <c r="I123" s="537"/>
      <c r="J123" s="537"/>
      <c r="K123" s="537"/>
      <c r="L123" s="537"/>
    </row>
    <row r="124">
      <c r="A124" s="3">
        <f t="shared" si="1"/>
        <v>124</v>
      </c>
      <c r="B124" s="422" t="s">
        <v>929</v>
      </c>
      <c r="C124" s="3" t="str">
        <f t="shared" si="4"/>
        <v>=&gt;</v>
      </c>
      <c r="D124" s="3" t="s">
        <v>8</v>
      </c>
      <c r="E124" s="537"/>
      <c r="F124" s="537"/>
      <c r="G124" s="3"/>
      <c r="H124" s="537"/>
      <c r="I124" s="537"/>
      <c r="J124" s="537"/>
      <c r="K124" s="537"/>
      <c r="L124" s="537"/>
    </row>
    <row r="125">
      <c r="A125" s="3">
        <f t="shared" si="1"/>
        <v>125</v>
      </c>
      <c r="B125" s="625" t="s">
        <v>1096</v>
      </c>
      <c r="C125" s="3" t="s">
        <v>199</v>
      </c>
      <c r="D125" s="636" t="s">
        <v>1106</v>
      </c>
      <c r="E125" s="3" t="s">
        <v>180</v>
      </c>
      <c r="F125" s="3" t="s">
        <v>14</v>
      </c>
      <c r="G125" s="537"/>
      <c r="H125" s="537"/>
      <c r="I125" s="537"/>
      <c r="J125" s="537"/>
      <c r="K125" s="537"/>
      <c r="L125" s="537"/>
    </row>
    <row r="126">
      <c r="A126" s="3">
        <f t="shared" si="1"/>
        <v>126</v>
      </c>
      <c r="B126" s="637" t="s">
        <v>1107</v>
      </c>
      <c r="C126" s="3" t="s">
        <v>199</v>
      </c>
      <c r="D126" s="3" t="s">
        <v>14</v>
      </c>
      <c r="E126" s="3" t="str">
        <f>"="</f>
        <v>=</v>
      </c>
      <c r="F126" s="395" t="s">
        <v>28</v>
      </c>
      <c r="G126" s="3" t="s">
        <v>6</v>
      </c>
      <c r="H126" s="100"/>
      <c r="I126" s="100"/>
      <c r="J126" s="537"/>
      <c r="K126" s="537"/>
      <c r="L126" s="537"/>
    </row>
    <row r="127">
      <c r="A127" s="3">
        <f t="shared" si="1"/>
        <v>127</v>
      </c>
      <c r="B127" s="342" t="s">
        <v>837</v>
      </c>
      <c r="C127" s="3" t="str">
        <f t="shared" ref="C127:C130" si="5">"=&gt;"</f>
        <v>=&gt;</v>
      </c>
      <c r="D127" s="3" t="s">
        <v>1008</v>
      </c>
      <c r="E127" s="599" t="s">
        <v>1081</v>
      </c>
      <c r="F127" s="7" t="s">
        <v>850</v>
      </c>
      <c r="G127" s="3" t="s">
        <v>14</v>
      </c>
      <c r="H127" s="3" t="s">
        <v>62</v>
      </c>
      <c r="I127" s="638" t="s">
        <v>1108</v>
      </c>
      <c r="J127" s="3" t="s">
        <v>64</v>
      </c>
      <c r="K127" s="639" t="s">
        <v>1109</v>
      </c>
      <c r="L127" s="342" t="s">
        <v>837</v>
      </c>
    </row>
    <row r="128">
      <c r="A128" s="3">
        <f t="shared" si="1"/>
        <v>128</v>
      </c>
      <c r="B128" s="342" t="s">
        <v>837</v>
      </c>
      <c r="C128" s="3" t="str">
        <f t="shared" si="5"/>
        <v>=&gt;</v>
      </c>
      <c r="D128" s="3" t="s">
        <v>8</v>
      </c>
      <c r="E128" s="537"/>
      <c r="F128" s="537"/>
      <c r="G128" s="537"/>
      <c r="H128" s="100"/>
      <c r="I128" s="537"/>
      <c r="J128" s="537"/>
      <c r="K128" s="537"/>
      <c r="L128" s="537"/>
    </row>
    <row r="129">
      <c r="A129" s="3">
        <f t="shared" si="1"/>
        <v>129</v>
      </c>
      <c r="B129" s="638" t="s">
        <v>1108</v>
      </c>
      <c r="C129" s="3" t="str">
        <f t="shared" si="5"/>
        <v>=&gt;</v>
      </c>
      <c r="D129" s="521" t="s">
        <v>1010</v>
      </c>
      <c r="E129" s="522" t="s">
        <v>1011</v>
      </c>
      <c r="F129" s="537"/>
      <c r="G129" s="537"/>
      <c r="H129" s="537"/>
      <c r="I129" s="537"/>
      <c r="J129" s="537"/>
      <c r="K129" s="537"/>
      <c r="L129" s="537"/>
    </row>
    <row r="130">
      <c r="A130" s="3">
        <f t="shared" si="1"/>
        <v>130</v>
      </c>
      <c r="B130" s="638" t="s">
        <v>1108</v>
      </c>
      <c r="C130" s="3" t="str">
        <f t="shared" si="5"/>
        <v>=&gt;</v>
      </c>
      <c r="D130" s="3" t="s">
        <v>8</v>
      </c>
      <c r="E130" s="537"/>
      <c r="F130" s="537"/>
      <c r="G130" s="537"/>
      <c r="H130" s="537"/>
      <c r="I130" s="537"/>
      <c r="J130" s="537"/>
      <c r="K130" s="537"/>
      <c r="L130" s="537"/>
    </row>
    <row r="131">
      <c r="A131" s="3">
        <f t="shared" si="1"/>
        <v>131</v>
      </c>
      <c r="B131" s="639" t="s">
        <v>1109</v>
      </c>
      <c r="C131" s="3" t="s">
        <v>199</v>
      </c>
      <c r="D131" s="3" t="s">
        <v>17</v>
      </c>
      <c r="E131" s="523" t="s">
        <v>1012</v>
      </c>
      <c r="F131" s="524" t="s">
        <v>1013</v>
      </c>
      <c r="G131" s="3" t="s">
        <v>1074</v>
      </c>
      <c r="H131" s="603" t="s">
        <v>1085</v>
      </c>
      <c r="I131" s="3" t="s">
        <v>6</v>
      </c>
      <c r="J131" s="3" t="s">
        <v>19</v>
      </c>
      <c r="K131" s="100"/>
      <c r="L131" s="537"/>
    </row>
    <row r="132">
      <c r="A132" s="3">
        <f t="shared" si="1"/>
        <v>132</v>
      </c>
      <c r="B132" s="521" t="s">
        <v>1010</v>
      </c>
      <c r="C132" s="3" t="s">
        <v>199</v>
      </c>
      <c r="D132" s="640" t="s">
        <v>1110</v>
      </c>
      <c r="E132" s="537"/>
      <c r="F132" s="537"/>
      <c r="G132" s="537"/>
      <c r="H132" s="537"/>
      <c r="I132" s="537"/>
      <c r="J132" s="537"/>
      <c r="K132" s="537"/>
      <c r="L132" s="537"/>
    </row>
    <row r="133">
      <c r="A133" s="3">
        <f t="shared" si="1"/>
        <v>133</v>
      </c>
      <c r="B133" s="521" t="s">
        <v>1010</v>
      </c>
      <c r="C133" s="3" t="s">
        <v>199</v>
      </c>
      <c r="D133" s="641" t="s">
        <v>1111</v>
      </c>
      <c r="E133" s="537"/>
      <c r="F133" s="537"/>
      <c r="G133" s="537"/>
      <c r="H133" s="537"/>
      <c r="I133" s="537"/>
      <c r="J133" s="537"/>
      <c r="K133" s="537"/>
      <c r="L133" s="537"/>
    </row>
    <row r="134">
      <c r="A134" s="3">
        <f t="shared" si="1"/>
        <v>134</v>
      </c>
      <c r="B134" s="521" t="s">
        <v>1010</v>
      </c>
      <c r="C134" s="3" t="s">
        <v>199</v>
      </c>
      <c r="D134" s="642" t="s">
        <v>1112</v>
      </c>
      <c r="E134" s="537"/>
      <c r="F134" s="537"/>
      <c r="G134" s="537"/>
      <c r="H134" s="537"/>
      <c r="I134" s="537"/>
      <c r="J134" s="537"/>
      <c r="K134" s="537"/>
      <c r="L134" s="537"/>
    </row>
    <row r="135">
      <c r="A135" s="3">
        <f t="shared" si="1"/>
        <v>135</v>
      </c>
      <c r="B135" s="640" t="s">
        <v>1110</v>
      </c>
      <c r="C135" s="3" t="s">
        <v>199</v>
      </c>
      <c r="D135" s="599" t="s">
        <v>1081</v>
      </c>
      <c r="E135" s="3" t="s">
        <v>850</v>
      </c>
      <c r="F135" s="3" t="s">
        <v>14</v>
      </c>
      <c r="G135" s="537"/>
      <c r="H135" s="537"/>
      <c r="I135" s="537"/>
      <c r="J135" s="537"/>
      <c r="K135" s="537"/>
      <c r="L135" s="537"/>
    </row>
    <row r="136">
      <c r="A136" s="3">
        <f t="shared" si="1"/>
        <v>136</v>
      </c>
      <c r="B136" s="641" t="s">
        <v>1111</v>
      </c>
      <c r="C136" s="3" t="s">
        <v>199</v>
      </c>
      <c r="D136" s="599" t="s">
        <v>1081</v>
      </c>
      <c r="E136" s="462" t="s">
        <v>962</v>
      </c>
      <c r="F136" s="8" t="s">
        <v>850</v>
      </c>
      <c r="G136" s="3" t="s">
        <v>14</v>
      </c>
      <c r="H136" s="537"/>
      <c r="I136" s="537"/>
      <c r="J136" s="537"/>
      <c r="K136" s="537"/>
      <c r="L136" s="537"/>
    </row>
    <row r="137">
      <c r="A137" s="3">
        <v>136.0</v>
      </c>
      <c r="B137" s="641" t="s">
        <v>1111</v>
      </c>
      <c r="C137" s="3" t="s">
        <v>199</v>
      </c>
      <c r="D137" s="3" t="s">
        <v>14</v>
      </c>
      <c r="E137" s="462" t="s">
        <v>962</v>
      </c>
      <c r="F137" s="8" t="s">
        <v>850</v>
      </c>
      <c r="G137" s="3" t="s">
        <v>14</v>
      </c>
      <c r="H137" s="537"/>
      <c r="I137" s="537"/>
      <c r="J137" s="537"/>
      <c r="K137" s="537"/>
      <c r="L137" s="537"/>
    </row>
    <row r="138">
      <c r="A138" s="3">
        <f t="shared" ref="A138:A191" si="6">ROW()</f>
        <v>138</v>
      </c>
      <c r="B138" s="642" t="s">
        <v>1112</v>
      </c>
      <c r="C138" s="3" t="s">
        <v>199</v>
      </c>
      <c r="D138" s="3" t="s">
        <v>14</v>
      </c>
      <c r="E138" s="3" t="s">
        <v>850</v>
      </c>
      <c r="F138" s="3" t="s">
        <v>14</v>
      </c>
      <c r="G138" s="537"/>
      <c r="H138" s="537"/>
      <c r="I138" s="537"/>
      <c r="J138" s="537"/>
      <c r="K138" s="537"/>
      <c r="L138" s="537"/>
    </row>
    <row r="139">
      <c r="A139" s="3">
        <f t="shared" si="6"/>
        <v>139</v>
      </c>
      <c r="B139" s="522" t="s">
        <v>1011</v>
      </c>
      <c r="C139" s="3" t="str">
        <f t="shared" ref="C139:C191" si="7">"=&gt;"</f>
        <v>=&gt;</v>
      </c>
      <c r="D139" s="3" t="s">
        <v>38</v>
      </c>
      <c r="E139" s="521" t="s">
        <v>1010</v>
      </c>
      <c r="F139" s="522" t="s">
        <v>1011</v>
      </c>
      <c r="G139" s="537"/>
      <c r="H139" s="537"/>
      <c r="I139" s="537"/>
      <c r="J139" s="537"/>
      <c r="K139" s="537"/>
      <c r="L139" s="537"/>
    </row>
    <row r="140">
      <c r="A140" s="3">
        <f t="shared" si="6"/>
        <v>140</v>
      </c>
      <c r="B140" s="522" t="s">
        <v>1011</v>
      </c>
      <c r="C140" s="3" t="str">
        <f t="shared" si="7"/>
        <v>=&gt;</v>
      </c>
      <c r="D140" s="3" t="s">
        <v>8</v>
      </c>
      <c r="E140" s="537"/>
      <c r="F140" s="537"/>
      <c r="G140" s="537"/>
      <c r="H140" s="537"/>
      <c r="I140" s="537"/>
      <c r="J140" s="537"/>
      <c r="K140" s="537"/>
      <c r="L140" s="537"/>
    </row>
    <row r="141">
      <c r="A141" s="3">
        <f t="shared" si="6"/>
        <v>141</v>
      </c>
      <c r="B141" s="523" t="s">
        <v>1012</v>
      </c>
      <c r="C141" s="3" t="str">
        <f t="shared" si="7"/>
        <v>=&gt;</v>
      </c>
      <c r="D141" s="596" t="s">
        <v>1078</v>
      </c>
      <c r="E141" s="523" t="s">
        <v>1012</v>
      </c>
      <c r="F141" s="537"/>
      <c r="G141" s="537"/>
      <c r="H141" s="537"/>
      <c r="I141" s="537"/>
      <c r="J141" s="537"/>
      <c r="K141" s="537"/>
      <c r="L141" s="537"/>
    </row>
    <row r="142">
      <c r="A142" s="3">
        <f t="shared" si="6"/>
        <v>142</v>
      </c>
      <c r="B142" s="523" t="s">
        <v>1012</v>
      </c>
      <c r="C142" s="3" t="str">
        <f t="shared" si="7"/>
        <v>=&gt;</v>
      </c>
      <c r="D142" s="597" t="s">
        <v>1079</v>
      </c>
      <c r="E142" s="523" t="s">
        <v>1012</v>
      </c>
      <c r="F142" s="537"/>
      <c r="G142" s="537"/>
      <c r="H142" s="537"/>
      <c r="I142" s="537"/>
      <c r="J142" s="537"/>
      <c r="K142" s="537"/>
      <c r="L142" s="537"/>
    </row>
    <row r="143">
      <c r="A143" s="3">
        <f t="shared" si="6"/>
        <v>143</v>
      </c>
      <c r="B143" s="523" t="s">
        <v>1012</v>
      </c>
      <c r="C143" s="3" t="str">
        <f t="shared" si="7"/>
        <v>=&gt;</v>
      </c>
      <c r="D143" s="598" t="s">
        <v>1080</v>
      </c>
      <c r="E143" s="523" t="s">
        <v>1012</v>
      </c>
      <c r="F143" s="537"/>
      <c r="G143" s="537"/>
      <c r="H143" s="537"/>
      <c r="I143" s="537"/>
      <c r="J143" s="537"/>
      <c r="K143" s="537"/>
      <c r="L143" s="537"/>
    </row>
    <row r="144">
      <c r="A144" s="3">
        <f t="shared" si="6"/>
        <v>144</v>
      </c>
      <c r="B144" s="523" t="s">
        <v>1012</v>
      </c>
      <c r="C144" s="3" t="str">
        <f t="shared" si="7"/>
        <v>=&gt;</v>
      </c>
      <c r="D144" s="3" t="s">
        <v>8</v>
      </c>
      <c r="E144" s="537"/>
      <c r="F144" s="537"/>
      <c r="G144" s="537"/>
      <c r="H144" s="537"/>
      <c r="I144" s="537"/>
      <c r="J144" s="537"/>
      <c r="K144" s="537"/>
      <c r="L144" s="537"/>
    </row>
    <row r="145">
      <c r="A145" s="3">
        <f t="shared" si="6"/>
        <v>145</v>
      </c>
      <c r="B145" s="524" t="s">
        <v>1013</v>
      </c>
      <c r="C145" s="3" t="str">
        <f t="shared" si="7"/>
        <v>=&gt;</v>
      </c>
      <c r="D145" s="545" t="s">
        <v>1024</v>
      </c>
      <c r="E145" s="524" t="s">
        <v>1013</v>
      </c>
      <c r="F145" s="537"/>
      <c r="G145" s="537"/>
      <c r="H145" s="537"/>
      <c r="I145" s="537"/>
      <c r="J145" s="537"/>
      <c r="K145" s="537"/>
      <c r="L145" s="537"/>
    </row>
    <row r="146">
      <c r="A146" s="3">
        <f t="shared" si="6"/>
        <v>146</v>
      </c>
      <c r="B146" s="524" t="s">
        <v>1013</v>
      </c>
      <c r="C146" s="3" t="str">
        <f t="shared" si="7"/>
        <v>=&gt;</v>
      </c>
      <c r="D146" s="643" t="s">
        <v>1113</v>
      </c>
      <c r="E146" s="524" t="s">
        <v>1013</v>
      </c>
      <c r="F146" s="100"/>
      <c r="G146" s="100"/>
      <c r="H146" s="100"/>
      <c r="I146" s="100"/>
      <c r="J146" s="537"/>
      <c r="K146" s="537"/>
      <c r="L146" s="537"/>
    </row>
    <row r="147">
      <c r="A147" s="3">
        <f t="shared" si="6"/>
        <v>147</v>
      </c>
      <c r="B147" s="524" t="s">
        <v>1013</v>
      </c>
      <c r="C147" s="3" t="str">
        <f t="shared" si="7"/>
        <v>=&gt;</v>
      </c>
      <c r="D147" s="549" t="s">
        <v>1020</v>
      </c>
      <c r="E147" s="524" t="s">
        <v>1013</v>
      </c>
      <c r="F147" s="537"/>
      <c r="G147" s="537"/>
      <c r="H147" s="537"/>
      <c r="I147" s="537"/>
      <c r="J147" s="537"/>
      <c r="K147" s="537"/>
      <c r="L147" s="537"/>
    </row>
    <row r="148">
      <c r="A148" s="3">
        <f t="shared" si="6"/>
        <v>148</v>
      </c>
      <c r="B148" s="524" t="s">
        <v>1013</v>
      </c>
      <c r="C148" s="3" t="str">
        <f t="shared" si="7"/>
        <v>=&gt;</v>
      </c>
      <c r="D148" s="569" t="s">
        <v>1021</v>
      </c>
      <c r="E148" s="524" t="s">
        <v>1013</v>
      </c>
      <c r="F148" s="537"/>
      <c r="G148" s="537"/>
      <c r="H148" s="537"/>
      <c r="I148" s="537"/>
      <c r="J148" s="537"/>
      <c r="K148" s="537"/>
      <c r="L148" s="537"/>
    </row>
    <row r="149">
      <c r="A149" s="3">
        <f t="shared" si="6"/>
        <v>149</v>
      </c>
      <c r="B149" s="524" t="s">
        <v>1013</v>
      </c>
      <c r="C149" s="3" t="str">
        <f t="shared" si="7"/>
        <v>=&gt;</v>
      </c>
      <c r="D149" s="591" t="s">
        <v>1062</v>
      </c>
      <c r="E149" s="524" t="s">
        <v>1013</v>
      </c>
      <c r="F149" s="100"/>
      <c r="G149" s="100"/>
      <c r="H149" s="100"/>
      <c r="I149" s="100"/>
      <c r="J149" s="100"/>
      <c r="K149" s="100"/>
      <c r="L149" s="100"/>
    </row>
    <row r="150">
      <c r="A150" s="3">
        <f t="shared" si="6"/>
        <v>150</v>
      </c>
      <c r="B150" s="524" t="s">
        <v>1013</v>
      </c>
      <c r="C150" s="3" t="str">
        <f t="shared" si="7"/>
        <v>=&gt;</v>
      </c>
      <c r="D150" s="3" t="s">
        <v>8</v>
      </c>
      <c r="E150" s="100"/>
      <c r="F150" s="100"/>
      <c r="G150" s="100"/>
      <c r="H150" s="100"/>
      <c r="I150" s="100"/>
      <c r="J150" s="100"/>
      <c r="K150" s="100"/>
      <c r="L150" s="100"/>
    </row>
    <row r="151">
      <c r="A151" s="3">
        <f t="shared" si="6"/>
        <v>151</v>
      </c>
      <c r="B151" s="545" t="s">
        <v>1024</v>
      </c>
      <c r="C151" s="3" t="str">
        <f t="shared" si="7"/>
        <v>=&gt;</v>
      </c>
      <c r="D151" s="8" t="s">
        <v>14</v>
      </c>
      <c r="E151" s="535" t="s">
        <v>894</v>
      </c>
      <c r="F151" s="532" t="s">
        <v>1016</v>
      </c>
      <c r="G151" s="395" t="s">
        <v>28</v>
      </c>
      <c r="H151" s="3" t="s">
        <v>6</v>
      </c>
      <c r="I151" s="537"/>
      <c r="J151" s="537"/>
      <c r="K151" s="537"/>
      <c r="L151" s="537"/>
    </row>
    <row r="152">
      <c r="A152" s="3">
        <f t="shared" si="6"/>
        <v>152</v>
      </c>
      <c r="B152" s="532" t="s">
        <v>1016</v>
      </c>
      <c r="C152" s="3" t="str">
        <f t="shared" si="7"/>
        <v>=&gt;</v>
      </c>
      <c r="D152" s="8" t="str">
        <f>"="</f>
        <v>=</v>
      </c>
      <c r="E152" s="100"/>
      <c r="F152" s="100"/>
      <c r="G152" s="100"/>
      <c r="H152" s="537"/>
      <c r="I152" s="537"/>
      <c r="J152" s="537"/>
      <c r="K152" s="537"/>
      <c r="L152" s="537"/>
    </row>
    <row r="153">
      <c r="A153" s="3">
        <f t="shared" si="6"/>
        <v>153</v>
      </c>
      <c r="B153" s="532" t="s">
        <v>1016</v>
      </c>
      <c r="C153" s="3" t="str">
        <f t="shared" si="7"/>
        <v>=&gt;</v>
      </c>
      <c r="D153" s="8" t="str">
        <f>"+="</f>
        <v>+=</v>
      </c>
      <c r="E153" s="100"/>
      <c r="F153" s="100"/>
      <c r="G153" s="100"/>
      <c r="H153" s="537"/>
      <c r="I153" s="537"/>
      <c r="J153" s="537"/>
      <c r="K153" s="537"/>
      <c r="L153" s="537"/>
    </row>
    <row r="154">
      <c r="A154" s="3">
        <f t="shared" si="6"/>
        <v>154</v>
      </c>
      <c r="B154" s="532" t="s">
        <v>1016</v>
      </c>
      <c r="C154" s="3" t="str">
        <f t="shared" si="7"/>
        <v>=&gt;</v>
      </c>
      <c r="D154" s="8" t="str">
        <f>"-="</f>
        <v>-=</v>
      </c>
      <c r="E154" s="100"/>
      <c r="F154" s="100"/>
      <c r="G154" s="100"/>
      <c r="H154" s="537"/>
      <c r="I154" s="537"/>
      <c r="J154" s="537"/>
      <c r="K154" s="537"/>
      <c r="L154" s="537"/>
    </row>
    <row r="155">
      <c r="A155" s="3">
        <f t="shared" si="6"/>
        <v>155</v>
      </c>
      <c r="B155" s="532" t="s">
        <v>1016</v>
      </c>
      <c r="C155" s="3" t="str">
        <f t="shared" si="7"/>
        <v>=&gt;</v>
      </c>
      <c r="D155" s="8" t="str">
        <f>"*="</f>
        <v>*=</v>
      </c>
      <c r="E155" s="100"/>
      <c r="F155" s="100"/>
      <c r="G155" s="100"/>
      <c r="H155" s="537"/>
      <c r="I155" s="537"/>
      <c r="J155" s="537"/>
      <c r="K155" s="537"/>
      <c r="L155" s="537"/>
    </row>
    <row r="156">
      <c r="A156" s="3">
        <f t="shared" si="6"/>
        <v>156</v>
      </c>
      <c r="B156" s="532" t="s">
        <v>1016</v>
      </c>
      <c r="C156" s="3" t="str">
        <f t="shared" si="7"/>
        <v>=&gt;</v>
      </c>
      <c r="D156" s="8" t="str">
        <f>"/="</f>
        <v>/=</v>
      </c>
      <c r="E156" s="100"/>
      <c r="F156" s="100"/>
      <c r="G156" s="100"/>
      <c r="H156" s="537"/>
      <c r="I156" s="537"/>
      <c r="J156" s="537"/>
      <c r="K156" s="537"/>
      <c r="L156" s="537"/>
    </row>
    <row r="157">
      <c r="A157" s="3">
        <f t="shared" si="6"/>
        <v>157</v>
      </c>
      <c r="B157" s="644" t="s">
        <v>1016</v>
      </c>
      <c r="C157" s="3" t="str">
        <f t="shared" si="7"/>
        <v>=&gt;</v>
      </c>
      <c r="D157" s="8" t="str">
        <f>"%="</f>
        <v>%=</v>
      </c>
      <c r="E157" s="100"/>
      <c r="F157" s="100"/>
      <c r="G157" s="100"/>
      <c r="H157" s="537"/>
      <c r="I157" s="537"/>
      <c r="J157" s="537"/>
      <c r="K157" s="537"/>
      <c r="L157" s="537"/>
    </row>
    <row r="158">
      <c r="A158" s="3">
        <f t="shared" si="6"/>
        <v>158</v>
      </c>
      <c r="B158" s="645" t="s">
        <v>1113</v>
      </c>
      <c r="C158" s="3" t="str">
        <f t="shared" si="7"/>
        <v>=&gt;</v>
      </c>
      <c r="D158" s="646" t="s">
        <v>1098</v>
      </c>
      <c r="E158" s="3" t="s">
        <v>6</v>
      </c>
      <c r="F158" s="537"/>
      <c r="G158" s="537"/>
      <c r="H158" s="537"/>
      <c r="I158" s="537"/>
      <c r="J158" s="537"/>
      <c r="K158" s="100"/>
      <c r="L158" s="100"/>
    </row>
    <row r="159">
      <c r="A159" s="3">
        <f t="shared" si="6"/>
        <v>159</v>
      </c>
      <c r="B159" s="549" t="s">
        <v>1020</v>
      </c>
      <c r="C159" s="3" t="str">
        <f t="shared" si="7"/>
        <v>=&gt;</v>
      </c>
      <c r="D159" s="550" t="s">
        <v>1027</v>
      </c>
      <c r="E159" s="537"/>
      <c r="F159" s="620"/>
      <c r="G159" s="537"/>
      <c r="H159" s="537"/>
      <c r="I159" s="537"/>
      <c r="J159" s="537"/>
      <c r="K159" s="100"/>
      <c r="L159" s="100"/>
    </row>
    <row r="160">
      <c r="A160" s="3">
        <f t="shared" si="6"/>
        <v>160</v>
      </c>
      <c r="B160" s="549" t="s">
        <v>1020</v>
      </c>
      <c r="C160" s="3" t="str">
        <f t="shared" si="7"/>
        <v>=&gt;</v>
      </c>
      <c r="D160" s="551" t="s">
        <v>1028</v>
      </c>
      <c r="E160" s="537"/>
      <c r="F160" s="537"/>
      <c r="G160" s="537"/>
      <c r="H160" s="537"/>
      <c r="I160" s="537"/>
      <c r="J160" s="537"/>
      <c r="K160" s="100"/>
      <c r="L160" s="100"/>
    </row>
    <row r="161">
      <c r="A161" s="3">
        <f t="shared" si="6"/>
        <v>161</v>
      </c>
      <c r="B161" s="569" t="s">
        <v>1021</v>
      </c>
      <c r="C161" s="3" t="str">
        <f t="shared" si="7"/>
        <v>=&gt;</v>
      </c>
      <c r="D161" s="570" t="s">
        <v>1049</v>
      </c>
      <c r="E161" s="537"/>
      <c r="F161" s="620"/>
      <c r="G161" s="537"/>
      <c r="H161" s="537"/>
      <c r="I161" s="537"/>
      <c r="J161" s="537"/>
      <c r="K161" s="100"/>
      <c r="L161" s="100"/>
    </row>
    <row r="162">
      <c r="A162" s="3">
        <f t="shared" si="6"/>
        <v>162</v>
      </c>
      <c r="B162" s="569" t="s">
        <v>1021</v>
      </c>
      <c r="C162" s="3" t="str">
        <f t="shared" si="7"/>
        <v>=&gt;</v>
      </c>
      <c r="D162" s="571" t="s">
        <v>1050</v>
      </c>
      <c r="E162" s="537"/>
      <c r="F162" s="537"/>
      <c r="G162" s="537"/>
      <c r="H162" s="537"/>
      <c r="I162" s="537"/>
      <c r="J162" s="537"/>
      <c r="K162" s="100"/>
      <c r="L162" s="100"/>
    </row>
    <row r="163">
      <c r="A163" s="3">
        <f t="shared" si="6"/>
        <v>163</v>
      </c>
      <c r="B163" s="569" t="s">
        <v>1021</v>
      </c>
      <c r="C163" s="3" t="str">
        <f t="shared" si="7"/>
        <v>=&gt;</v>
      </c>
      <c r="D163" s="572" t="s">
        <v>1051</v>
      </c>
      <c r="E163" s="537"/>
      <c r="F163" s="537"/>
      <c r="G163" s="537"/>
      <c r="H163" s="537"/>
      <c r="I163" s="537"/>
      <c r="J163" s="537"/>
      <c r="K163" s="100"/>
      <c r="L163" s="100"/>
    </row>
    <row r="164">
      <c r="A164" s="3">
        <f t="shared" si="6"/>
        <v>164</v>
      </c>
      <c r="B164" s="591" t="s">
        <v>1062</v>
      </c>
      <c r="C164" s="3" t="str">
        <f t="shared" si="7"/>
        <v>=&gt;</v>
      </c>
      <c r="D164" s="592" t="s">
        <v>1071</v>
      </c>
      <c r="E164" s="537"/>
      <c r="F164" s="537"/>
      <c r="G164" s="537"/>
      <c r="H164" s="537"/>
      <c r="I164" s="537"/>
      <c r="J164" s="537"/>
      <c r="K164" s="100"/>
      <c r="L164" s="100"/>
    </row>
    <row r="165">
      <c r="A165" s="3">
        <f t="shared" si="6"/>
        <v>165</v>
      </c>
      <c r="B165" s="591" t="s">
        <v>1062</v>
      </c>
      <c r="C165" s="3" t="str">
        <f t="shared" si="7"/>
        <v>=&gt;</v>
      </c>
      <c r="D165" s="593" t="s">
        <v>1043</v>
      </c>
      <c r="E165" s="537"/>
      <c r="F165" s="537"/>
      <c r="G165" s="537"/>
      <c r="H165" s="537"/>
      <c r="I165" s="537"/>
      <c r="J165" s="537"/>
      <c r="K165" s="100"/>
      <c r="L165" s="100"/>
    </row>
    <row r="166">
      <c r="A166" s="3">
        <f t="shared" si="6"/>
        <v>166</v>
      </c>
      <c r="B166" s="591" t="s">
        <v>1062</v>
      </c>
      <c r="C166" s="3" t="str">
        <f t="shared" si="7"/>
        <v>=&gt;</v>
      </c>
      <c r="D166" s="594" t="s">
        <v>1022</v>
      </c>
      <c r="E166" s="537"/>
      <c r="F166" s="537"/>
      <c r="G166" s="537"/>
      <c r="H166" s="537"/>
      <c r="I166" s="537"/>
      <c r="J166" s="537"/>
      <c r="K166" s="100"/>
      <c r="L166" s="100"/>
    </row>
    <row r="167">
      <c r="A167" s="3">
        <f t="shared" si="6"/>
        <v>167</v>
      </c>
      <c r="B167" s="592" t="s">
        <v>1071</v>
      </c>
      <c r="C167" s="3" t="str">
        <f t="shared" si="7"/>
        <v>=&gt;</v>
      </c>
      <c r="D167" s="3" t="s">
        <v>1072</v>
      </c>
      <c r="E167" s="3" t="s">
        <v>6</v>
      </c>
      <c r="F167" s="537"/>
      <c r="G167" s="537"/>
      <c r="H167" s="537"/>
      <c r="I167" s="537"/>
      <c r="J167" s="537"/>
      <c r="K167" s="100"/>
      <c r="L167" s="100"/>
    </row>
    <row r="168">
      <c r="A168" s="3">
        <f t="shared" si="6"/>
        <v>168</v>
      </c>
      <c r="B168" s="593" t="s">
        <v>1043</v>
      </c>
      <c r="C168" s="3" t="str">
        <f t="shared" si="7"/>
        <v>=&gt;</v>
      </c>
      <c r="D168" s="542" t="s">
        <v>1073</v>
      </c>
      <c r="E168" s="3" t="s">
        <v>6</v>
      </c>
      <c r="F168" s="537"/>
      <c r="G168" s="537"/>
      <c r="H168" s="537"/>
      <c r="I168" s="537"/>
      <c r="J168" s="537"/>
      <c r="K168" s="537"/>
      <c r="L168" s="537"/>
    </row>
    <row r="169">
      <c r="A169" s="3">
        <f t="shared" si="6"/>
        <v>169</v>
      </c>
      <c r="B169" s="594" t="s">
        <v>1022</v>
      </c>
      <c r="C169" s="3" t="str">
        <f t="shared" si="7"/>
        <v>=&gt;</v>
      </c>
      <c r="D169" s="542" t="s">
        <v>1074</v>
      </c>
      <c r="E169" s="395" t="s">
        <v>28</v>
      </c>
      <c r="F169" s="3" t="s">
        <v>6</v>
      </c>
      <c r="G169" s="537"/>
      <c r="H169" s="537"/>
      <c r="I169" s="537"/>
      <c r="J169" s="537"/>
      <c r="K169" s="537"/>
      <c r="L169" s="537"/>
    </row>
    <row r="170">
      <c r="A170" s="3">
        <f t="shared" si="6"/>
        <v>170</v>
      </c>
      <c r="B170" s="550" t="s">
        <v>1027</v>
      </c>
      <c r="C170" s="3" t="str">
        <f t="shared" si="7"/>
        <v>=&gt;</v>
      </c>
      <c r="D170" s="542" t="s">
        <v>1029</v>
      </c>
      <c r="E170" s="3" t="s">
        <v>62</v>
      </c>
      <c r="F170" s="603" t="s">
        <v>1085</v>
      </c>
      <c r="G170" s="3" t="s">
        <v>64</v>
      </c>
      <c r="H170" s="647" t="s">
        <v>1114</v>
      </c>
      <c r="I170" s="553" t="s">
        <v>1030</v>
      </c>
      <c r="J170" s="554" t="s">
        <v>1031</v>
      </c>
      <c r="K170" s="537"/>
      <c r="L170" s="537"/>
    </row>
    <row r="171">
      <c r="A171" s="3">
        <f t="shared" si="6"/>
        <v>171</v>
      </c>
      <c r="B171" s="647" t="s">
        <v>1114</v>
      </c>
      <c r="C171" s="3" t="str">
        <f t="shared" si="7"/>
        <v>=&gt;</v>
      </c>
      <c r="D171" s="542" t="s">
        <v>17</v>
      </c>
      <c r="E171" s="523" t="s">
        <v>1012</v>
      </c>
      <c r="F171" s="524" t="s">
        <v>1013</v>
      </c>
      <c r="G171" s="3" t="s">
        <v>19</v>
      </c>
      <c r="H171" s="537"/>
      <c r="I171" s="537"/>
      <c r="J171" s="537"/>
      <c r="K171" s="537"/>
      <c r="L171" s="537"/>
    </row>
    <row r="172">
      <c r="A172" s="3">
        <f t="shared" si="6"/>
        <v>172</v>
      </c>
      <c r="B172" s="553" t="s">
        <v>1030</v>
      </c>
      <c r="C172" s="3" t="str">
        <f t="shared" si="7"/>
        <v>=&gt;</v>
      </c>
      <c r="D172" s="542" t="s">
        <v>1032</v>
      </c>
      <c r="E172" s="3" t="s">
        <v>62</v>
      </c>
      <c r="F172" s="603" t="s">
        <v>1085</v>
      </c>
      <c r="G172" s="3" t="s">
        <v>64</v>
      </c>
      <c r="H172" s="647" t="s">
        <v>1114</v>
      </c>
      <c r="I172" s="553" t="s">
        <v>1030</v>
      </c>
      <c r="J172" s="537"/>
      <c r="K172" s="537"/>
      <c r="L172" s="537"/>
    </row>
    <row r="173">
      <c r="A173" s="3">
        <f t="shared" si="6"/>
        <v>173</v>
      </c>
      <c r="B173" s="553" t="s">
        <v>1030</v>
      </c>
      <c r="C173" s="3" t="str">
        <f t="shared" si="7"/>
        <v>=&gt;</v>
      </c>
      <c r="D173" s="542" t="s">
        <v>8</v>
      </c>
      <c r="E173" s="537"/>
      <c r="F173" s="537"/>
      <c r="G173" s="537"/>
      <c r="H173" s="537"/>
      <c r="I173" s="537"/>
      <c r="J173" s="537"/>
      <c r="K173" s="537"/>
      <c r="L173" s="537"/>
    </row>
    <row r="174">
      <c r="A174" s="3">
        <f t="shared" si="6"/>
        <v>174</v>
      </c>
      <c r="B174" s="554" t="s">
        <v>1031</v>
      </c>
      <c r="C174" s="3" t="str">
        <f t="shared" si="7"/>
        <v>=&gt;</v>
      </c>
      <c r="D174" s="542" t="s">
        <v>1033</v>
      </c>
      <c r="E174" s="647" t="s">
        <v>1114</v>
      </c>
      <c r="F174" s="537"/>
      <c r="G174" s="537"/>
      <c r="H174" s="537"/>
      <c r="I174" s="537"/>
      <c r="J174" s="537"/>
      <c r="K174" s="537"/>
      <c r="L174" s="537"/>
    </row>
    <row r="175">
      <c r="A175" s="3">
        <f t="shared" si="6"/>
        <v>175</v>
      </c>
      <c r="B175" s="554" t="s">
        <v>1031</v>
      </c>
      <c r="C175" s="3" t="str">
        <f t="shared" si="7"/>
        <v>=&gt;</v>
      </c>
      <c r="D175" s="542" t="s">
        <v>8</v>
      </c>
      <c r="E175" s="537"/>
      <c r="F175" s="537"/>
      <c r="G175" s="537"/>
      <c r="H175" s="537"/>
      <c r="I175" s="537"/>
      <c r="J175" s="537"/>
      <c r="K175" s="537"/>
      <c r="L175" s="537"/>
    </row>
    <row r="176">
      <c r="A176" s="3">
        <f t="shared" si="6"/>
        <v>176</v>
      </c>
      <c r="B176" s="551" t="s">
        <v>1028</v>
      </c>
      <c r="C176" s="3" t="str">
        <f t="shared" si="7"/>
        <v>=&gt;</v>
      </c>
      <c r="D176" s="542" t="s">
        <v>1034</v>
      </c>
      <c r="E176" s="3" t="s">
        <v>62</v>
      </c>
      <c r="F176" s="603" t="s">
        <v>1085</v>
      </c>
      <c r="G176" s="3" t="s">
        <v>64</v>
      </c>
      <c r="H176" s="555" t="s">
        <v>1035</v>
      </c>
      <c r="I176" s="537"/>
      <c r="J176" s="537"/>
      <c r="K176" s="537"/>
      <c r="L176" s="537"/>
    </row>
    <row r="177">
      <c r="A177" s="3">
        <f t="shared" si="6"/>
        <v>177</v>
      </c>
      <c r="B177" s="555" t="s">
        <v>1035</v>
      </c>
      <c r="C177" s="3" t="str">
        <f t="shared" si="7"/>
        <v>=&gt;</v>
      </c>
      <c r="D177" s="542" t="s">
        <v>17</v>
      </c>
      <c r="E177" s="556" t="s">
        <v>1036</v>
      </c>
      <c r="F177" s="557" t="s">
        <v>1037</v>
      </c>
      <c r="G177" s="3" t="s">
        <v>19</v>
      </c>
      <c r="H177" s="537"/>
      <c r="I177" s="537"/>
      <c r="J177" s="537"/>
      <c r="K177" s="537"/>
      <c r="L177" s="537"/>
    </row>
    <row r="178">
      <c r="A178" s="3">
        <f t="shared" si="6"/>
        <v>178</v>
      </c>
      <c r="B178" s="556" t="s">
        <v>1036</v>
      </c>
      <c r="C178" s="3" t="str">
        <f t="shared" si="7"/>
        <v>=&gt;</v>
      </c>
      <c r="D178" s="542" t="s">
        <v>1038</v>
      </c>
      <c r="E178" s="603" t="s">
        <v>1085</v>
      </c>
      <c r="F178" s="3" t="s">
        <v>180</v>
      </c>
      <c r="G178" s="524" t="s">
        <v>1013</v>
      </c>
      <c r="H178" s="556" t="s">
        <v>1036</v>
      </c>
      <c r="I178" s="100"/>
      <c r="J178" s="537"/>
      <c r="K178" s="537"/>
      <c r="L178" s="537"/>
    </row>
    <row r="179">
      <c r="A179" s="3">
        <f t="shared" si="6"/>
        <v>179</v>
      </c>
      <c r="B179" s="556" t="s">
        <v>1036</v>
      </c>
      <c r="C179" s="3" t="str">
        <f t="shared" si="7"/>
        <v>=&gt;</v>
      </c>
      <c r="D179" s="542" t="s">
        <v>8</v>
      </c>
      <c r="E179" s="537"/>
      <c r="F179" s="537"/>
      <c r="G179" s="537"/>
      <c r="H179" s="537"/>
      <c r="I179" s="537"/>
      <c r="J179" s="537"/>
      <c r="K179" s="537"/>
      <c r="L179" s="537"/>
    </row>
    <row r="180">
      <c r="A180" s="3">
        <f t="shared" si="6"/>
        <v>180</v>
      </c>
      <c r="B180" s="557" t="s">
        <v>1037</v>
      </c>
      <c r="C180" s="3" t="str">
        <f t="shared" si="7"/>
        <v>=&gt;</v>
      </c>
      <c r="D180" s="542" t="s">
        <v>1070</v>
      </c>
      <c r="E180" s="3" t="s">
        <v>180</v>
      </c>
      <c r="F180" s="524" t="s">
        <v>1013</v>
      </c>
      <c r="G180" s="537"/>
      <c r="H180" s="537"/>
      <c r="I180" s="537"/>
      <c r="J180" s="537"/>
      <c r="K180" s="537"/>
      <c r="L180" s="537"/>
    </row>
    <row r="181">
      <c r="A181" s="3">
        <f t="shared" si="6"/>
        <v>181</v>
      </c>
      <c r="B181" s="557" t="s">
        <v>1037</v>
      </c>
      <c r="C181" s="3" t="str">
        <f t="shared" si="7"/>
        <v>=&gt;</v>
      </c>
      <c r="D181" s="542" t="s">
        <v>8</v>
      </c>
      <c r="E181" s="537"/>
      <c r="F181" s="537"/>
      <c r="G181" s="537"/>
      <c r="H181" s="537"/>
      <c r="I181" s="537"/>
      <c r="J181" s="537"/>
      <c r="K181" s="537"/>
      <c r="L181" s="537"/>
    </row>
    <row r="182">
      <c r="A182" s="3">
        <f t="shared" si="6"/>
        <v>182</v>
      </c>
      <c r="B182" s="570" t="s">
        <v>1049</v>
      </c>
      <c r="C182" s="3" t="str">
        <f t="shared" si="7"/>
        <v>=&gt;</v>
      </c>
      <c r="D182" s="542" t="s">
        <v>1052</v>
      </c>
      <c r="E182" s="3" t="s">
        <v>62</v>
      </c>
      <c r="F182" s="3" t="s">
        <v>14</v>
      </c>
      <c r="G182" s="601" t="s">
        <v>1083</v>
      </c>
      <c r="H182" s="3" t="s">
        <v>6</v>
      </c>
      <c r="I182" s="545" t="s">
        <v>1024</v>
      </c>
      <c r="J182" s="603" t="s">
        <v>1085</v>
      </c>
      <c r="K182" s="3" t="s">
        <v>64</v>
      </c>
      <c r="L182" s="647" t="s">
        <v>1114</v>
      </c>
    </row>
    <row r="183">
      <c r="A183" s="3">
        <f t="shared" si="6"/>
        <v>183</v>
      </c>
      <c r="B183" s="571" t="s">
        <v>1050</v>
      </c>
      <c r="C183" s="3" t="str">
        <f t="shared" si="7"/>
        <v>=&gt;</v>
      </c>
      <c r="D183" s="542" t="s">
        <v>1075</v>
      </c>
      <c r="E183" s="3" t="s">
        <v>62</v>
      </c>
      <c r="F183" s="603" t="s">
        <v>1085</v>
      </c>
      <c r="G183" s="3" t="s">
        <v>64</v>
      </c>
      <c r="H183" s="647" t="s">
        <v>1114</v>
      </c>
      <c r="I183" s="537"/>
      <c r="J183" s="537"/>
      <c r="K183" s="537"/>
      <c r="L183" s="537"/>
    </row>
    <row r="184">
      <c r="A184" s="3">
        <f t="shared" si="6"/>
        <v>184</v>
      </c>
      <c r="B184" s="572" t="s">
        <v>1051</v>
      </c>
      <c r="C184" s="3" t="str">
        <f t="shared" si="7"/>
        <v>=&gt;</v>
      </c>
      <c r="D184" s="542" t="s">
        <v>1076</v>
      </c>
      <c r="E184" s="647" t="s">
        <v>1114</v>
      </c>
      <c r="F184" s="3" t="s">
        <v>1075</v>
      </c>
      <c r="G184" s="3" t="s">
        <v>62</v>
      </c>
      <c r="H184" s="603" t="s">
        <v>1085</v>
      </c>
      <c r="I184" s="3" t="s">
        <v>64</v>
      </c>
      <c r="J184" s="3" t="s">
        <v>6</v>
      </c>
      <c r="K184" s="537"/>
      <c r="L184" s="537"/>
    </row>
    <row r="185">
      <c r="A185" s="3">
        <f t="shared" si="6"/>
        <v>185</v>
      </c>
      <c r="B185" s="595" t="s">
        <v>1077</v>
      </c>
      <c r="C185" s="3" t="str">
        <f t="shared" si="7"/>
        <v>=&gt;</v>
      </c>
      <c r="D185" s="542" t="s">
        <v>840</v>
      </c>
      <c r="E185" s="3" t="s">
        <v>850</v>
      </c>
      <c r="F185" s="3" t="s">
        <v>838</v>
      </c>
      <c r="G185" s="3" t="s">
        <v>62</v>
      </c>
      <c r="H185" s="3" t="s">
        <v>64</v>
      </c>
      <c r="I185" s="639" t="s">
        <v>1109</v>
      </c>
      <c r="J185" s="100"/>
      <c r="K185" s="100"/>
      <c r="L185" s="100"/>
    </row>
    <row r="186">
      <c r="A186" s="3">
        <f t="shared" si="6"/>
        <v>186</v>
      </c>
      <c r="B186" s="595"/>
      <c r="C186" s="3" t="str">
        <f t="shared" si="7"/>
        <v>=&gt;</v>
      </c>
      <c r="D186" s="542"/>
      <c r="E186" s="3"/>
      <c r="F186" s="3"/>
      <c r="G186" s="3"/>
      <c r="H186" s="3"/>
      <c r="I186" s="639"/>
      <c r="J186" s="100"/>
      <c r="K186" s="100"/>
      <c r="L186" s="100"/>
    </row>
    <row r="187">
      <c r="A187" s="3">
        <f t="shared" si="6"/>
        <v>187</v>
      </c>
      <c r="B187" s="648" t="s">
        <v>1115</v>
      </c>
      <c r="C187" s="3" t="str">
        <f t="shared" si="7"/>
        <v>=&gt;</v>
      </c>
      <c r="D187" s="649" t="s">
        <v>14</v>
      </c>
      <c r="E187" s="7" t="s">
        <v>30</v>
      </c>
      <c r="F187" s="7" t="s">
        <v>32</v>
      </c>
      <c r="G187" s="3"/>
      <c r="H187" s="3"/>
      <c r="I187" s="639"/>
      <c r="J187" s="100"/>
      <c r="K187" s="100"/>
      <c r="L187" s="100"/>
    </row>
    <row r="188">
      <c r="A188" s="3">
        <f t="shared" si="6"/>
        <v>188</v>
      </c>
      <c r="B188" s="648" t="s">
        <v>1115</v>
      </c>
      <c r="C188" s="3" t="str">
        <f t="shared" si="7"/>
        <v>=&gt;</v>
      </c>
      <c r="D188" s="649" t="s">
        <v>14</v>
      </c>
      <c r="E188" s="7" t="s">
        <v>62</v>
      </c>
      <c r="F188" s="7" t="s">
        <v>64</v>
      </c>
      <c r="G188" s="3"/>
      <c r="H188" s="3"/>
      <c r="I188" s="639"/>
      <c r="J188" s="100"/>
      <c r="K188" s="100"/>
      <c r="L188" s="100"/>
    </row>
    <row r="189">
      <c r="A189" s="3">
        <f t="shared" si="6"/>
        <v>189</v>
      </c>
      <c r="B189" s="648" t="s">
        <v>1115</v>
      </c>
      <c r="C189" s="3" t="str">
        <f t="shared" si="7"/>
        <v>=&gt;</v>
      </c>
      <c r="D189" s="649" t="s">
        <v>14</v>
      </c>
      <c r="E189" s="3"/>
      <c r="F189" s="3"/>
      <c r="G189" s="3"/>
      <c r="H189" s="3"/>
      <c r="I189" s="639"/>
      <c r="J189" s="100"/>
      <c r="K189" s="100"/>
      <c r="L189" s="100"/>
    </row>
    <row r="190">
      <c r="A190" s="3">
        <f t="shared" si="6"/>
        <v>190</v>
      </c>
      <c r="B190" s="648" t="s">
        <v>1115</v>
      </c>
      <c r="C190" s="3" t="str">
        <f t="shared" si="7"/>
        <v>=&gt;</v>
      </c>
      <c r="D190" s="649" t="s">
        <v>14</v>
      </c>
      <c r="E190" s="7" t="s">
        <v>180</v>
      </c>
      <c r="F190" s="7" t="s">
        <v>14</v>
      </c>
      <c r="G190" s="3"/>
      <c r="H190" s="3"/>
      <c r="I190" s="639"/>
      <c r="J190" s="100"/>
      <c r="K190" s="100"/>
      <c r="L190" s="100"/>
    </row>
    <row r="191">
      <c r="A191" s="3">
        <f t="shared" si="6"/>
        <v>191</v>
      </c>
      <c r="B191" s="648" t="s">
        <v>1115</v>
      </c>
      <c r="C191" s="3" t="str">
        <f t="shared" si="7"/>
        <v>=&gt;</v>
      </c>
      <c r="D191" s="649" t="s">
        <v>62</v>
      </c>
      <c r="E191" s="7" t="s">
        <v>1115</v>
      </c>
      <c r="F191" s="7" t="s">
        <v>64</v>
      </c>
      <c r="G191" s="3"/>
      <c r="H191" s="3"/>
      <c r="I191" s="639"/>
      <c r="J191" s="100"/>
      <c r="K191" s="100"/>
      <c r="L191" s="100"/>
    </row>
    <row r="192">
      <c r="A192" s="3"/>
      <c r="B192" s="648" t="s">
        <v>1115</v>
      </c>
      <c r="C192" s="3"/>
      <c r="D192" s="649" t="s">
        <v>903</v>
      </c>
      <c r="E192" s="3"/>
      <c r="F192" s="3"/>
      <c r="G192" s="3"/>
      <c r="H192" s="3"/>
      <c r="I192" s="639"/>
      <c r="J192" s="100"/>
      <c r="K192" s="100"/>
      <c r="L192" s="100"/>
    </row>
    <row r="193">
      <c r="A193" s="3">
        <f t="shared" ref="A193:A197" si="8">ROW()</f>
        <v>193</v>
      </c>
      <c r="B193" s="648" t="s">
        <v>1115</v>
      </c>
      <c r="C193" s="3" t="str">
        <f t="shared" ref="C193:C197" si="9">"=&gt;"</f>
        <v>=&gt;</v>
      </c>
      <c r="D193" s="649" t="s">
        <v>1115</v>
      </c>
      <c r="E193" s="3"/>
      <c r="F193" s="3"/>
      <c r="G193" s="3"/>
      <c r="H193" s="3"/>
      <c r="I193" s="639"/>
      <c r="J193" s="100"/>
      <c r="K193" s="100"/>
      <c r="L193" s="100"/>
    </row>
    <row r="194">
      <c r="A194" s="3">
        <f t="shared" si="8"/>
        <v>194</v>
      </c>
      <c r="B194" s="648" t="s">
        <v>1115</v>
      </c>
      <c r="C194" s="3" t="str">
        <f t="shared" si="9"/>
        <v>=&gt;</v>
      </c>
      <c r="D194" s="649" t="s">
        <v>1116</v>
      </c>
      <c r="E194" s="3"/>
      <c r="F194" s="3"/>
      <c r="G194" s="3"/>
      <c r="H194" s="3"/>
      <c r="I194" s="639"/>
      <c r="J194" s="100"/>
      <c r="K194" s="100"/>
      <c r="L194" s="100"/>
    </row>
    <row r="195">
      <c r="A195" s="3">
        <f t="shared" si="8"/>
        <v>195</v>
      </c>
      <c r="B195" s="648" t="s">
        <v>1115</v>
      </c>
      <c r="C195" s="3" t="str">
        <f t="shared" si="9"/>
        <v>=&gt;</v>
      </c>
      <c r="D195" s="649" t="s">
        <v>1117</v>
      </c>
      <c r="E195" s="3"/>
      <c r="F195" s="3"/>
      <c r="G195" s="3"/>
      <c r="H195" s="3"/>
      <c r="I195" s="639"/>
      <c r="J195" s="100"/>
      <c r="K195" s="100"/>
      <c r="L195" s="100"/>
    </row>
    <row r="196">
      <c r="A196" s="3">
        <f t="shared" si="8"/>
        <v>196</v>
      </c>
      <c r="B196" s="648" t="s">
        <v>1115</v>
      </c>
      <c r="C196" s="3" t="str">
        <f t="shared" si="9"/>
        <v>=&gt;</v>
      </c>
      <c r="D196" s="649" t="s">
        <v>1118</v>
      </c>
      <c r="E196" s="3"/>
      <c r="F196" s="3"/>
      <c r="G196" s="3"/>
      <c r="H196" s="3"/>
      <c r="I196" s="639"/>
      <c r="J196" s="100"/>
      <c r="K196" s="100"/>
      <c r="L196" s="100"/>
    </row>
    <row r="197">
      <c r="A197" s="3">
        <f t="shared" si="8"/>
        <v>197</v>
      </c>
      <c r="B197" s="648" t="s">
        <v>1119</v>
      </c>
      <c r="C197" s="3" t="str">
        <f t="shared" si="9"/>
        <v>=&gt;</v>
      </c>
      <c r="D197" s="649" t="s">
        <v>936</v>
      </c>
      <c r="E197" s="7" t="s">
        <v>1115</v>
      </c>
      <c r="F197" s="3"/>
      <c r="G197" s="3"/>
      <c r="H197" s="3"/>
      <c r="I197" s="639"/>
      <c r="J197" s="100"/>
      <c r="K197" s="100"/>
      <c r="L197" s="100"/>
    </row>
    <row r="198">
      <c r="A198" s="3"/>
      <c r="B198" s="648" t="s">
        <v>1119</v>
      </c>
      <c r="C198" s="3"/>
      <c r="D198" s="649" t="s">
        <v>937</v>
      </c>
      <c r="E198" s="7" t="s">
        <v>1115</v>
      </c>
      <c r="F198" s="3"/>
      <c r="G198" s="3"/>
      <c r="H198" s="3"/>
      <c r="I198" s="639"/>
      <c r="J198" s="100"/>
      <c r="K198" s="100"/>
      <c r="L198" s="100"/>
    </row>
    <row r="199">
      <c r="A199" s="3">
        <f>ROW()</f>
        <v>199</v>
      </c>
      <c r="B199" s="648" t="s">
        <v>1120</v>
      </c>
      <c r="C199" s="3" t="str">
        <f>"=&gt;"</f>
        <v>=&gt;</v>
      </c>
      <c r="D199" s="649" t="s">
        <v>164</v>
      </c>
      <c r="E199" s="7" t="s">
        <v>1116</v>
      </c>
      <c r="F199" s="3"/>
      <c r="G199" s="3"/>
      <c r="H199" s="3"/>
      <c r="I199" s="639"/>
      <c r="J199" s="100"/>
      <c r="K199" s="100"/>
      <c r="L199" s="100"/>
    </row>
    <row r="200">
      <c r="A200" s="3"/>
      <c r="B200" s="648" t="s">
        <v>1120</v>
      </c>
      <c r="C200" s="3"/>
      <c r="D200" s="649" t="s">
        <v>165</v>
      </c>
      <c r="E200" s="7" t="s">
        <v>1116</v>
      </c>
      <c r="F200" s="3"/>
      <c r="G200" s="3"/>
      <c r="H200" s="3"/>
      <c r="I200" s="639"/>
      <c r="J200" s="100"/>
      <c r="K200" s="100"/>
      <c r="L200" s="100"/>
    </row>
    <row r="201">
      <c r="A201" s="3"/>
      <c r="B201" s="648" t="s">
        <v>1120</v>
      </c>
      <c r="C201" s="3"/>
      <c r="D201" s="649" t="s">
        <v>166</v>
      </c>
      <c r="E201" s="7" t="s">
        <v>1116</v>
      </c>
      <c r="F201" s="3"/>
      <c r="G201" s="3"/>
      <c r="H201" s="3"/>
      <c r="I201" s="639"/>
      <c r="J201" s="100"/>
      <c r="K201" s="100"/>
      <c r="L201" s="100"/>
    </row>
    <row r="202">
      <c r="A202" s="3"/>
      <c r="B202" s="648" t="s">
        <v>1120</v>
      </c>
      <c r="C202" s="3"/>
      <c r="D202" s="649" t="s">
        <v>167</v>
      </c>
      <c r="E202" s="7" t="s">
        <v>1116</v>
      </c>
      <c r="F202" s="3"/>
      <c r="G202" s="3"/>
      <c r="H202" s="3"/>
      <c r="I202" s="639"/>
      <c r="J202" s="100"/>
      <c r="K202" s="100"/>
      <c r="L202" s="100"/>
    </row>
    <row r="203">
      <c r="A203" s="3">
        <f>ROW()</f>
        <v>203</v>
      </c>
      <c r="B203" s="648" t="s">
        <v>1121</v>
      </c>
      <c r="C203" s="3" t="str">
        <f>"=&gt;"</f>
        <v>=&gt;</v>
      </c>
      <c r="D203" s="649" t="s">
        <v>164</v>
      </c>
      <c r="E203" s="7" t="s">
        <v>1116</v>
      </c>
      <c r="F203" s="3"/>
      <c r="G203" s="3"/>
      <c r="H203" s="3"/>
      <c r="I203" s="639"/>
      <c r="J203" s="100"/>
      <c r="K203" s="100"/>
      <c r="L203" s="100"/>
    </row>
    <row r="204">
      <c r="A204" s="3"/>
      <c r="B204" s="648" t="s">
        <v>1121</v>
      </c>
      <c r="C204" s="3"/>
      <c r="D204" s="649" t="s">
        <v>165</v>
      </c>
      <c r="E204" s="7" t="s">
        <v>1116</v>
      </c>
      <c r="F204" s="3"/>
      <c r="G204" s="3"/>
      <c r="H204" s="3"/>
      <c r="I204" s="639"/>
      <c r="J204" s="100"/>
      <c r="K204" s="100"/>
      <c r="L204" s="100"/>
    </row>
    <row r="205">
      <c r="A205" s="3"/>
      <c r="B205" s="648" t="s">
        <v>1121</v>
      </c>
      <c r="C205" s="3"/>
      <c r="D205" s="649" t="s">
        <v>166</v>
      </c>
      <c r="E205" s="7" t="s">
        <v>1116</v>
      </c>
      <c r="F205" s="3"/>
      <c r="G205" s="3"/>
      <c r="H205" s="3"/>
      <c r="I205" s="639"/>
      <c r="J205" s="100"/>
      <c r="K205" s="100"/>
      <c r="L205" s="100"/>
    </row>
    <row r="206">
      <c r="A206" s="3"/>
      <c r="B206" s="648" t="s">
        <v>1121</v>
      </c>
      <c r="C206" s="3"/>
      <c r="D206" s="649" t="s">
        <v>167</v>
      </c>
      <c r="E206" s="7" t="s">
        <v>1116</v>
      </c>
      <c r="F206" s="3"/>
      <c r="G206" s="3"/>
      <c r="H206" s="3"/>
      <c r="I206" s="639"/>
      <c r="J206" s="100"/>
      <c r="K206" s="100"/>
      <c r="L206" s="100"/>
    </row>
    <row r="207">
      <c r="F207" s="3"/>
      <c r="G207" s="3"/>
      <c r="H207" s="3"/>
      <c r="I207" s="639"/>
      <c r="J207" s="100"/>
      <c r="K207" s="100"/>
      <c r="L207" s="100"/>
    </row>
    <row r="208">
      <c r="A208" s="3">
        <f>ROW()</f>
        <v>208</v>
      </c>
      <c r="B208" s="648" t="s">
        <v>1122</v>
      </c>
      <c r="C208" s="3" t="str">
        <f>"=&gt;"</f>
        <v>=&gt;</v>
      </c>
      <c r="D208" s="650" t="s">
        <v>934</v>
      </c>
      <c r="E208" s="7" t="s">
        <v>1117</v>
      </c>
      <c r="F208" s="3"/>
      <c r="G208" s="3"/>
      <c r="H208" s="3"/>
      <c r="I208" s="639"/>
      <c r="J208" s="100"/>
      <c r="K208" s="100"/>
      <c r="L208" s="100"/>
    </row>
    <row r="209">
      <c r="A209" s="3"/>
      <c r="B209" s="648"/>
      <c r="C209" s="3"/>
      <c r="D209" s="649"/>
      <c r="E209" s="7"/>
      <c r="F209" s="3"/>
      <c r="G209" s="3"/>
      <c r="H209" s="3"/>
      <c r="I209" s="639"/>
      <c r="J209" s="100"/>
      <c r="K209" s="100"/>
      <c r="L209" s="100"/>
    </row>
    <row r="210">
      <c r="A210" s="3"/>
      <c r="B210" s="648"/>
      <c r="C210" s="3"/>
      <c r="D210" s="649"/>
      <c r="E210" s="7"/>
      <c r="F210" s="3"/>
      <c r="G210" s="3"/>
      <c r="H210" s="3"/>
      <c r="I210" s="639"/>
      <c r="J210" s="100"/>
      <c r="K210" s="100"/>
      <c r="L210" s="100"/>
    </row>
    <row r="211">
      <c r="A211" s="3"/>
      <c r="B211" s="648"/>
      <c r="C211" s="3"/>
      <c r="D211" s="649"/>
      <c r="E211" s="7"/>
      <c r="F211" s="3"/>
      <c r="G211" s="3"/>
      <c r="H211" s="3"/>
      <c r="I211" s="639"/>
      <c r="J211" s="100"/>
      <c r="K211" s="100"/>
      <c r="L211" s="100"/>
    </row>
    <row r="212">
      <c r="A212" s="3"/>
      <c r="B212" s="648" t="s">
        <v>1116</v>
      </c>
      <c r="C212" s="3" t="str">
        <f t="shared" ref="C212:C218" si="10">"=&gt;"</f>
        <v>=&gt;</v>
      </c>
      <c r="D212" s="649" t="s">
        <v>14</v>
      </c>
      <c r="E212" s="7" t="s">
        <v>30</v>
      </c>
      <c r="F212" s="7" t="s">
        <v>32</v>
      </c>
      <c r="G212" s="3"/>
      <c r="H212" s="3"/>
      <c r="I212" s="639"/>
      <c r="J212" s="100"/>
      <c r="K212" s="100"/>
      <c r="L212" s="100"/>
    </row>
    <row r="213">
      <c r="A213" s="3"/>
      <c r="B213" s="648" t="s">
        <v>1116</v>
      </c>
      <c r="C213" s="3" t="str">
        <f t="shared" si="10"/>
        <v>=&gt;</v>
      </c>
      <c r="D213" s="649" t="s">
        <v>14</v>
      </c>
      <c r="E213" s="7" t="s">
        <v>62</v>
      </c>
      <c r="F213" s="7" t="s">
        <v>64</v>
      </c>
      <c r="G213" s="3"/>
      <c r="H213" s="3"/>
      <c r="I213" s="639"/>
      <c r="J213" s="100"/>
      <c r="K213" s="100"/>
      <c r="L213" s="100"/>
    </row>
    <row r="214">
      <c r="A214" s="3"/>
      <c r="B214" s="648" t="s">
        <v>1116</v>
      </c>
      <c r="C214" s="3" t="str">
        <f t="shared" si="10"/>
        <v>=&gt;</v>
      </c>
      <c r="D214" s="649" t="s">
        <v>14</v>
      </c>
      <c r="E214" s="3"/>
      <c r="F214" s="3"/>
      <c r="G214" s="3"/>
      <c r="H214" s="3"/>
      <c r="I214" s="639"/>
      <c r="J214" s="100"/>
      <c r="K214" s="100"/>
      <c r="L214" s="100"/>
    </row>
    <row r="215">
      <c r="A215" s="3"/>
      <c r="B215" s="648" t="s">
        <v>1116</v>
      </c>
      <c r="C215" s="3" t="str">
        <f t="shared" si="10"/>
        <v>=&gt;</v>
      </c>
      <c r="D215" s="649" t="s">
        <v>14</v>
      </c>
      <c r="E215" s="7" t="s">
        <v>180</v>
      </c>
      <c r="F215" s="7" t="s">
        <v>14</v>
      </c>
      <c r="G215" s="3"/>
      <c r="H215" s="3"/>
      <c r="I215" s="639"/>
      <c r="J215" s="100"/>
      <c r="K215" s="100"/>
      <c r="L215" s="100"/>
    </row>
    <row r="216">
      <c r="A216" s="3">
        <f t="shared" ref="A216:A218" si="11">ROW()</f>
        <v>216</v>
      </c>
      <c r="B216" s="648" t="s">
        <v>1116</v>
      </c>
      <c r="C216" s="3" t="str">
        <f t="shared" si="10"/>
        <v>=&gt;</v>
      </c>
      <c r="D216" s="649" t="s">
        <v>62</v>
      </c>
      <c r="E216" s="7" t="s">
        <v>1116</v>
      </c>
      <c r="F216" s="7" t="s">
        <v>64</v>
      </c>
      <c r="G216" s="3"/>
      <c r="H216" s="3"/>
      <c r="I216" s="639"/>
      <c r="J216" s="100"/>
      <c r="K216" s="100"/>
      <c r="L216" s="100"/>
    </row>
    <row r="217">
      <c r="A217" s="3">
        <f t="shared" si="11"/>
        <v>217</v>
      </c>
      <c r="B217" s="648" t="s">
        <v>1116</v>
      </c>
      <c r="C217" s="3" t="str">
        <f t="shared" si="10"/>
        <v>=&gt;</v>
      </c>
      <c r="D217" s="649" t="s">
        <v>1116</v>
      </c>
      <c r="E217" s="3"/>
      <c r="F217" s="3"/>
      <c r="G217" s="3"/>
      <c r="H217" s="3"/>
      <c r="I217" s="639"/>
      <c r="J217" s="100"/>
      <c r="K217" s="100"/>
      <c r="L217" s="100"/>
    </row>
    <row r="218">
      <c r="A218" s="3">
        <f t="shared" si="11"/>
        <v>218</v>
      </c>
      <c r="B218" s="648" t="s">
        <v>1123</v>
      </c>
      <c r="C218" s="3" t="str">
        <f t="shared" si="10"/>
        <v>=&gt;</v>
      </c>
      <c r="D218" s="650" t="s">
        <v>924</v>
      </c>
      <c r="E218" s="7" t="s">
        <v>1116</v>
      </c>
      <c r="F218" s="3"/>
      <c r="G218" s="3"/>
      <c r="H218" s="3"/>
      <c r="I218" s="639"/>
      <c r="J218" s="100"/>
      <c r="K218" s="100"/>
      <c r="L218" s="100"/>
    </row>
    <row r="219">
      <c r="A219" s="3"/>
      <c r="B219" s="595"/>
      <c r="C219" s="3"/>
      <c r="D219" s="542"/>
      <c r="E219" s="3"/>
      <c r="F219" s="3"/>
      <c r="G219" s="3"/>
      <c r="H219" s="3"/>
      <c r="I219" s="639"/>
      <c r="J219" s="100"/>
      <c r="K219" s="100"/>
      <c r="L219" s="100"/>
    </row>
    <row r="220">
      <c r="A220" s="3"/>
      <c r="B220" s="595"/>
      <c r="C220" s="3"/>
      <c r="D220" s="542"/>
      <c r="E220" s="3"/>
      <c r="F220" s="3"/>
      <c r="G220" s="3"/>
      <c r="H220" s="3"/>
      <c r="I220" s="639"/>
      <c r="J220" s="100"/>
      <c r="K220" s="100"/>
      <c r="L220" s="100"/>
    </row>
    <row r="221">
      <c r="A221" s="3"/>
      <c r="B221" s="595"/>
      <c r="C221" s="3"/>
      <c r="D221" s="542"/>
      <c r="E221" s="3"/>
      <c r="F221" s="3"/>
      <c r="G221" s="3"/>
      <c r="H221" s="3"/>
      <c r="I221" s="639"/>
      <c r="J221" s="100"/>
      <c r="K221" s="100"/>
      <c r="L221" s="100"/>
    </row>
    <row r="222">
      <c r="A222" s="3"/>
      <c r="B222" s="648" t="s">
        <v>1117</v>
      </c>
      <c r="C222" s="3" t="str">
        <f t="shared" ref="C222:C230" si="12">"=&gt;"</f>
        <v>=&gt;</v>
      </c>
      <c r="D222" s="649" t="s">
        <v>14</v>
      </c>
      <c r="E222" s="7" t="s">
        <v>30</v>
      </c>
      <c r="F222" s="7" t="s">
        <v>32</v>
      </c>
      <c r="G222" s="3"/>
      <c r="H222" s="3"/>
      <c r="I222" s="639"/>
      <c r="J222" s="100"/>
      <c r="K222" s="100"/>
      <c r="L222" s="100"/>
    </row>
    <row r="223">
      <c r="A223" s="3"/>
      <c r="B223" s="648" t="s">
        <v>1117</v>
      </c>
      <c r="C223" s="3" t="str">
        <f t="shared" si="12"/>
        <v>=&gt;</v>
      </c>
      <c r="D223" s="649" t="s">
        <v>14</v>
      </c>
      <c r="E223" s="7" t="s">
        <v>62</v>
      </c>
      <c r="F223" s="7" t="s">
        <v>64</v>
      </c>
      <c r="G223" s="3"/>
      <c r="H223" s="3"/>
      <c r="I223" s="639"/>
      <c r="J223" s="100"/>
      <c r="K223" s="100"/>
      <c r="L223" s="100"/>
    </row>
    <row r="224">
      <c r="A224" s="3"/>
      <c r="B224" s="648" t="s">
        <v>1117</v>
      </c>
      <c r="C224" s="3" t="str">
        <f t="shared" si="12"/>
        <v>=&gt;</v>
      </c>
      <c r="D224" s="649" t="s">
        <v>14</v>
      </c>
      <c r="E224" s="3"/>
      <c r="F224" s="3"/>
      <c r="G224" s="3"/>
      <c r="H224" s="3"/>
      <c r="I224" s="639"/>
      <c r="J224" s="100"/>
      <c r="K224" s="100"/>
      <c r="L224" s="100"/>
    </row>
    <row r="225">
      <c r="A225" s="3"/>
      <c r="B225" s="648" t="s">
        <v>1117</v>
      </c>
      <c r="C225" s="3" t="str">
        <f t="shared" si="12"/>
        <v>=&gt;</v>
      </c>
      <c r="D225" s="649" t="s">
        <v>14</v>
      </c>
      <c r="E225" s="7" t="s">
        <v>180</v>
      </c>
      <c r="F225" s="7" t="s">
        <v>14</v>
      </c>
      <c r="G225" s="3"/>
      <c r="H225" s="3"/>
      <c r="I225" s="639"/>
      <c r="J225" s="100"/>
      <c r="K225" s="100"/>
      <c r="L225" s="100"/>
    </row>
    <row r="226">
      <c r="A226" s="3">
        <f t="shared" ref="A226:A230" si="13">ROW()</f>
        <v>226</v>
      </c>
      <c r="B226" s="648" t="s">
        <v>1117</v>
      </c>
      <c r="C226" s="3" t="str">
        <f t="shared" si="12"/>
        <v>=&gt;</v>
      </c>
      <c r="D226" s="649" t="s">
        <v>62</v>
      </c>
      <c r="E226" s="7" t="s">
        <v>1117</v>
      </c>
      <c r="F226" s="7" t="s">
        <v>64</v>
      </c>
      <c r="G226" s="3"/>
      <c r="H226" s="3"/>
      <c r="I226" s="639"/>
      <c r="J226" s="100"/>
      <c r="K226" s="100"/>
      <c r="L226" s="100"/>
    </row>
    <row r="227">
      <c r="A227" s="3">
        <f t="shared" si="13"/>
        <v>227</v>
      </c>
      <c r="B227" s="648" t="s">
        <v>1117</v>
      </c>
      <c r="C227" s="3" t="str">
        <f t="shared" si="12"/>
        <v>=&gt;</v>
      </c>
      <c r="D227" s="649" t="s">
        <v>1117</v>
      </c>
      <c r="E227" s="7" t="s">
        <v>1124</v>
      </c>
      <c r="F227" s="3"/>
      <c r="G227" s="3"/>
      <c r="H227" s="3"/>
      <c r="I227" s="639"/>
      <c r="J227" s="100"/>
      <c r="K227" s="100"/>
      <c r="L227" s="100"/>
    </row>
    <row r="228">
      <c r="A228" s="3">
        <f t="shared" si="13"/>
        <v>228</v>
      </c>
      <c r="B228" s="648" t="s">
        <v>1124</v>
      </c>
      <c r="C228" s="3" t="str">
        <f t="shared" si="12"/>
        <v>=&gt;</v>
      </c>
      <c r="D228" s="649" t="s">
        <v>121</v>
      </c>
      <c r="E228" s="7" t="s">
        <v>1117</v>
      </c>
      <c r="F228" s="3"/>
      <c r="G228" s="3"/>
      <c r="H228" s="3"/>
      <c r="I228" s="639"/>
      <c r="J228" s="100"/>
      <c r="K228" s="100"/>
      <c r="L228" s="100"/>
    </row>
    <row r="229">
      <c r="A229" s="3">
        <f t="shared" si="13"/>
        <v>229</v>
      </c>
      <c r="B229" s="648" t="s">
        <v>1124</v>
      </c>
      <c r="C229" s="3" t="str">
        <f t="shared" si="12"/>
        <v>=&gt;</v>
      </c>
      <c r="D229" s="649" t="s">
        <v>120</v>
      </c>
      <c r="E229" s="7" t="s">
        <v>1117</v>
      </c>
      <c r="F229" s="3"/>
      <c r="G229" s="3"/>
      <c r="H229" s="3"/>
      <c r="I229" s="639"/>
      <c r="J229" s="100"/>
      <c r="K229" s="100"/>
      <c r="L229" s="100"/>
    </row>
    <row r="230">
      <c r="A230" s="3">
        <f t="shared" si="13"/>
        <v>230</v>
      </c>
      <c r="B230" s="595"/>
      <c r="C230" s="3" t="str">
        <f t="shared" si="12"/>
        <v>=&gt;</v>
      </c>
      <c r="D230" s="542"/>
      <c r="E230" s="3"/>
      <c r="F230" s="3"/>
      <c r="G230" s="3"/>
      <c r="H230" s="3"/>
      <c r="I230" s="639"/>
      <c r="J230" s="100"/>
      <c r="K230" s="100"/>
      <c r="L230" s="100"/>
    </row>
    <row r="231">
      <c r="A231" s="3"/>
      <c r="B231" s="595"/>
      <c r="C231" s="3"/>
      <c r="D231" s="542"/>
      <c r="E231" s="3"/>
      <c r="F231" s="3"/>
      <c r="G231" s="3"/>
      <c r="H231" s="3"/>
      <c r="I231" s="639"/>
      <c r="J231" s="100"/>
      <c r="K231" s="100"/>
      <c r="L231" s="100"/>
    </row>
    <row r="232">
      <c r="A232" s="3"/>
      <c r="B232" s="595"/>
      <c r="C232" s="3"/>
      <c r="D232" s="542"/>
      <c r="E232" s="3"/>
      <c r="F232" s="3"/>
      <c r="G232" s="3"/>
      <c r="H232" s="3"/>
      <c r="I232" s="639"/>
      <c r="J232" s="100"/>
      <c r="K232" s="100"/>
      <c r="L232" s="100"/>
    </row>
    <row r="233">
      <c r="A233" s="3"/>
      <c r="B233" s="595"/>
      <c r="C233" s="3"/>
      <c r="D233" s="542"/>
      <c r="E233" s="3"/>
      <c r="F233" s="3"/>
      <c r="G233" s="3"/>
      <c r="H233" s="3"/>
      <c r="I233" s="639"/>
      <c r="J233" s="100"/>
      <c r="K233" s="100"/>
      <c r="L233" s="100"/>
    </row>
    <row r="234">
      <c r="A234" s="3"/>
      <c r="B234" s="648" t="s">
        <v>1118</v>
      </c>
      <c r="C234" s="3" t="str">
        <f t="shared" ref="C234:C243" si="14">"=&gt;"</f>
        <v>=&gt;</v>
      </c>
      <c r="D234" s="649" t="s">
        <v>14</v>
      </c>
      <c r="E234" s="7" t="s">
        <v>30</v>
      </c>
      <c r="F234" s="7" t="s">
        <v>32</v>
      </c>
      <c r="G234" s="3"/>
      <c r="H234" s="3"/>
      <c r="I234" s="639"/>
      <c r="J234" s="100"/>
      <c r="K234" s="100"/>
      <c r="L234" s="100"/>
    </row>
    <row r="235">
      <c r="A235" s="3"/>
      <c r="B235" s="648" t="s">
        <v>1118</v>
      </c>
      <c r="C235" s="3" t="str">
        <f t="shared" si="14"/>
        <v>=&gt;</v>
      </c>
      <c r="D235" s="649" t="s">
        <v>14</v>
      </c>
      <c r="E235" s="7" t="s">
        <v>62</v>
      </c>
      <c r="F235" s="7" t="s">
        <v>64</v>
      </c>
      <c r="G235" s="3"/>
      <c r="H235" s="3"/>
      <c r="I235" s="639"/>
      <c r="J235" s="100"/>
      <c r="K235" s="100"/>
      <c r="L235" s="100"/>
    </row>
    <row r="236">
      <c r="A236" s="3"/>
      <c r="B236" s="648" t="s">
        <v>1118</v>
      </c>
      <c r="C236" s="3" t="str">
        <f t="shared" si="14"/>
        <v>=&gt;</v>
      </c>
      <c r="D236" s="649" t="s">
        <v>14</v>
      </c>
      <c r="E236" s="3"/>
      <c r="F236" s="3"/>
      <c r="G236" s="3"/>
      <c r="H236" s="3"/>
      <c r="I236" s="639"/>
      <c r="J236" s="100"/>
      <c r="K236" s="100"/>
      <c r="L236" s="100"/>
    </row>
    <row r="237">
      <c r="A237" s="3"/>
      <c r="B237" s="648" t="s">
        <v>1118</v>
      </c>
      <c r="C237" s="3" t="str">
        <f t="shared" si="14"/>
        <v>=&gt;</v>
      </c>
      <c r="D237" s="649" t="s">
        <v>14</v>
      </c>
      <c r="E237" s="7" t="s">
        <v>180</v>
      </c>
      <c r="F237" s="7" t="s">
        <v>14</v>
      </c>
      <c r="G237" s="3"/>
      <c r="H237" s="3"/>
      <c r="I237" s="639"/>
      <c r="J237" s="100"/>
      <c r="K237" s="100"/>
      <c r="L237" s="100"/>
    </row>
    <row r="238">
      <c r="A238" s="3"/>
      <c r="B238" s="648" t="s">
        <v>1118</v>
      </c>
      <c r="C238" s="3" t="str">
        <f t="shared" si="14"/>
        <v>=&gt;</v>
      </c>
      <c r="D238" s="649" t="s">
        <v>62</v>
      </c>
      <c r="E238" s="7" t="s">
        <v>1118</v>
      </c>
      <c r="F238" s="7" t="s">
        <v>64</v>
      </c>
      <c r="G238" s="3"/>
      <c r="H238" s="3"/>
      <c r="I238" s="639"/>
      <c r="J238" s="100"/>
      <c r="K238" s="100"/>
      <c r="L238" s="100"/>
    </row>
    <row r="239">
      <c r="A239" s="3">
        <f t="shared" ref="A239:A341" si="15">ROW()</f>
        <v>239</v>
      </c>
      <c r="B239" s="648" t="s">
        <v>1118</v>
      </c>
      <c r="C239" s="3" t="str">
        <f t="shared" si="14"/>
        <v>=&gt;</v>
      </c>
      <c r="D239" s="649" t="s">
        <v>1118</v>
      </c>
      <c r="E239" s="7" t="s">
        <v>1125</v>
      </c>
      <c r="F239" s="3"/>
      <c r="G239" s="3"/>
      <c r="H239" s="3"/>
      <c r="I239" s="639"/>
      <c r="J239" s="100"/>
      <c r="K239" s="100"/>
      <c r="L239" s="100"/>
    </row>
    <row r="240">
      <c r="A240" s="3">
        <f t="shared" si="15"/>
        <v>240</v>
      </c>
      <c r="B240" s="648" t="s">
        <v>1118</v>
      </c>
      <c r="C240" s="3" t="str">
        <f t="shared" si="14"/>
        <v>=&gt;</v>
      </c>
      <c r="D240" s="649" t="s">
        <v>1117</v>
      </c>
      <c r="E240" s="7" t="s">
        <v>1126</v>
      </c>
      <c r="F240" s="3"/>
      <c r="G240" s="3"/>
      <c r="H240" s="3"/>
      <c r="I240" s="639"/>
      <c r="J240" s="100"/>
      <c r="K240" s="100"/>
      <c r="L240" s="100"/>
    </row>
    <row r="241">
      <c r="A241" s="3">
        <f t="shared" si="15"/>
        <v>241</v>
      </c>
      <c r="B241" s="648" t="s">
        <v>1125</v>
      </c>
      <c r="C241" s="3" t="str">
        <f t="shared" si="14"/>
        <v>=&gt;</v>
      </c>
      <c r="D241" s="649" t="s">
        <v>120</v>
      </c>
      <c r="E241" s="7" t="s">
        <v>1127</v>
      </c>
      <c r="F241" s="3"/>
      <c r="G241" s="3"/>
      <c r="H241" s="3"/>
      <c r="I241" s="639"/>
      <c r="J241" s="100"/>
      <c r="K241" s="100"/>
      <c r="L241" s="100"/>
    </row>
    <row r="242">
      <c r="A242" s="3">
        <f t="shared" si="15"/>
        <v>242</v>
      </c>
      <c r="B242" s="648" t="s">
        <v>1126</v>
      </c>
      <c r="C242" s="3" t="str">
        <f t="shared" si="14"/>
        <v>=&gt;</v>
      </c>
      <c r="D242" s="649" t="s">
        <v>120</v>
      </c>
      <c r="E242" s="7" t="s">
        <v>1118</v>
      </c>
      <c r="F242" s="3"/>
      <c r="G242" s="3"/>
      <c r="H242" s="3"/>
      <c r="I242" s="639"/>
      <c r="J242" s="100"/>
      <c r="K242" s="100"/>
      <c r="L242" s="100"/>
    </row>
    <row r="243">
      <c r="A243" s="3">
        <f t="shared" si="15"/>
        <v>243</v>
      </c>
      <c r="B243" s="595"/>
      <c r="C243" s="3" t="str">
        <f t="shared" si="14"/>
        <v>=&gt;</v>
      </c>
      <c r="D243" s="542"/>
      <c r="E243" s="3"/>
      <c r="F243" s="3"/>
      <c r="G243" s="3"/>
      <c r="H243" s="3"/>
      <c r="I243" s="639"/>
      <c r="J243" s="100"/>
      <c r="K243" s="100"/>
      <c r="L243" s="100"/>
    </row>
    <row r="244">
      <c r="A244" s="3">
        <f t="shared" si="15"/>
        <v>244</v>
      </c>
      <c r="B244" s="648"/>
      <c r="C244" s="3"/>
      <c r="D244" s="649"/>
      <c r="E244" s="7"/>
      <c r="F244" s="3"/>
      <c r="G244" s="3"/>
      <c r="H244" s="3"/>
      <c r="I244" s="639"/>
      <c r="J244" s="100"/>
      <c r="K244" s="100"/>
      <c r="L244" s="100"/>
    </row>
    <row r="245">
      <c r="A245" s="3">
        <f t="shared" si="15"/>
        <v>245</v>
      </c>
      <c r="B245" s="648"/>
      <c r="C245" s="3"/>
      <c r="D245" s="649"/>
      <c r="E245" s="7"/>
      <c r="F245" s="3"/>
      <c r="G245" s="3"/>
      <c r="H245" s="3"/>
      <c r="I245" s="639"/>
      <c r="J245" s="100"/>
      <c r="K245" s="100"/>
      <c r="L245" s="100"/>
    </row>
    <row r="246">
      <c r="A246" s="3">
        <f t="shared" si="15"/>
        <v>246</v>
      </c>
      <c r="B246" s="595"/>
      <c r="C246" s="3"/>
      <c r="D246" s="542"/>
      <c r="E246" s="3"/>
      <c r="F246" s="3"/>
      <c r="G246" s="3"/>
      <c r="H246" s="3"/>
      <c r="I246" s="639"/>
      <c r="J246" s="100"/>
      <c r="K246" s="100"/>
      <c r="L246" s="100"/>
    </row>
    <row r="247">
      <c r="A247" s="3">
        <f t="shared" si="15"/>
        <v>247</v>
      </c>
      <c r="B247" s="595"/>
      <c r="C247" s="3"/>
      <c r="D247" s="542"/>
      <c r="E247" s="3"/>
      <c r="F247" s="3"/>
      <c r="G247" s="3"/>
      <c r="H247" s="3"/>
      <c r="I247" s="639"/>
      <c r="J247" s="100"/>
      <c r="K247" s="100"/>
      <c r="L247" s="100"/>
    </row>
    <row r="248">
      <c r="A248" s="3">
        <f t="shared" si="15"/>
        <v>248</v>
      </c>
      <c r="B248" s="595"/>
      <c r="C248" s="3"/>
      <c r="D248" s="542"/>
      <c r="E248" s="3"/>
      <c r="F248" s="3"/>
      <c r="G248" s="3"/>
      <c r="H248" s="3"/>
      <c r="I248" s="639"/>
      <c r="J248" s="100"/>
      <c r="K248" s="100"/>
      <c r="L248" s="100"/>
    </row>
    <row r="249">
      <c r="A249" s="3">
        <f t="shared" si="15"/>
        <v>249</v>
      </c>
      <c r="B249" s="595"/>
      <c r="C249" s="3"/>
      <c r="D249" s="542"/>
      <c r="E249" s="3"/>
      <c r="F249" s="3"/>
      <c r="G249" s="3"/>
      <c r="H249" s="3"/>
      <c r="I249" s="639"/>
      <c r="J249" s="100"/>
      <c r="K249" s="100"/>
      <c r="L249" s="100"/>
    </row>
    <row r="250">
      <c r="A250" s="3">
        <f t="shared" si="15"/>
        <v>250</v>
      </c>
      <c r="B250" s="595"/>
      <c r="C250" s="3" t="str">
        <f t="shared" ref="C250:C322" si="16">"=&gt;"</f>
        <v>=&gt;</v>
      </c>
      <c r="D250" s="542"/>
      <c r="E250" s="3"/>
      <c r="F250" s="3"/>
      <c r="G250" s="3"/>
      <c r="H250" s="3"/>
      <c r="I250" s="639"/>
      <c r="J250" s="100"/>
      <c r="K250" s="100"/>
      <c r="L250" s="100"/>
    </row>
    <row r="251">
      <c r="A251" s="3">
        <f t="shared" si="15"/>
        <v>251</v>
      </c>
      <c r="B251" s="595"/>
      <c r="C251" s="3" t="str">
        <f t="shared" si="16"/>
        <v>=&gt;</v>
      </c>
      <c r="D251" s="542"/>
      <c r="E251" s="3"/>
      <c r="F251" s="3"/>
      <c r="G251" s="3"/>
      <c r="H251" s="3"/>
      <c r="I251" s="639"/>
      <c r="J251" s="100"/>
      <c r="K251" s="100"/>
      <c r="L251" s="100"/>
    </row>
    <row r="252">
      <c r="A252" s="3">
        <f t="shared" si="15"/>
        <v>252</v>
      </c>
      <c r="B252" s="595"/>
      <c r="C252" s="3" t="str">
        <f t="shared" si="16"/>
        <v>=&gt;</v>
      </c>
      <c r="D252" s="542"/>
      <c r="E252" s="3"/>
      <c r="F252" s="3"/>
      <c r="G252" s="3"/>
      <c r="H252" s="3"/>
      <c r="I252" s="639"/>
      <c r="J252" s="100"/>
      <c r="K252" s="100"/>
      <c r="L252" s="100"/>
    </row>
    <row r="253">
      <c r="A253" s="3">
        <f t="shared" si="15"/>
        <v>253</v>
      </c>
      <c r="B253" s="595"/>
      <c r="C253" s="3" t="str">
        <f t="shared" si="16"/>
        <v>=&gt;</v>
      </c>
      <c r="D253" s="542"/>
      <c r="E253" s="3"/>
      <c r="F253" s="3"/>
      <c r="G253" s="3"/>
      <c r="H253" s="3"/>
      <c r="I253" s="639"/>
      <c r="J253" s="100"/>
      <c r="K253" s="100"/>
      <c r="L253" s="100"/>
    </row>
    <row r="254">
      <c r="A254" s="3">
        <f t="shared" si="15"/>
        <v>254</v>
      </c>
      <c r="B254" s="595"/>
      <c r="C254" s="3" t="str">
        <f t="shared" si="16"/>
        <v>=&gt;</v>
      </c>
      <c r="D254" s="542"/>
      <c r="E254" s="3"/>
      <c r="F254" s="3"/>
      <c r="G254" s="3"/>
      <c r="H254" s="3"/>
      <c r="I254" s="639"/>
      <c r="J254" s="100"/>
      <c r="K254" s="100"/>
      <c r="L254" s="100"/>
    </row>
    <row r="255">
      <c r="A255" s="3">
        <f t="shared" si="15"/>
        <v>255</v>
      </c>
      <c r="B255" s="595"/>
      <c r="C255" s="3" t="str">
        <f t="shared" si="16"/>
        <v>=&gt;</v>
      </c>
      <c r="D255" s="542"/>
      <c r="E255" s="3"/>
      <c r="F255" s="3"/>
      <c r="G255" s="3"/>
      <c r="H255" s="3"/>
      <c r="I255" s="639"/>
      <c r="J255" s="100"/>
      <c r="K255" s="100"/>
      <c r="L255" s="100"/>
    </row>
    <row r="256">
      <c r="A256" s="3">
        <f t="shared" si="15"/>
        <v>256</v>
      </c>
      <c r="B256" s="595"/>
      <c r="C256" s="3" t="str">
        <f t="shared" si="16"/>
        <v>=&gt;</v>
      </c>
      <c r="D256" s="542"/>
      <c r="E256" s="3"/>
      <c r="F256" s="3"/>
      <c r="G256" s="3"/>
      <c r="H256" s="3"/>
      <c r="I256" s="639"/>
      <c r="J256" s="100"/>
      <c r="K256" s="100"/>
      <c r="L256" s="100"/>
    </row>
    <row r="257">
      <c r="A257" s="3">
        <f t="shared" si="15"/>
        <v>257</v>
      </c>
      <c r="B257" s="595"/>
      <c r="C257" s="3" t="str">
        <f t="shared" si="16"/>
        <v>=&gt;</v>
      </c>
      <c r="D257" s="542"/>
      <c r="E257" s="3"/>
      <c r="F257" s="3"/>
      <c r="G257" s="3"/>
      <c r="H257" s="3"/>
      <c r="I257" s="639"/>
      <c r="J257" s="100"/>
      <c r="K257" s="100"/>
      <c r="L257" s="100"/>
    </row>
    <row r="258">
      <c r="A258" s="3">
        <f t="shared" si="15"/>
        <v>258</v>
      </c>
      <c r="B258" s="595"/>
      <c r="C258" s="3" t="str">
        <f t="shared" si="16"/>
        <v>=&gt;</v>
      </c>
      <c r="D258" s="542"/>
      <c r="E258" s="3"/>
      <c r="F258" s="3"/>
      <c r="G258" s="3"/>
      <c r="H258" s="3"/>
      <c r="I258" s="639"/>
      <c r="J258" s="100"/>
      <c r="K258" s="100"/>
      <c r="L258" s="100"/>
    </row>
    <row r="259">
      <c r="A259" s="3">
        <f t="shared" si="15"/>
        <v>259</v>
      </c>
      <c r="B259" s="595"/>
      <c r="C259" s="3" t="str">
        <f t="shared" si="16"/>
        <v>=&gt;</v>
      </c>
      <c r="D259" s="542"/>
      <c r="E259" s="3"/>
      <c r="F259" s="3"/>
      <c r="G259" s="3"/>
      <c r="H259" s="3"/>
      <c r="I259" s="639"/>
      <c r="J259" s="100"/>
      <c r="K259" s="100"/>
      <c r="L259" s="100"/>
    </row>
    <row r="260">
      <c r="A260" s="3">
        <f t="shared" si="15"/>
        <v>260</v>
      </c>
      <c r="B260" s="595"/>
      <c r="C260" s="3" t="str">
        <f t="shared" si="16"/>
        <v>=&gt;</v>
      </c>
      <c r="D260" s="542"/>
      <c r="E260" s="3"/>
      <c r="F260" s="3"/>
      <c r="G260" s="3"/>
      <c r="H260" s="3"/>
      <c r="I260" s="639"/>
      <c r="J260" s="100"/>
      <c r="K260" s="100"/>
      <c r="L260" s="100"/>
    </row>
    <row r="261">
      <c r="A261" s="3">
        <f t="shared" si="15"/>
        <v>261</v>
      </c>
      <c r="B261" s="595"/>
      <c r="C261" s="3" t="str">
        <f t="shared" si="16"/>
        <v>=&gt;</v>
      </c>
      <c r="D261" s="542"/>
      <c r="E261" s="3"/>
      <c r="F261" s="3"/>
      <c r="G261" s="3"/>
      <c r="H261" s="3"/>
      <c r="I261" s="639"/>
      <c r="J261" s="100"/>
      <c r="K261" s="100"/>
      <c r="L261" s="100"/>
    </row>
    <row r="262">
      <c r="A262" s="3">
        <f t="shared" si="15"/>
        <v>262</v>
      </c>
      <c r="B262" s="595"/>
      <c r="C262" s="3" t="str">
        <f t="shared" si="16"/>
        <v>=&gt;</v>
      </c>
      <c r="D262" s="542"/>
      <c r="E262" s="3"/>
      <c r="F262" s="3"/>
      <c r="G262" s="3"/>
      <c r="H262" s="3"/>
      <c r="I262" s="639"/>
      <c r="J262" s="100"/>
      <c r="K262" s="100"/>
      <c r="L262" s="100"/>
    </row>
    <row r="263">
      <c r="A263" s="3">
        <f t="shared" si="15"/>
        <v>263</v>
      </c>
      <c r="B263" s="595"/>
      <c r="C263" s="3" t="str">
        <f t="shared" si="16"/>
        <v>=&gt;</v>
      </c>
      <c r="D263" s="542"/>
      <c r="E263" s="3"/>
      <c r="F263" s="3"/>
      <c r="G263" s="3"/>
      <c r="H263" s="3"/>
      <c r="I263" s="639"/>
      <c r="J263" s="100"/>
      <c r="K263" s="100"/>
      <c r="L263" s="100"/>
    </row>
    <row r="264">
      <c r="A264" s="3">
        <f t="shared" si="15"/>
        <v>264</v>
      </c>
      <c r="B264" s="595"/>
      <c r="C264" s="3" t="str">
        <f t="shared" si="16"/>
        <v>=&gt;</v>
      </c>
      <c r="D264" s="542"/>
      <c r="E264" s="3"/>
      <c r="F264" s="3"/>
      <c r="G264" s="3"/>
      <c r="H264" s="3"/>
      <c r="I264" s="639"/>
      <c r="J264" s="100"/>
      <c r="K264" s="100"/>
      <c r="L264" s="100"/>
    </row>
    <row r="265">
      <c r="A265" s="3">
        <f t="shared" si="15"/>
        <v>265</v>
      </c>
      <c r="B265" s="595"/>
      <c r="C265" s="3" t="str">
        <f t="shared" si="16"/>
        <v>=&gt;</v>
      </c>
      <c r="D265" s="542"/>
      <c r="E265" s="3"/>
      <c r="F265" s="3"/>
      <c r="G265" s="3"/>
      <c r="H265" s="3"/>
      <c r="I265" s="639"/>
      <c r="J265" s="100"/>
      <c r="K265" s="100"/>
      <c r="L265" s="100"/>
    </row>
    <row r="266">
      <c r="A266" s="3">
        <f t="shared" si="15"/>
        <v>266</v>
      </c>
      <c r="B266" s="595"/>
      <c r="C266" s="3" t="str">
        <f t="shared" si="16"/>
        <v>=&gt;</v>
      </c>
      <c r="D266" s="542"/>
      <c r="E266" s="3"/>
      <c r="F266" s="3"/>
      <c r="G266" s="3"/>
      <c r="H266" s="3"/>
      <c r="I266" s="639"/>
      <c r="J266" s="100"/>
      <c r="K266" s="100"/>
      <c r="L266" s="100"/>
    </row>
    <row r="267">
      <c r="A267" s="3">
        <f t="shared" si="15"/>
        <v>267</v>
      </c>
      <c r="B267" s="595"/>
      <c r="C267" s="3" t="str">
        <f t="shared" si="16"/>
        <v>=&gt;</v>
      </c>
      <c r="D267" s="542"/>
      <c r="E267" s="3"/>
      <c r="F267" s="3"/>
      <c r="G267" s="3"/>
      <c r="H267" s="3"/>
      <c r="I267" s="639"/>
      <c r="J267" s="100"/>
      <c r="K267" s="100"/>
      <c r="L267" s="100"/>
    </row>
    <row r="268">
      <c r="A268" s="3">
        <f t="shared" si="15"/>
        <v>268</v>
      </c>
      <c r="B268" s="595"/>
      <c r="C268" s="3" t="str">
        <f t="shared" si="16"/>
        <v>=&gt;</v>
      </c>
      <c r="D268" s="542"/>
      <c r="E268" s="3"/>
      <c r="F268" s="3"/>
      <c r="G268" s="3"/>
      <c r="H268" s="3"/>
      <c r="I268" s="639"/>
      <c r="J268" s="100"/>
      <c r="K268" s="100"/>
      <c r="L268" s="100"/>
    </row>
    <row r="269">
      <c r="A269" s="3">
        <f t="shared" si="15"/>
        <v>269</v>
      </c>
      <c r="B269" s="595"/>
      <c r="C269" s="3" t="str">
        <f t="shared" si="16"/>
        <v>=&gt;</v>
      </c>
      <c r="D269" s="542"/>
      <c r="E269" s="3"/>
      <c r="F269" s="3"/>
      <c r="G269" s="3"/>
      <c r="H269" s="3"/>
      <c r="I269" s="639"/>
      <c r="J269" s="100"/>
      <c r="K269" s="100"/>
      <c r="L269" s="100"/>
    </row>
    <row r="270">
      <c r="A270" s="3">
        <f t="shared" si="15"/>
        <v>270</v>
      </c>
      <c r="B270" s="595"/>
      <c r="C270" s="3" t="str">
        <f t="shared" si="16"/>
        <v>=&gt;</v>
      </c>
      <c r="D270" s="542"/>
      <c r="E270" s="3"/>
      <c r="F270" s="3"/>
      <c r="G270" s="3"/>
      <c r="H270" s="3"/>
      <c r="I270" s="639"/>
      <c r="J270" s="100"/>
      <c r="K270" s="100"/>
      <c r="L270" s="100"/>
    </row>
    <row r="271">
      <c r="A271" s="3">
        <f t="shared" si="15"/>
        <v>271</v>
      </c>
      <c r="B271" s="595"/>
      <c r="C271" s="3" t="str">
        <f t="shared" si="16"/>
        <v>=&gt;</v>
      </c>
      <c r="D271" s="542"/>
      <c r="E271" s="3"/>
      <c r="F271" s="3"/>
      <c r="G271" s="3"/>
      <c r="H271" s="3"/>
      <c r="I271" s="639"/>
      <c r="J271" s="100"/>
      <c r="K271" s="100"/>
      <c r="L271" s="100"/>
    </row>
    <row r="272">
      <c r="A272" s="3">
        <f t="shared" si="15"/>
        <v>272</v>
      </c>
      <c r="B272" s="595"/>
      <c r="C272" s="3" t="str">
        <f t="shared" si="16"/>
        <v>=&gt;</v>
      </c>
      <c r="D272" s="542"/>
      <c r="E272" s="3"/>
      <c r="F272" s="3"/>
      <c r="G272" s="3"/>
      <c r="H272" s="3"/>
      <c r="I272" s="639"/>
      <c r="J272" s="100"/>
      <c r="K272" s="100"/>
      <c r="L272" s="100"/>
    </row>
    <row r="273">
      <c r="A273" s="3">
        <f t="shared" si="15"/>
        <v>273</v>
      </c>
      <c r="B273" s="595"/>
      <c r="C273" s="3" t="str">
        <f t="shared" si="16"/>
        <v>=&gt;</v>
      </c>
      <c r="D273" s="542"/>
      <c r="E273" s="3"/>
      <c r="F273" s="3"/>
      <c r="G273" s="3"/>
      <c r="H273" s="3"/>
      <c r="I273" s="639"/>
      <c r="J273" s="100"/>
      <c r="K273" s="100"/>
      <c r="L273" s="100"/>
    </row>
    <row r="274">
      <c r="A274" s="3">
        <f t="shared" si="15"/>
        <v>274</v>
      </c>
      <c r="B274" s="595"/>
      <c r="C274" s="3" t="str">
        <f t="shared" si="16"/>
        <v>=&gt;</v>
      </c>
      <c r="D274" s="542"/>
      <c r="E274" s="3"/>
      <c r="F274" s="3"/>
      <c r="G274" s="3"/>
      <c r="H274" s="3"/>
      <c r="I274" s="639"/>
      <c r="J274" s="100"/>
      <c r="K274" s="100"/>
      <c r="L274" s="100"/>
    </row>
    <row r="275">
      <c r="A275" s="3">
        <f t="shared" si="15"/>
        <v>275</v>
      </c>
      <c r="B275" s="595"/>
      <c r="C275" s="3" t="str">
        <f t="shared" si="16"/>
        <v>=&gt;</v>
      </c>
      <c r="D275" s="542"/>
      <c r="E275" s="3"/>
      <c r="F275" s="3"/>
      <c r="G275" s="3"/>
      <c r="H275" s="3"/>
      <c r="I275" s="639"/>
      <c r="J275" s="100"/>
      <c r="K275" s="100"/>
      <c r="L275" s="100"/>
    </row>
    <row r="276">
      <c r="A276" s="3">
        <f t="shared" si="15"/>
        <v>276</v>
      </c>
      <c r="B276" s="595"/>
      <c r="C276" s="3" t="str">
        <f t="shared" si="16"/>
        <v>=&gt;</v>
      </c>
      <c r="D276" s="542"/>
      <c r="E276" s="3"/>
      <c r="F276" s="3"/>
      <c r="G276" s="3"/>
      <c r="H276" s="3"/>
      <c r="I276" s="639"/>
      <c r="J276" s="100"/>
      <c r="K276" s="100"/>
      <c r="L276" s="100"/>
    </row>
    <row r="277">
      <c r="A277" s="3">
        <f t="shared" si="15"/>
        <v>277</v>
      </c>
      <c r="B277" s="595"/>
      <c r="C277" s="3" t="str">
        <f t="shared" si="16"/>
        <v>=&gt;</v>
      </c>
      <c r="D277" s="542"/>
      <c r="E277" s="3"/>
      <c r="F277" s="3"/>
      <c r="G277" s="3"/>
      <c r="H277" s="3"/>
      <c r="I277" s="639"/>
      <c r="J277" s="100"/>
      <c r="K277" s="100"/>
      <c r="L277" s="100"/>
    </row>
    <row r="278">
      <c r="A278" s="3">
        <f t="shared" si="15"/>
        <v>278</v>
      </c>
      <c r="B278" s="595"/>
      <c r="C278" s="3" t="str">
        <f t="shared" si="16"/>
        <v>=&gt;</v>
      </c>
      <c r="D278" s="542"/>
      <c r="E278" s="3"/>
      <c r="F278" s="3"/>
      <c r="G278" s="3"/>
      <c r="H278" s="3"/>
      <c r="I278" s="639"/>
      <c r="J278" s="100"/>
      <c r="K278" s="100"/>
      <c r="L278" s="100"/>
    </row>
    <row r="279">
      <c r="A279" s="3">
        <f t="shared" si="15"/>
        <v>279</v>
      </c>
      <c r="B279" s="595"/>
      <c r="C279" s="3" t="str">
        <f t="shared" si="16"/>
        <v>=&gt;</v>
      </c>
      <c r="D279" s="542"/>
      <c r="E279" s="3"/>
      <c r="F279" s="3"/>
      <c r="G279" s="3"/>
      <c r="H279" s="3"/>
      <c r="I279" s="639"/>
      <c r="J279" s="100"/>
      <c r="K279" s="100"/>
      <c r="L279" s="100"/>
    </row>
    <row r="280">
      <c r="A280" s="3">
        <f t="shared" si="15"/>
        <v>280</v>
      </c>
      <c r="B280" s="595"/>
      <c r="C280" s="3" t="str">
        <f t="shared" si="16"/>
        <v>=&gt;</v>
      </c>
      <c r="D280" s="542"/>
      <c r="E280" s="3"/>
      <c r="F280" s="3"/>
      <c r="G280" s="3"/>
      <c r="H280" s="3"/>
      <c r="I280" s="639"/>
      <c r="J280" s="100"/>
      <c r="K280" s="100"/>
      <c r="L280" s="100"/>
    </row>
    <row r="281">
      <c r="A281" s="3">
        <f t="shared" si="15"/>
        <v>281</v>
      </c>
      <c r="B281" s="595"/>
      <c r="C281" s="3" t="str">
        <f t="shared" si="16"/>
        <v>=&gt;</v>
      </c>
      <c r="D281" s="542"/>
      <c r="E281" s="3"/>
      <c r="F281" s="3"/>
      <c r="G281" s="3"/>
      <c r="H281" s="3"/>
      <c r="I281" s="639"/>
      <c r="J281" s="100"/>
      <c r="K281" s="100"/>
      <c r="L281" s="100"/>
    </row>
    <row r="282">
      <c r="A282" s="3">
        <f t="shared" si="15"/>
        <v>282</v>
      </c>
      <c r="B282" s="595"/>
      <c r="C282" s="3" t="str">
        <f t="shared" si="16"/>
        <v>=&gt;</v>
      </c>
      <c r="D282" s="542"/>
      <c r="E282" s="3"/>
      <c r="F282" s="3"/>
      <c r="G282" s="3"/>
      <c r="H282" s="3"/>
      <c r="I282" s="639"/>
      <c r="J282" s="100"/>
      <c r="K282" s="100"/>
      <c r="L282" s="100"/>
    </row>
    <row r="283">
      <c r="A283" s="3">
        <f t="shared" si="15"/>
        <v>283</v>
      </c>
      <c r="B283" s="595"/>
      <c r="C283" s="3" t="str">
        <f t="shared" si="16"/>
        <v>=&gt;</v>
      </c>
      <c r="D283" s="542"/>
      <c r="E283" s="3"/>
      <c r="F283" s="3"/>
      <c r="G283" s="3"/>
      <c r="H283" s="3"/>
      <c r="I283" s="639"/>
      <c r="J283" s="100"/>
      <c r="K283" s="100"/>
      <c r="L283" s="100"/>
    </row>
    <row r="284">
      <c r="A284" s="3">
        <f t="shared" si="15"/>
        <v>284</v>
      </c>
      <c r="B284" s="595"/>
      <c r="C284" s="3" t="str">
        <f t="shared" si="16"/>
        <v>=&gt;</v>
      </c>
      <c r="D284" s="542"/>
      <c r="E284" s="3"/>
      <c r="F284" s="3"/>
      <c r="G284" s="3"/>
      <c r="H284" s="3"/>
      <c r="I284" s="639"/>
      <c r="J284" s="100"/>
      <c r="K284" s="100"/>
      <c r="L284" s="100"/>
    </row>
    <row r="285">
      <c r="A285" s="3">
        <f t="shared" si="15"/>
        <v>285</v>
      </c>
      <c r="B285" s="595"/>
      <c r="C285" s="3" t="str">
        <f t="shared" si="16"/>
        <v>=&gt;</v>
      </c>
      <c r="D285" s="542"/>
      <c r="E285" s="3"/>
      <c r="F285" s="3"/>
      <c r="G285" s="3"/>
      <c r="H285" s="3"/>
      <c r="I285" s="639"/>
      <c r="J285" s="100"/>
      <c r="K285" s="100"/>
      <c r="L285" s="100"/>
    </row>
    <row r="286">
      <c r="A286" s="3">
        <f t="shared" si="15"/>
        <v>286</v>
      </c>
      <c r="B286" s="595"/>
      <c r="C286" s="3" t="str">
        <f t="shared" si="16"/>
        <v>=&gt;</v>
      </c>
      <c r="D286" s="542"/>
      <c r="E286" s="3"/>
      <c r="F286" s="3"/>
      <c r="G286" s="3"/>
      <c r="H286" s="3"/>
      <c r="I286" s="639"/>
      <c r="J286" s="100"/>
      <c r="K286" s="100"/>
      <c r="L286" s="100"/>
    </row>
    <row r="287">
      <c r="A287" s="3">
        <f t="shared" si="15"/>
        <v>287</v>
      </c>
      <c r="B287" s="595"/>
      <c r="C287" s="3" t="str">
        <f t="shared" si="16"/>
        <v>=&gt;</v>
      </c>
      <c r="D287" s="542"/>
      <c r="E287" s="3"/>
      <c r="F287" s="3"/>
      <c r="G287" s="3"/>
      <c r="H287" s="3"/>
      <c r="I287" s="639"/>
      <c r="J287" s="100"/>
      <c r="K287" s="100"/>
      <c r="L287" s="100"/>
    </row>
    <row r="288">
      <c r="A288" s="3">
        <f t="shared" si="15"/>
        <v>288</v>
      </c>
      <c r="B288" s="595"/>
      <c r="C288" s="3" t="str">
        <f t="shared" si="16"/>
        <v>=&gt;</v>
      </c>
      <c r="D288" s="542"/>
      <c r="E288" s="3"/>
      <c r="F288" s="3"/>
      <c r="G288" s="3"/>
      <c r="H288" s="3"/>
      <c r="I288" s="639"/>
      <c r="J288" s="100"/>
      <c r="K288" s="100"/>
      <c r="L288" s="100"/>
    </row>
    <row r="289">
      <c r="A289" s="3">
        <f t="shared" si="15"/>
        <v>289</v>
      </c>
      <c r="B289" s="595"/>
      <c r="C289" s="3" t="str">
        <f t="shared" si="16"/>
        <v>=&gt;</v>
      </c>
      <c r="D289" s="542"/>
      <c r="E289" s="3"/>
      <c r="F289" s="3"/>
      <c r="G289" s="3"/>
      <c r="H289" s="3"/>
      <c r="I289" s="639"/>
      <c r="J289" s="100"/>
      <c r="K289" s="100"/>
      <c r="L289" s="100"/>
    </row>
    <row r="290">
      <c r="A290" s="3">
        <f t="shared" si="15"/>
        <v>290</v>
      </c>
      <c r="B290" s="595"/>
      <c r="C290" s="3" t="str">
        <f t="shared" si="16"/>
        <v>=&gt;</v>
      </c>
      <c r="D290" s="542"/>
      <c r="E290" s="3"/>
      <c r="F290" s="3"/>
      <c r="G290" s="3"/>
      <c r="H290" s="3"/>
      <c r="I290" s="639"/>
      <c r="J290" s="100"/>
      <c r="K290" s="100"/>
      <c r="L290" s="100"/>
    </row>
    <row r="291">
      <c r="A291" s="3">
        <f t="shared" si="15"/>
        <v>291</v>
      </c>
      <c r="B291" s="595"/>
      <c r="C291" s="3" t="str">
        <f t="shared" si="16"/>
        <v>=&gt;</v>
      </c>
      <c r="D291" s="542"/>
      <c r="E291" s="3"/>
      <c r="F291" s="3"/>
      <c r="G291" s="3"/>
      <c r="H291" s="3"/>
      <c r="I291" s="639"/>
      <c r="J291" s="100"/>
      <c r="K291" s="100"/>
      <c r="L291" s="100"/>
    </row>
    <row r="292">
      <c r="A292" s="3">
        <f t="shared" si="15"/>
        <v>292</v>
      </c>
      <c r="B292" s="595"/>
      <c r="C292" s="3" t="str">
        <f t="shared" si="16"/>
        <v>=&gt;</v>
      </c>
      <c r="D292" s="542"/>
      <c r="E292" s="3"/>
      <c r="F292" s="3"/>
      <c r="G292" s="3"/>
      <c r="H292" s="3"/>
      <c r="I292" s="639"/>
      <c r="J292" s="100"/>
      <c r="K292" s="100"/>
      <c r="L292" s="100"/>
    </row>
    <row r="293">
      <c r="A293" s="3">
        <f t="shared" si="15"/>
        <v>293</v>
      </c>
      <c r="B293" s="595"/>
      <c r="C293" s="3" t="str">
        <f t="shared" si="16"/>
        <v>=&gt;</v>
      </c>
      <c r="D293" s="542"/>
      <c r="E293" s="3"/>
      <c r="F293" s="3"/>
      <c r="G293" s="3"/>
      <c r="H293" s="3"/>
      <c r="I293" s="639"/>
      <c r="J293" s="100"/>
      <c r="K293" s="100"/>
      <c r="L293" s="100"/>
    </row>
    <row r="294">
      <c r="A294" s="3">
        <f t="shared" si="15"/>
        <v>294</v>
      </c>
      <c r="B294" s="595"/>
      <c r="C294" s="3" t="str">
        <f t="shared" si="16"/>
        <v>=&gt;</v>
      </c>
      <c r="D294" s="542"/>
      <c r="E294" s="3"/>
      <c r="F294" s="3"/>
      <c r="G294" s="3"/>
      <c r="H294" s="3"/>
      <c r="I294" s="639"/>
      <c r="J294" s="100"/>
      <c r="K294" s="100"/>
      <c r="L294" s="100"/>
    </row>
    <row r="295">
      <c r="A295" s="3">
        <f t="shared" si="15"/>
        <v>295</v>
      </c>
      <c r="B295" s="595"/>
      <c r="C295" s="3" t="str">
        <f t="shared" si="16"/>
        <v>=&gt;</v>
      </c>
      <c r="D295" s="542"/>
      <c r="E295" s="3"/>
      <c r="F295" s="3"/>
      <c r="G295" s="3"/>
      <c r="H295" s="3"/>
      <c r="I295" s="639"/>
      <c r="J295" s="100"/>
      <c r="K295" s="100"/>
      <c r="L295" s="100"/>
    </row>
    <row r="296">
      <c r="A296" s="3">
        <f t="shared" si="15"/>
        <v>296</v>
      </c>
      <c r="B296" s="595"/>
      <c r="C296" s="3" t="str">
        <f t="shared" si="16"/>
        <v>=&gt;</v>
      </c>
      <c r="D296" s="542"/>
      <c r="E296" s="3"/>
      <c r="F296" s="3"/>
      <c r="G296" s="3"/>
      <c r="H296" s="3"/>
      <c r="I296" s="639"/>
      <c r="J296" s="100"/>
      <c r="K296" s="100"/>
      <c r="L296" s="100"/>
    </row>
    <row r="297">
      <c r="A297" s="3">
        <f t="shared" si="15"/>
        <v>297</v>
      </c>
      <c r="B297" s="595"/>
      <c r="C297" s="3" t="str">
        <f t="shared" si="16"/>
        <v>=&gt;</v>
      </c>
      <c r="D297" s="542"/>
      <c r="E297" s="3"/>
      <c r="F297" s="3"/>
      <c r="G297" s="3"/>
      <c r="H297" s="3"/>
      <c r="I297" s="639"/>
      <c r="J297" s="100"/>
      <c r="K297" s="100"/>
      <c r="L297" s="100"/>
    </row>
    <row r="298">
      <c r="A298" s="3">
        <f t="shared" si="15"/>
        <v>298</v>
      </c>
      <c r="B298" s="595"/>
      <c r="C298" s="3" t="str">
        <f t="shared" si="16"/>
        <v>=&gt;</v>
      </c>
      <c r="D298" s="542"/>
      <c r="E298" s="3"/>
      <c r="F298" s="3"/>
      <c r="G298" s="3"/>
      <c r="H298" s="3"/>
      <c r="I298" s="639"/>
      <c r="J298" s="100"/>
      <c r="K298" s="100"/>
      <c r="L298" s="100"/>
    </row>
    <row r="299">
      <c r="A299" s="3">
        <f t="shared" si="15"/>
        <v>299</v>
      </c>
      <c r="B299" s="595"/>
      <c r="C299" s="3" t="str">
        <f t="shared" si="16"/>
        <v>=&gt;</v>
      </c>
      <c r="D299" s="542"/>
      <c r="E299" s="3"/>
      <c r="F299" s="3"/>
      <c r="G299" s="3"/>
      <c r="H299" s="3"/>
      <c r="I299" s="639"/>
      <c r="J299" s="100"/>
      <c r="K299" s="100"/>
      <c r="L299" s="100"/>
    </row>
    <row r="300">
      <c r="A300" s="3">
        <f t="shared" si="15"/>
        <v>300</v>
      </c>
      <c r="B300" s="595"/>
      <c r="C300" s="3" t="str">
        <f t="shared" si="16"/>
        <v>=&gt;</v>
      </c>
      <c r="D300" s="542"/>
      <c r="E300" s="3"/>
      <c r="F300" s="3"/>
      <c r="G300" s="3"/>
      <c r="H300" s="3"/>
      <c r="I300" s="639"/>
      <c r="J300" s="100"/>
      <c r="K300" s="100"/>
      <c r="L300" s="100"/>
    </row>
    <row r="301">
      <c r="A301" s="3">
        <f t="shared" si="15"/>
        <v>301</v>
      </c>
      <c r="B301" s="595"/>
      <c r="C301" s="3" t="str">
        <f t="shared" si="16"/>
        <v>=&gt;</v>
      </c>
      <c r="D301" s="542"/>
      <c r="E301" s="3"/>
      <c r="F301" s="3"/>
      <c r="G301" s="3"/>
      <c r="H301" s="3"/>
      <c r="I301" s="639"/>
      <c r="J301" s="100"/>
      <c r="K301" s="100"/>
      <c r="L301" s="100"/>
    </row>
    <row r="302">
      <c r="A302" s="3">
        <f t="shared" si="15"/>
        <v>302</v>
      </c>
      <c r="B302" s="595"/>
      <c r="C302" s="3" t="str">
        <f t="shared" si="16"/>
        <v>=&gt;</v>
      </c>
      <c r="D302" s="542"/>
      <c r="E302" s="3"/>
      <c r="F302" s="3"/>
      <c r="G302" s="3"/>
      <c r="H302" s="3"/>
      <c r="I302" s="639"/>
      <c r="J302" s="100"/>
      <c r="K302" s="100"/>
      <c r="L302" s="100"/>
    </row>
    <row r="303">
      <c r="A303" s="3">
        <f t="shared" si="15"/>
        <v>303</v>
      </c>
      <c r="B303" s="595"/>
      <c r="C303" s="3" t="str">
        <f t="shared" si="16"/>
        <v>=&gt;</v>
      </c>
      <c r="D303" s="542"/>
      <c r="E303" s="3"/>
      <c r="F303" s="3"/>
      <c r="G303" s="3"/>
      <c r="H303" s="3"/>
      <c r="I303" s="639"/>
      <c r="J303" s="100"/>
      <c r="K303" s="100"/>
      <c r="L303" s="100"/>
    </row>
    <row r="304">
      <c r="A304" s="3">
        <f t="shared" si="15"/>
        <v>304</v>
      </c>
      <c r="B304" s="595"/>
      <c r="C304" s="3" t="str">
        <f t="shared" si="16"/>
        <v>=&gt;</v>
      </c>
      <c r="D304" s="542"/>
      <c r="E304" s="3"/>
      <c r="F304" s="3"/>
      <c r="G304" s="3"/>
      <c r="H304" s="3"/>
      <c r="I304" s="639"/>
      <c r="J304" s="100"/>
      <c r="K304" s="100"/>
      <c r="L304" s="100"/>
    </row>
    <row r="305">
      <c r="A305" s="3">
        <f t="shared" si="15"/>
        <v>305</v>
      </c>
      <c r="B305" s="595"/>
      <c r="C305" s="3" t="str">
        <f t="shared" si="16"/>
        <v>=&gt;</v>
      </c>
      <c r="D305" s="542"/>
      <c r="E305" s="3"/>
      <c r="F305" s="3"/>
      <c r="G305" s="3"/>
      <c r="H305" s="3"/>
      <c r="I305" s="639"/>
      <c r="J305" s="100"/>
      <c r="K305" s="100"/>
      <c r="L305" s="100"/>
    </row>
    <row r="306">
      <c r="A306" s="3">
        <f t="shared" si="15"/>
        <v>306</v>
      </c>
      <c r="B306" s="595"/>
      <c r="C306" s="3" t="str">
        <f t="shared" si="16"/>
        <v>=&gt;</v>
      </c>
      <c r="D306" s="542"/>
      <c r="E306" s="3"/>
      <c r="F306" s="3"/>
      <c r="G306" s="3"/>
      <c r="H306" s="3"/>
      <c r="I306" s="639"/>
      <c r="J306" s="100"/>
      <c r="K306" s="100"/>
      <c r="L306" s="100"/>
    </row>
    <row r="307">
      <c r="A307" s="3">
        <f t="shared" si="15"/>
        <v>307</v>
      </c>
      <c r="B307" s="595"/>
      <c r="C307" s="3" t="str">
        <f t="shared" si="16"/>
        <v>=&gt;</v>
      </c>
      <c r="D307" s="542"/>
      <c r="E307" s="3"/>
      <c r="F307" s="3"/>
      <c r="G307" s="3"/>
      <c r="H307" s="3"/>
      <c r="I307" s="639"/>
      <c r="J307" s="100"/>
      <c r="K307" s="100"/>
      <c r="L307" s="100"/>
    </row>
    <row r="308">
      <c r="A308" s="3">
        <f t="shared" si="15"/>
        <v>308</v>
      </c>
      <c r="B308" s="595"/>
      <c r="C308" s="3" t="str">
        <f t="shared" si="16"/>
        <v>=&gt;</v>
      </c>
      <c r="D308" s="542"/>
      <c r="E308" s="3"/>
      <c r="F308" s="3"/>
      <c r="G308" s="3"/>
      <c r="H308" s="3"/>
      <c r="I308" s="639"/>
      <c r="J308" s="100"/>
      <c r="K308" s="100"/>
      <c r="L308" s="100"/>
    </row>
    <row r="309">
      <c r="A309" s="3">
        <f t="shared" si="15"/>
        <v>309</v>
      </c>
      <c r="B309" s="595"/>
      <c r="C309" s="3" t="str">
        <f t="shared" si="16"/>
        <v>=&gt;</v>
      </c>
      <c r="D309" s="542"/>
      <c r="E309" s="3"/>
      <c r="F309" s="3"/>
      <c r="G309" s="3"/>
      <c r="H309" s="3"/>
      <c r="I309" s="639"/>
      <c r="J309" s="100"/>
      <c r="K309" s="100"/>
      <c r="L309" s="100"/>
    </row>
    <row r="310">
      <c r="A310" s="3">
        <f t="shared" si="15"/>
        <v>310</v>
      </c>
      <c r="B310" s="595"/>
      <c r="C310" s="3" t="str">
        <f t="shared" si="16"/>
        <v>=&gt;</v>
      </c>
      <c r="D310" s="542"/>
      <c r="E310" s="3"/>
      <c r="F310" s="3"/>
      <c r="G310" s="3"/>
      <c r="H310" s="3"/>
      <c r="I310" s="639"/>
      <c r="J310" s="100"/>
      <c r="K310" s="100"/>
      <c r="L310" s="100"/>
    </row>
    <row r="311">
      <c r="A311" s="3">
        <f t="shared" si="15"/>
        <v>311</v>
      </c>
      <c r="B311" s="595"/>
      <c r="C311" s="3" t="str">
        <f t="shared" si="16"/>
        <v>=&gt;</v>
      </c>
      <c r="D311" s="542"/>
      <c r="E311" s="3"/>
      <c r="F311" s="3"/>
      <c r="G311" s="3"/>
      <c r="H311" s="3"/>
      <c r="I311" s="639"/>
      <c r="J311" s="100"/>
      <c r="K311" s="100"/>
      <c r="L311" s="100"/>
    </row>
    <row r="312">
      <c r="A312" s="3">
        <f t="shared" si="15"/>
        <v>312</v>
      </c>
      <c r="B312" s="595"/>
      <c r="C312" s="3" t="str">
        <f t="shared" si="16"/>
        <v>=&gt;</v>
      </c>
      <c r="D312" s="542"/>
      <c r="E312" s="3"/>
      <c r="F312" s="3"/>
      <c r="G312" s="3"/>
      <c r="H312" s="3"/>
      <c r="I312" s="639"/>
      <c r="J312" s="100"/>
      <c r="K312" s="100"/>
      <c r="L312" s="100"/>
    </row>
    <row r="313">
      <c r="A313" s="3">
        <f t="shared" si="15"/>
        <v>313</v>
      </c>
      <c r="B313" s="595"/>
      <c r="C313" s="3" t="str">
        <f t="shared" si="16"/>
        <v>=&gt;</v>
      </c>
      <c r="D313" s="542"/>
      <c r="E313" s="3"/>
      <c r="F313" s="3"/>
      <c r="G313" s="3"/>
      <c r="H313" s="3"/>
      <c r="I313" s="639"/>
      <c r="J313" s="100"/>
      <c r="K313" s="100"/>
      <c r="L313" s="100"/>
    </row>
    <row r="314">
      <c r="A314" s="3">
        <f t="shared" si="15"/>
        <v>314</v>
      </c>
      <c r="B314" s="595"/>
      <c r="C314" s="3" t="str">
        <f t="shared" si="16"/>
        <v>=&gt;</v>
      </c>
      <c r="D314" s="542"/>
      <c r="E314" s="3"/>
      <c r="F314" s="3"/>
      <c r="G314" s="3"/>
      <c r="H314" s="3"/>
      <c r="I314" s="639"/>
      <c r="J314" s="100"/>
      <c r="K314" s="100"/>
      <c r="L314" s="100"/>
    </row>
    <row r="315">
      <c r="A315" s="3">
        <f t="shared" si="15"/>
        <v>315</v>
      </c>
      <c r="B315" s="595"/>
      <c r="C315" s="3" t="str">
        <f t="shared" si="16"/>
        <v>=&gt;</v>
      </c>
      <c r="D315" s="542"/>
      <c r="E315" s="3"/>
      <c r="F315" s="3"/>
      <c r="G315" s="3"/>
      <c r="H315" s="3"/>
      <c r="I315" s="639"/>
      <c r="J315" s="100"/>
      <c r="K315" s="100"/>
      <c r="L315" s="100"/>
    </row>
    <row r="316">
      <c r="A316" s="3">
        <f t="shared" si="15"/>
        <v>316</v>
      </c>
      <c r="B316" s="595"/>
      <c r="C316" s="3" t="str">
        <f t="shared" si="16"/>
        <v>=&gt;</v>
      </c>
      <c r="D316" s="542"/>
      <c r="E316" s="3"/>
      <c r="F316" s="3"/>
      <c r="G316" s="3"/>
      <c r="H316" s="3"/>
      <c r="I316" s="639"/>
      <c r="J316" s="100"/>
      <c r="K316" s="100"/>
      <c r="L316" s="100"/>
    </row>
    <row r="317">
      <c r="A317" s="3">
        <f t="shared" si="15"/>
        <v>317</v>
      </c>
      <c r="B317" s="595"/>
      <c r="C317" s="3" t="str">
        <f t="shared" si="16"/>
        <v>=&gt;</v>
      </c>
      <c r="D317" s="542"/>
      <c r="E317" s="3"/>
      <c r="F317" s="3"/>
      <c r="G317" s="3"/>
      <c r="H317" s="3"/>
      <c r="I317" s="639"/>
      <c r="J317" s="100"/>
      <c r="K317" s="100"/>
      <c r="L317" s="100"/>
    </row>
    <row r="318">
      <c r="A318" s="3">
        <f t="shared" si="15"/>
        <v>318</v>
      </c>
      <c r="B318" s="595"/>
      <c r="C318" s="3" t="str">
        <f t="shared" si="16"/>
        <v>=&gt;</v>
      </c>
      <c r="D318" s="542"/>
      <c r="E318" s="3"/>
      <c r="F318" s="3"/>
      <c r="G318" s="3"/>
      <c r="H318" s="3"/>
      <c r="I318" s="639"/>
      <c r="J318" s="100"/>
      <c r="K318" s="100"/>
      <c r="L318" s="100"/>
    </row>
    <row r="319">
      <c r="A319" s="3">
        <f t="shared" si="15"/>
        <v>319</v>
      </c>
      <c r="B319" s="595"/>
      <c r="C319" s="3" t="str">
        <f t="shared" si="16"/>
        <v>=&gt;</v>
      </c>
      <c r="D319" s="542"/>
      <c r="E319" s="3"/>
      <c r="F319" s="3"/>
      <c r="G319" s="3"/>
      <c r="H319" s="3"/>
      <c r="I319" s="639"/>
      <c r="J319" s="100"/>
      <c r="K319" s="100"/>
      <c r="L319" s="100"/>
    </row>
    <row r="320">
      <c r="A320" s="3">
        <f t="shared" si="15"/>
        <v>320</v>
      </c>
      <c r="B320" s="595"/>
      <c r="C320" s="3" t="str">
        <f t="shared" si="16"/>
        <v>=&gt;</v>
      </c>
      <c r="D320" s="542"/>
      <c r="E320" s="3"/>
      <c r="F320" s="3"/>
      <c r="G320" s="3"/>
      <c r="H320" s="3"/>
      <c r="I320" s="639"/>
      <c r="J320" s="100"/>
      <c r="K320" s="100"/>
      <c r="L320" s="100"/>
    </row>
    <row r="321">
      <c r="A321" s="3">
        <f t="shared" si="15"/>
        <v>321</v>
      </c>
      <c r="B321" s="595"/>
      <c r="C321" s="3" t="str">
        <f t="shared" si="16"/>
        <v>=&gt;</v>
      </c>
      <c r="D321" s="542"/>
      <c r="E321" s="3"/>
      <c r="F321" s="3"/>
      <c r="G321" s="3"/>
      <c r="H321" s="3"/>
      <c r="I321" s="639"/>
      <c r="J321" s="100"/>
      <c r="K321" s="100"/>
      <c r="L321" s="100"/>
    </row>
    <row r="322">
      <c r="A322" s="3">
        <f t="shared" si="15"/>
        <v>322</v>
      </c>
      <c r="B322" s="595"/>
      <c r="C322" s="3" t="str">
        <f t="shared" si="16"/>
        <v>=&gt;</v>
      </c>
      <c r="D322" s="542"/>
      <c r="E322" s="3"/>
      <c r="F322" s="3"/>
      <c r="G322" s="3"/>
      <c r="H322" s="3"/>
      <c r="I322" s="639"/>
      <c r="J322" s="100"/>
      <c r="K322" s="100"/>
      <c r="L322" s="100"/>
    </row>
    <row r="323">
      <c r="A323" s="3">
        <f t="shared" si="15"/>
        <v>323</v>
      </c>
      <c r="B323" s="595"/>
      <c r="C323" s="3"/>
      <c r="D323" s="542"/>
      <c r="E323" s="3"/>
      <c r="F323" s="3"/>
      <c r="G323" s="3"/>
      <c r="H323" s="3"/>
      <c r="I323" s="639"/>
      <c r="J323" s="100"/>
      <c r="K323" s="100"/>
      <c r="L323" s="100"/>
    </row>
    <row r="324">
      <c r="A324" s="3">
        <f t="shared" si="15"/>
        <v>324</v>
      </c>
      <c r="B324" s="595"/>
      <c r="C324" s="3"/>
      <c r="D324" s="542"/>
      <c r="E324" s="3"/>
      <c r="F324" s="3"/>
      <c r="G324" s="3"/>
      <c r="H324" s="3"/>
      <c r="I324" s="639"/>
      <c r="J324" s="100"/>
      <c r="K324" s="100"/>
      <c r="L324" s="100"/>
    </row>
    <row r="325">
      <c r="A325" s="3">
        <f t="shared" si="15"/>
        <v>325</v>
      </c>
      <c r="B325" s="595"/>
      <c r="C325" s="3"/>
      <c r="D325" s="542"/>
      <c r="E325" s="3"/>
      <c r="F325" s="3"/>
      <c r="G325" s="3"/>
      <c r="H325" s="3"/>
      <c r="I325" s="639"/>
      <c r="J325" s="100"/>
      <c r="K325" s="100"/>
      <c r="L325" s="100"/>
    </row>
    <row r="326">
      <c r="A326" s="3">
        <f t="shared" si="15"/>
        <v>326</v>
      </c>
      <c r="B326" s="595"/>
      <c r="C326" s="3"/>
      <c r="D326" s="542"/>
      <c r="E326" s="3"/>
      <c r="F326" s="3"/>
      <c r="G326" s="3"/>
      <c r="H326" s="3"/>
      <c r="I326" s="639"/>
      <c r="J326" s="100"/>
      <c r="K326" s="100"/>
      <c r="L326" s="100"/>
    </row>
    <row r="327">
      <c r="A327" s="3">
        <f t="shared" si="15"/>
        <v>327</v>
      </c>
      <c r="B327" s="595"/>
      <c r="C327" s="3"/>
      <c r="D327" s="542"/>
      <c r="E327" s="3"/>
      <c r="F327" s="3"/>
      <c r="G327" s="3"/>
      <c r="H327" s="3"/>
      <c r="I327" s="639"/>
      <c r="J327" s="100"/>
      <c r="K327" s="100"/>
      <c r="L327" s="100"/>
    </row>
    <row r="328">
      <c r="A328" s="3">
        <f t="shared" si="15"/>
        <v>328</v>
      </c>
      <c r="B328" s="595"/>
      <c r="C328" s="3"/>
      <c r="D328" s="542"/>
      <c r="E328" s="3"/>
      <c r="F328" s="3"/>
      <c r="G328" s="3"/>
      <c r="H328" s="3"/>
      <c r="I328" s="639"/>
      <c r="J328" s="100"/>
      <c r="K328" s="100"/>
      <c r="L328" s="100"/>
    </row>
    <row r="329">
      <c r="A329" s="3">
        <f t="shared" si="15"/>
        <v>329</v>
      </c>
      <c r="B329" s="595"/>
      <c r="C329" s="3"/>
      <c r="D329" s="542"/>
      <c r="E329" s="3"/>
      <c r="F329" s="3"/>
      <c r="G329" s="3"/>
      <c r="H329" s="3"/>
      <c r="I329" s="639"/>
      <c r="J329" s="100"/>
      <c r="K329" s="100"/>
      <c r="L329" s="100"/>
    </row>
    <row r="330">
      <c r="A330" s="3">
        <f t="shared" si="15"/>
        <v>330</v>
      </c>
      <c r="B330" s="595"/>
      <c r="C330" s="3"/>
      <c r="D330" s="542"/>
      <c r="E330" s="3"/>
      <c r="F330" s="3"/>
      <c r="G330" s="3"/>
      <c r="H330" s="3"/>
      <c r="I330" s="639"/>
      <c r="J330" s="100"/>
      <c r="K330" s="100"/>
      <c r="L330" s="100"/>
    </row>
    <row r="331">
      <c r="A331" s="3">
        <f t="shared" si="15"/>
        <v>331</v>
      </c>
      <c r="B331" s="595"/>
      <c r="C331" s="3"/>
      <c r="D331" s="542"/>
      <c r="E331" s="3"/>
      <c r="F331" s="3"/>
      <c r="G331" s="3"/>
      <c r="H331" s="3"/>
      <c r="I331" s="639"/>
      <c r="J331" s="100"/>
      <c r="K331" s="100"/>
      <c r="L331" s="100"/>
    </row>
    <row r="332">
      <c r="A332" s="3">
        <f t="shared" si="15"/>
        <v>332</v>
      </c>
      <c r="B332" s="595"/>
      <c r="C332" s="3"/>
      <c r="D332" s="542"/>
      <c r="E332" s="3"/>
      <c r="F332" s="3"/>
      <c r="G332" s="3"/>
      <c r="H332" s="3"/>
      <c r="I332" s="639"/>
      <c r="J332" s="100"/>
      <c r="K332" s="100"/>
      <c r="L332" s="100"/>
    </row>
    <row r="333">
      <c r="A333" s="3">
        <f t="shared" si="15"/>
        <v>333</v>
      </c>
      <c r="B333" s="595"/>
      <c r="C333" s="3"/>
      <c r="D333" s="542"/>
      <c r="E333" s="3"/>
      <c r="F333" s="3"/>
      <c r="G333" s="3"/>
      <c r="H333" s="3"/>
      <c r="I333" s="639"/>
      <c r="J333" s="100"/>
      <c r="K333" s="100"/>
      <c r="L333" s="100"/>
    </row>
    <row r="334">
      <c r="A334" s="3">
        <f t="shared" si="15"/>
        <v>334</v>
      </c>
      <c r="B334" s="595"/>
      <c r="C334" s="3"/>
      <c r="D334" s="542"/>
      <c r="E334" s="3"/>
      <c r="F334" s="3"/>
      <c r="G334" s="3"/>
      <c r="H334" s="3"/>
      <c r="I334" s="639"/>
      <c r="J334" s="100"/>
      <c r="K334" s="100"/>
      <c r="L334" s="100"/>
    </row>
    <row r="335">
      <c r="A335" s="3">
        <f t="shared" si="15"/>
        <v>335</v>
      </c>
      <c r="B335" s="595"/>
      <c r="C335" s="3"/>
      <c r="D335" s="542"/>
      <c r="E335" s="3"/>
      <c r="F335" s="3"/>
      <c r="G335" s="3"/>
      <c r="H335" s="3"/>
      <c r="I335" s="639"/>
      <c r="J335" s="100"/>
      <c r="K335" s="100"/>
      <c r="L335" s="100"/>
    </row>
    <row r="336">
      <c r="A336" s="3">
        <f t="shared" si="15"/>
        <v>336</v>
      </c>
      <c r="B336" s="595"/>
      <c r="C336" s="3"/>
      <c r="D336" s="542"/>
      <c r="E336" s="3"/>
      <c r="F336" s="3"/>
      <c r="G336" s="3"/>
      <c r="H336" s="3"/>
      <c r="I336" s="639"/>
      <c r="J336" s="100"/>
      <c r="K336" s="100"/>
      <c r="L336" s="100"/>
    </row>
    <row r="337">
      <c r="A337" s="3">
        <f t="shared" si="15"/>
        <v>337</v>
      </c>
      <c r="B337" s="595"/>
      <c r="C337" s="3"/>
      <c r="D337" s="542"/>
      <c r="E337" s="3"/>
      <c r="F337" s="3"/>
      <c r="G337" s="3"/>
      <c r="H337" s="3"/>
      <c r="I337" s="639"/>
      <c r="J337" s="100"/>
      <c r="K337" s="100"/>
      <c r="L337" s="100"/>
    </row>
    <row r="338">
      <c r="A338" s="3">
        <f t="shared" si="15"/>
        <v>338</v>
      </c>
      <c r="B338" s="595"/>
      <c r="C338" s="3"/>
      <c r="D338" s="542"/>
      <c r="E338" s="3"/>
      <c r="F338" s="3"/>
      <c r="G338" s="3"/>
      <c r="H338" s="3"/>
      <c r="I338" s="639"/>
      <c r="J338" s="100"/>
      <c r="K338" s="100"/>
      <c r="L338" s="100"/>
    </row>
    <row r="339">
      <c r="A339" s="3">
        <f t="shared" si="15"/>
        <v>339</v>
      </c>
      <c r="B339" s="595"/>
      <c r="C339" s="3"/>
      <c r="D339" s="542"/>
      <c r="E339" s="3"/>
      <c r="F339" s="3"/>
      <c r="G339" s="3"/>
      <c r="H339" s="3"/>
      <c r="I339" s="639"/>
      <c r="J339" s="100"/>
      <c r="K339" s="100"/>
      <c r="L339" s="100"/>
    </row>
    <row r="340">
      <c r="A340" s="3">
        <f t="shared" si="15"/>
        <v>340</v>
      </c>
      <c r="B340" s="595"/>
      <c r="C340" s="3"/>
      <c r="D340" s="542"/>
      <c r="E340" s="3"/>
      <c r="F340" s="3"/>
      <c r="G340" s="3"/>
      <c r="H340" s="3"/>
      <c r="I340" s="639"/>
      <c r="J340" s="100"/>
      <c r="K340" s="100"/>
      <c r="L340" s="100"/>
    </row>
    <row r="341">
      <c r="A341" s="3">
        <f t="shared" si="15"/>
        <v>341</v>
      </c>
      <c r="B341" s="595"/>
      <c r="C341" s="3"/>
      <c r="D341" s="542"/>
      <c r="E341" s="3"/>
      <c r="F341" s="3"/>
      <c r="G341" s="3"/>
      <c r="H341" s="3"/>
      <c r="I341" s="639"/>
      <c r="J341" s="100"/>
      <c r="K341" s="100"/>
      <c r="L341" s="100"/>
    </row>
    <row r="342">
      <c r="A342" s="3"/>
      <c r="B342" s="595"/>
      <c r="C342" s="3"/>
      <c r="D342" s="542"/>
      <c r="E342" s="3"/>
      <c r="F342" s="3"/>
      <c r="G342" s="3"/>
      <c r="H342" s="3"/>
      <c r="I342" s="639"/>
      <c r="J342" s="100"/>
      <c r="K342" s="100"/>
      <c r="L342" s="100"/>
    </row>
    <row r="343">
      <c r="A343" s="3"/>
      <c r="B343" s="595"/>
      <c r="C343" s="3"/>
      <c r="D343" s="542"/>
      <c r="E343" s="3"/>
      <c r="F343" s="3"/>
      <c r="G343" s="3"/>
      <c r="H343" s="3"/>
      <c r="I343" s="639"/>
      <c r="J343" s="100"/>
      <c r="K343" s="100"/>
      <c r="L343" s="100"/>
    </row>
    <row r="344">
      <c r="A344" s="3"/>
      <c r="B344" s="595"/>
      <c r="C344" s="3"/>
      <c r="D344" s="542"/>
      <c r="E344" s="3"/>
      <c r="F344" s="3"/>
      <c r="G344" s="3"/>
      <c r="H344" s="3"/>
      <c r="I344" s="639"/>
      <c r="J344" s="100"/>
      <c r="K344" s="100"/>
      <c r="L344" s="100"/>
    </row>
    <row r="345">
      <c r="A345" s="3"/>
      <c r="B345" s="595"/>
      <c r="C345" s="3"/>
      <c r="D345" s="542"/>
      <c r="E345" s="3"/>
      <c r="F345" s="3"/>
      <c r="G345" s="3"/>
      <c r="H345" s="3"/>
      <c r="I345" s="639"/>
      <c r="J345" s="100"/>
      <c r="K345" s="100"/>
      <c r="L345" s="100"/>
    </row>
    <row r="346">
      <c r="A346" s="3"/>
      <c r="B346" s="595"/>
      <c r="C346" s="3"/>
      <c r="D346" s="542"/>
      <c r="E346" s="3"/>
      <c r="F346" s="3"/>
      <c r="G346" s="3"/>
      <c r="H346" s="3"/>
      <c r="I346" s="639"/>
      <c r="J346" s="100"/>
      <c r="K346" s="100"/>
      <c r="L346" s="100"/>
    </row>
    <row r="347">
      <c r="A347" s="3"/>
      <c r="B347" s="595"/>
      <c r="C347" s="3"/>
      <c r="D347" s="542"/>
      <c r="E347" s="3"/>
      <c r="F347" s="3"/>
      <c r="G347" s="3"/>
      <c r="H347" s="3"/>
      <c r="I347" s="639"/>
      <c r="J347" s="100"/>
      <c r="K347" s="100"/>
      <c r="L347" s="100"/>
    </row>
    <row r="348">
      <c r="A348" s="3"/>
      <c r="B348" s="595"/>
      <c r="C348" s="3"/>
      <c r="D348" s="542"/>
      <c r="E348" s="3"/>
      <c r="F348" s="3"/>
      <c r="G348" s="3"/>
      <c r="H348" s="3"/>
      <c r="I348" s="639"/>
      <c r="J348" s="100"/>
      <c r="K348" s="100"/>
      <c r="L348" s="100"/>
    </row>
    <row r="349">
      <c r="A349" s="3"/>
      <c r="B349" s="595"/>
      <c r="C349" s="3"/>
      <c r="D349" s="542"/>
      <c r="E349" s="3"/>
      <c r="F349" s="3"/>
      <c r="G349" s="3"/>
      <c r="H349" s="3"/>
      <c r="I349" s="639"/>
      <c r="J349" s="100"/>
      <c r="K349" s="100"/>
      <c r="L349" s="100"/>
    </row>
    <row r="350">
      <c r="A350" s="3"/>
      <c r="B350" s="595"/>
      <c r="C350" s="3"/>
      <c r="D350" s="542"/>
      <c r="E350" s="3"/>
      <c r="F350" s="3"/>
      <c r="G350" s="3"/>
      <c r="H350" s="3"/>
      <c r="I350" s="639"/>
      <c r="J350" s="100"/>
      <c r="K350" s="100"/>
      <c r="L350" s="100"/>
    </row>
    <row r="351">
      <c r="A351" s="3"/>
      <c r="B351" s="595"/>
      <c r="C351" s="3"/>
      <c r="D351" s="542"/>
      <c r="E351" s="3"/>
      <c r="F351" s="3"/>
      <c r="G351" s="3"/>
      <c r="H351" s="3"/>
      <c r="I351" s="639"/>
      <c r="J351" s="100"/>
      <c r="K351" s="100"/>
      <c r="L351" s="100"/>
    </row>
    <row r="352">
      <c r="A352" s="3"/>
      <c r="B352" s="595"/>
      <c r="C352" s="3"/>
      <c r="D352" s="542"/>
      <c r="E352" s="3"/>
      <c r="F352" s="3"/>
      <c r="G352" s="3"/>
      <c r="H352" s="3"/>
      <c r="I352" s="639"/>
      <c r="J352" s="100"/>
      <c r="K352" s="100"/>
      <c r="L352" s="100"/>
    </row>
    <row r="353">
      <c r="A353" s="3"/>
      <c r="B353" s="595"/>
      <c r="C353" s="3"/>
      <c r="D353" s="542"/>
      <c r="E353" s="3"/>
      <c r="F353" s="3"/>
      <c r="G353" s="3"/>
      <c r="H353" s="3"/>
      <c r="I353" s="639"/>
      <c r="J353" s="100"/>
      <c r="K353" s="100"/>
      <c r="L353" s="100"/>
    </row>
    <row r="354">
      <c r="A354" s="3"/>
      <c r="B354" s="595"/>
      <c r="C354" s="3"/>
      <c r="D354" s="542"/>
      <c r="E354" s="3"/>
      <c r="F354" s="3"/>
      <c r="G354" s="3"/>
      <c r="H354" s="3"/>
      <c r="I354" s="639"/>
      <c r="J354" s="100"/>
      <c r="K354" s="100"/>
      <c r="L354" s="100"/>
    </row>
    <row r="355">
      <c r="A355" s="3"/>
      <c r="B355" s="595"/>
      <c r="C355" s="3"/>
      <c r="D355" s="542"/>
      <c r="E355" s="3"/>
      <c r="F355" s="3"/>
      <c r="G355" s="3"/>
      <c r="H355" s="3"/>
      <c r="I355" s="639"/>
      <c r="J355" s="100"/>
      <c r="K355" s="100"/>
      <c r="L355" s="100"/>
    </row>
    <row r="356">
      <c r="A356" s="3"/>
      <c r="B356" s="595"/>
      <c r="C356" s="3"/>
      <c r="D356" s="542"/>
      <c r="E356" s="3"/>
      <c r="F356" s="3"/>
      <c r="G356" s="3"/>
      <c r="H356" s="3"/>
      <c r="I356" s="639"/>
      <c r="J356" s="100"/>
      <c r="K356" s="100"/>
      <c r="L356" s="100"/>
    </row>
    <row r="357">
      <c r="A357" s="3"/>
      <c r="B357" s="595"/>
      <c r="C357" s="3"/>
      <c r="D357" s="542"/>
      <c r="E357" s="3"/>
      <c r="F357" s="3"/>
      <c r="G357" s="3"/>
      <c r="H357" s="3"/>
      <c r="I357" s="639"/>
      <c r="J357" s="100"/>
      <c r="K357" s="100"/>
      <c r="L357" s="100"/>
    </row>
    <row r="358">
      <c r="A358" s="3"/>
      <c r="B358" s="595"/>
      <c r="C358" s="3"/>
      <c r="D358" s="542"/>
      <c r="E358" s="3"/>
      <c r="F358" s="3"/>
      <c r="G358" s="3"/>
      <c r="H358" s="3"/>
      <c r="I358" s="639"/>
      <c r="J358" s="100"/>
      <c r="K358" s="100"/>
      <c r="L358" s="100"/>
    </row>
    <row r="359">
      <c r="A359" s="3"/>
      <c r="B359" s="595"/>
      <c r="C359" s="3"/>
      <c r="D359" s="542"/>
      <c r="E359" s="3"/>
      <c r="F359" s="3"/>
      <c r="G359" s="3"/>
      <c r="H359" s="3"/>
      <c r="I359" s="639"/>
      <c r="J359" s="100"/>
      <c r="K359" s="100"/>
      <c r="L359" s="100"/>
    </row>
    <row r="360">
      <c r="A360" s="3"/>
      <c r="B360" s="595"/>
      <c r="C360" s="3"/>
      <c r="D360" s="542"/>
      <c r="E360" s="3"/>
      <c r="F360" s="3"/>
      <c r="G360" s="3"/>
      <c r="H360" s="3"/>
      <c r="I360" s="639"/>
      <c r="J360" s="100"/>
      <c r="K360" s="100"/>
      <c r="L360" s="100"/>
    </row>
    <row r="361">
      <c r="A361" s="3"/>
      <c r="B361" s="595"/>
      <c r="C361" s="3"/>
      <c r="D361" s="542"/>
      <c r="E361" s="3"/>
      <c r="F361" s="3"/>
      <c r="G361" s="3"/>
      <c r="H361" s="3"/>
      <c r="I361" s="639"/>
      <c r="J361" s="100"/>
      <c r="K361" s="100"/>
      <c r="L361" s="100"/>
    </row>
    <row r="362">
      <c r="A362" s="3"/>
      <c r="B362" s="595"/>
      <c r="C362" s="3"/>
      <c r="D362" s="542"/>
      <c r="E362" s="3"/>
      <c r="F362" s="3"/>
      <c r="G362" s="3"/>
      <c r="H362" s="3"/>
      <c r="I362" s="639"/>
      <c r="J362" s="100"/>
      <c r="K362" s="100"/>
      <c r="L362" s="100"/>
    </row>
    <row r="363">
      <c r="A363" s="3"/>
      <c r="B363" s="595"/>
      <c r="C363" s="3"/>
      <c r="D363" s="542"/>
      <c r="E363" s="3"/>
      <c r="F363" s="3"/>
      <c r="G363" s="3"/>
      <c r="H363" s="3"/>
      <c r="I363" s="639"/>
      <c r="J363" s="100"/>
      <c r="K363" s="100"/>
      <c r="L363" s="100"/>
    </row>
    <row r="364">
      <c r="A364" s="3"/>
      <c r="B364" s="595"/>
      <c r="C364" s="3"/>
      <c r="D364" s="542"/>
      <c r="E364" s="3"/>
      <c r="F364" s="3"/>
      <c r="G364" s="3"/>
      <c r="H364" s="3"/>
      <c r="I364" s="639"/>
      <c r="J364" s="100"/>
      <c r="K364" s="100"/>
      <c r="L364" s="100"/>
    </row>
    <row r="365">
      <c r="A365" s="3"/>
      <c r="B365" s="595"/>
      <c r="C365" s="3"/>
      <c r="D365" s="542"/>
      <c r="E365" s="3"/>
      <c r="F365" s="3"/>
      <c r="G365" s="3"/>
      <c r="H365" s="3"/>
      <c r="I365" s="639"/>
      <c r="J365" s="100"/>
      <c r="K365" s="100"/>
      <c r="L365" s="100"/>
    </row>
    <row r="366">
      <c r="A366" s="3"/>
      <c r="B366" s="595"/>
      <c r="C366" s="3"/>
      <c r="D366" s="542"/>
      <c r="E366" s="3"/>
      <c r="F366" s="3"/>
      <c r="G366" s="3"/>
      <c r="H366" s="3"/>
      <c r="I366" s="639"/>
      <c r="J366" s="100"/>
      <c r="K366" s="100"/>
      <c r="L366" s="100"/>
    </row>
    <row r="367">
      <c r="A367" s="3"/>
      <c r="B367" s="595"/>
      <c r="C367" s="3"/>
      <c r="D367" s="542"/>
      <c r="E367" s="3"/>
      <c r="F367" s="3"/>
      <c r="G367" s="3"/>
      <c r="H367" s="3"/>
      <c r="I367" s="639"/>
      <c r="J367" s="100"/>
      <c r="K367" s="100"/>
      <c r="L367" s="100"/>
    </row>
    <row r="368">
      <c r="A368" s="3"/>
      <c r="B368" s="595"/>
      <c r="C368" s="3"/>
      <c r="D368" s="542"/>
      <c r="E368" s="3"/>
      <c r="F368" s="3"/>
      <c r="G368" s="3"/>
      <c r="H368" s="3"/>
      <c r="I368" s="639"/>
      <c r="J368" s="100"/>
      <c r="K368" s="100"/>
      <c r="L368" s="100"/>
    </row>
    <row r="369">
      <c r="A369" s="3"/>
      <c r="B369" s="595"/>
      <c r="C369" s="3"/>
      <c r="D369" s="542"/>
      <c r="E369" s="3"/>
      <c r="F369" s="3"/>
      <c r="G369" s="3"/>
      <c r="H369" s="3"/>
      <c r="I369" s="639"/>
      <c r="J369" s="100"/>
      <c r="K369" s="100"/>
      <c r="L369" s="100"/>
    </row>
    <row r="370">
      <c r="A370" s="3"/>
      <c r="B370" s="595"/>
      <c r="C370" s="3"/>
      <c r="D370" s="542"/>
      <c r="E370" s="3"/>
      <c r="F370" s="3"/>
      <c r="G370" s="3"/>
      <c r="H370" s="3"/>
      <c r="I370" s="639"/>
      <c r="J370" s="100"/>
      <c r="K370" s="100"/>
      <c r="L370" s="100"/>
    </row>
    <row r="371">
      <c r="A371" s="3"/>
      <c r="B371" s="595"/>
      <c r="C371" s="3"/>
      <c r="D371" s="542"/>
      <c r="E371" s="3"/>
      <c r="F371" s="3"/>
      <c r="G371" s="3"/>
      <c r="H371" s="3"/>
      <c r="I371" s="639"/>
      <c r="J371" s="100"/>
      <c r="K371" s="100"/>
      <c r="L371" s="100"/>
    </row>
    <row r="372">
      <c r="A372" s="3"/>
      <c r="B372" s="595"/>
      <c r="C372" s="3"/>
      <c r="D372" s="542"/>
      <c r="E372" s="3"/>
      <c r="F372" s="3"/>
      <c r="G372" s="3"/>
      <c r="H372" s="3"/>
      <c r="I372" s="639"/>
      <c r="J372" s="100"/>
      <c r="K372" s="100"/>
      <c r="L372" s="100"/>
    </row>
    <row r="373">
      <c r="A373" s="3"/>
      <c r="B373" s="595"/>
      <c r="C373" s="3"/>
      <c r="D373" s="542"/>
      <c r="E373" s="3"/>
      <c r="F373" s="3"/>
      <c r="G373" s="3"/>
      <c r="H373" s="3"/>
      <c r="I373" s="639"/>
      <c r="J373" s="100"/>
      <c r="K373" s="100"/>
      <c r="L373" s="100"/>
    </row>
    <row r="374">
      <c r="A374" s="3"/>
      <c r="B374" s="595"/>
      <c r="C374" s="3"/>
      <c r="D374" s="542"/>
      <c r="E374" s="3"/>
      <c r="F374" s="3"/>
      <c r="G374" s="3"/>
      <c r="H374" s="3"/>
      <c r="I374" s="639"/>
      <c r="J374" s="100"/>
      <c r="K374" s="100"/>
      <c r="L374" s="100"/>
    </row>
    <row r="375">
      <c r="A375" s="3"/>
      <c r="B375" s="595"/>
      <c r="C375" s="3"/>
      <c r="D375" s="542"/>
      <c r="E375" s="3"/>
      <c r="F375" s="3"/>
      <c r="G375" s="3"/>
      <c r="H375" s="3"/>
      <c r="I375" s="639"/>
      <c r="J375" s="100"/>
      <c r="K375" s="100"/>
      <c r="L375" s="100"/>
    </row>
    <row r="376">
      <c r="A376" s="3"/>
      <c r="B376" s="595"/>
      <c r="C376" s="3"/>
      <c r="D376" s="542"/>
      <c r="E376" s="3"/>
      <c r="F376" s="3"/>
      <c r="G376" s="3"/>
      <c r="H376" s="3"/>
      <c r="I376" s="639"/>
      <c r="J376" s="100"/>
      <c r="K376" s="100"/>
      <c r="L376" s="100"/>
    </row>
    <row r="377">
      <c r="A377" s="3"/>
      <c r="B377" s="595"/>
      <c r="C377" s="3"/>
      <c r="D377" s="542"/>
      <c r="E377" s="3"/>
      <c r="F377" s="3"/>
      <c r="G377" s="3"/>
      <c r="H377" s="3"/>
      <c r="I377" s="639"/>
      <c r="J377" s="100"/>
      <c r="K377" s="100"/>
      <c r="L377" s="100"/>
    </row>
    <row r="378">
      <c r="A378" s="3"/>
      <c r="B378" s="595"/>
      <c r="C378" s="3"/>
      <c r="D378" s="542"/>
      <c r="E378" s="3"/>
      <c r="F378" s="3"/>
      <c r="G378" s="3"/>
      <c r="H378" s="3"/>
      <c r="I378" s="639"/>
      <c r="J378" s="100"/>
      <c r="K378" s="100"/>
      <c r="L378" s="100"/>
    </row>
    <row r="379">
      <c r="A379" s="3"/>
      <c r="B379" s="595"/>
      <c r="C379" s="3"/>
      <c r="D379" s="542"/>
      <c r="E379" s="3"/>
      <c r="F379" s="3"/>
      <c r="G379" s="3"/>
      <c r="H379" s="3"/>
      <c r="I379" s="639"/>
      <c r="J379" s="100"/>
      <c r="K379" s="100"/>
      <c r="L379" s="100"/>
    </row>
    <row r="380">
      <c r="A380" s="3"/>
      <c r="B380" s="595"/>
      <c r="C380" s="3"/>
      <c r="D380" s="542"/>
      <c r="E380" s="3"/>
      <c r="F380" s="3"/>
      <c r="G380" s="3"/>
      <c r="H380" s="3"/>
      <c r="I380" s="639"/>
      <c r="J380" s="100"/>
      <c r="K380" s="100"/>
      <c r="L380" s="100"/>
    </row>
    <row r="381">
      <c r="A381" s="3"/>
      <c r="B381" s="595"/>
      <c r="C381" s="3"/>
      <c r="D381" s="542"/>
      <c r="E381" s="3"/>
      <c r="F381" s="3"/>
      <c r="G381" s="3"/>
      <c r="H381" s="3"/>
      <c r="I381" s="639"/>
      <c r="J381" s="100"/>
      <c r="K381" s="100"/>
      <c r="L381" s="100"/>
    </row>
    <row r="382">
      <c r="A382" s="3"/>
      <c r="B382" s="595"/>
      <c r="C382" s="3"/>
      <c r="D382" s="542"/>
      <c r="E382" s="3"/>
      <c r="F382" s="3"/>
      <c r="G382" s="3"/>
      <c r="H382" s="3"/>
      <c r="I382" s="639"/>
      <c r="J382" s="100"/>
      <c r="K382" s="100"/>
      <c r="L382" s="100"/>
    </row>
    <row r="383">
      <c r="A383" s="3"/>
      <c r="B383" s="595"/>
      <c r="C383" s="3"/>
      <c r="D383" s="542"/>
      <c r="E383" s="3"/>
      <c r="F383" s="3"/>
      <c r="G383" s="3"/>
      <c r="H383" s="3"/>
      <c r="I383" s="639"/>
      <c r="J383" s="100"/>
      <c r="K383" s="100"/>
      <c r="L383" s="100"/>
    </row>
    <row r="384">
      <c r="A384" s="3"/>
      <c r="B384" s="595"/>
      <c r="C384" s="3"/>
      <c r="D384" s="542"/>
      <c r="E384" s="3"/>
      <c r="F384" s="3"/>
      <c r="G384" s="3"/>
      <c r="H384" s="3"/>
      <c r="I384" s="639"/>
      <c r="J384" s="100"/>
      <c r="K384" s="100"/>
      <c r="L384" s="100"/>
    </row>
    <row r="385">
      <c r="A385" s="3"/>
      <c r="B385" s="595"/>
      <c r="C385" s="3"/>
      <c r="D385" s="542"/>
      <c r="E385" s="3"/>
      <c r="F385" s="3"/>
      <c r="G385" s="3"/>
      <c r="H385" s="3"/>
      <c r="I385" s="639"/>
      <c r="J385" s="100"/>
      <c r="K385" s="100"/>
      <c r="L385" s="100"/>
    </row>
    <row r="386">
      <c r="A386" s="3"/>
      <c r="B386" s="595"/>
      <c r="C386" s="3"/>
      <c r="D386" s="542"/>
      <c r="E386" s="3"/>
      <c r="F386" s="3"/>
      <c r="G386" s="3"/>
      <c r="H386" s="3"/>
      <c r="I386" s="639"/>
      <c r="J386" s="100"/>
      <c r="K386" s="100"/>
      <c r="L386" s="100"/>
    </row>
    <row r="387">
      <c r="A387" s="3"/>
      <c r="B387" s="595"/>
      <c r="C387" s="3"/>
      <c r="D387" s="542"/>
      <c r="E387" s="3"/>
      <c r="F387" s="3"/>
      <c r="G387" s="3"/>
      <c r="H387" s="3"/>
      <c r="I387" s="639"/>
      <c r="J387" s="100"/>
      <c r="K387" s="100"/>
      <c r="L387" s="100"/>
    </row>
    <row r="388">
      <c r="A388" s="3"/>
      <c r="B388" s="595"/>
      <c r="C388" s="3"/>
      <c r="D388" s="542"/>
      <c r="E388" s="3"/>
      <c r="F388" s="3"/>
      <c r="G388" s="3"/>
      <c r="H388" s="3"/>
      <c r="I388" s="639"/>
      <c r="J388" s="100"/>
      <c r="K388" s="100"/>
      <c r="L388" s="100"/>
    </row>
    <row r="389">
      <c r="A389" s="3"/>
      <c r="B389" s="595"/>
      <c r="C389" s="3"/>
      <c r="D389" s="542"/>
      <c r="E389" s="3"/>
      <c r="F389" s="3"/>
      <c r="G389" s="3"/>
      <c r="H389" s="3"/>
      <c r="I389" s="639"/>
      <c r="J389" s="100"/>
      <c r="K389" s="100"/>
      <c r="L389" s="100"/>
    </row>
    <row r="390">
      <c r="A390" s="3"/>
      <c r="B390" s="595"/>
      <c r="C390" s="3"/>
      <c r="D390" s="542"/>
      <c r="E390" s="3"/>
      <c r="F390" s="3"/>
      <c r="G390" s="3"/>
      <c r="H390" s="3"/>
      <c r="I390" s="639"/>
      <c r="J390" s="100"/>
      <c r="K390" s="100"/>
      <c r="L390" s="100"/>
    </row>
    <row r="391">
      <c r="A391" s="3"/>
      <c r="B391" s="595"/>
      <c r="C391" s="3"/>
      <c r="D391" s="542"/>
      <c r="E391" s="3"/>
      <c r="F391" s="3"/>
      <c r="G391" s="3"/>
      <c r="H391" s="3"/>
      <c r="I391" s="639"/>
      <c r="J391" s="100"/>
      <c r="K391" s="100"/>
      <c r="L391" s="100"/>
    </row>
    <row r="392">
      <c r="A392" s="3"/>
      <c r="B392" s="595"/>
      <c r="C392" s="3"/>
      <c r="D392" s="542"/>
      <c r="E392" s="3"/>
      <c r="F392" s="3"/>
      <c r="G392" s="3"/>
      <c r="H392" s="3"/>
      <c r="I392" s="639"/>
      <c r="J392" s="100"/>
      <c r="K392" s="100"/>
      <c r="L392" s="100"/>
    </row>
    <row r="393">
      <c r="A393" s="3"/>
      <c r="B393" s="595"/>
      <c r="C393" s="3"/>
      <c r="D393" s="542"/>
      <c r="E393" s="3"/>
      <c r="F393" s="3"/>
      <c r="G393" s="3"/>
      <c r="H393" s="3"/>
      <c r="I393" s="639"/>
      <c r="J393" s="100"/>
      <c r="K393" s="100"/>
      <c r="L393" s="100"/>
    </row>
    <row r="394">
      <c r="A394" s="3"/>
      <c r="B394" s="595"/>
      <c r="C394" s="3"/>
      <c r="D394" s="542"/>
      <c r="E394" s="3"/>
      <c r="F394" s="3"/>
      <c r="G394" s="3"/>
      <c r="H394" s="3"/>
      <c r="I394" s="639"/>
      <c r="J394" s="100"/>
      <c r="K394" s="100"/>
      <c r="L394" s="100"/>
    </row>
    <row r="395">
      <c r="A395" s="3"/>
      <c r="B395" s="595"/>
      <c r="C395" s="3"/>
      <c r="D395" s="542"/>
      <c r="E395" s="3"/>
      <c r="F395" s="3"/>
      <c r="G395" s="3"/>
      <c r="H395" s="3"/>
      <c r="I395" s="639"/>
      <c r="J395" s="100"/>
      <c r="K395" s="100"/>
      <c r="L395" s="100"/>
    </row>
    <row r="396">
      <c r="A396" s="3"/>
      <c r="B396" s="595"/>
      <c r="C396" s="3"/>
      <c r="D396" s="542"/>
      <c r="E396" s="3"/>
      <c r="F396" s="3"/>
      <c r="G396" s="3"/>
      <c r="H396" s="3"/>
      <c r="I396" s="639"/>
      <c r="J396" s="100"/>
      <c r="K396" s="100"/>
      <c r="L396" s="100"/>
    </row>
    <row r="397">
      <c r="A397" s="3"/>
      <c r="B397" s="595"/>
      <c r="C397" s="3"/>
      <c r="D397" s="542"/>
      <c r="E397" s="3"/>
      <c r="F397" s="3"/>
      <c r="G397" s="3"/>
      <c r="H397" s="3"/>
      <c r="I397" s="639"/>
      <c r="J397" s="100"/>
      <c r="K397" s="100"/>
      <c r="L397" s="100"/>
    </row>
    <row r="398">
      <c r="A398" s="3"/>
      <c r="B398" s="595"/>
      <c r="C398" s="3"/>
      <c r="D398" s="542"/>
      <c r="E398" s="3"/>
      <c r="F398" s="3"/>
      <c r="G398" s="3"/>
      <c r="H398" s="3"/>
      <c r="I398" s="639"/>
      <c r="J398" s="100"/>
      <c r="K398" s="100"/>
      <c r="L398" s="100"/>
    </row>
    <row r="399">
      <c r="A399" s="3"/>
      <c r="B399" s="595"/>
      <c r="C399" s="3"/>
      <c r="D399" s="542"/>
      <c r="E399" s="3"/>
      <c r="F399" s="3"/>
      <c r="G399" s="3"/>
      <c r="H399" s="3"/>
      <c r="I399" s="639"/>
      <c r="J399" s="100"/>
      <c r="K399" s="100"/>
      <c r="L399" s="100"/>
    </row>
    <row r="400">
      <c r="A400" s="3"/>
      <c r="B400" s="595"/>
      <c r="C400" s="3"/>
      <c r="D400" s="542"/>
      <c r="E400" s="3"/>
      <c r="F400" s="3"/>
      <c r="G400" s="3"/>
      <c r="H400" s="3"/>
      <c r="I400" s="639"/>
      <c r="J400" s="100"/>
      <c r="K400" s="100"/>
      <c r="L400" s="100"/>
    </row>
    <row r="401">
      <c r="A401" s="3"/>
      <c r="B401" s="595"/>
      <c r="C401" s="3"/>
      <c r="D401" s="542"/>
      <c r="E401" s="3"/>
      <c r="F401" s="3"/>
      <c r="G401" s="3"/>
      <c r="H401" s="3"/>
      <c r="I401" s="639"/>
      <c r="J401" s="100"/>
      <c r="K401" s="100"/>
      <c r="L401" s="100"/>
    </row>
    <row r="402">
      <c r="A402" s="3"/>
      <c r="B402" s="595"/>
      <c r="C402" s="3"/>
      <c r="D402" s="542"/>
      <c r="E402" s="3"/>
      <c r="F402" s="3"/>
      <c r="G402" s="3"/>
      <c r="H402" s="3"/>
      <c r="I402" s="639"/>
      <c r="J402" s="100"/>
      <c r="K402" s="100"/>
      <c r="L402" s="100"/>
    </row>
    <row r="403">
      <c r="A403" s="3"/>
      <c r="B403" s="595"/>
      <c r="C403" s="3"/>
      <c r="D403" s="542"/>
      <c r="E403" s="3"/>
      <c r="F403" s="3"/>
      <c r="G403" s="3"/>
      <c r="H403" s="3"/>
      <c r="I403" s="639"/>
      <c r="J403" s="100"/>
      <c r="K403" s="100"/>
      <c r="L403" s="100"/>
    </row>
    <row r="404">
      <c r="A404" s="3"/>
      <c r="B404" s="595"/>
      <c r="C404" s="3"/>
      <c r="D404" s="542"/>
      <c r="E404" s="3"/>
      <c r="F404" s="3"/>
      <c r="G404" s="3"/>
      <c r="H404" s="3"/>
      <c r="I404" s="639"/>
      <c r="J404" s="100"/>
      <c r="K404" s="100"/>
      <c r="L404" s="100"/>
    </row>
    <row r="405">
      <c r="A405" s="3"/>
      <c r="B405" s="595"/>
      <c r="C405" s="3"/>
      <c r="D405" s="542"/>
      <c r="E405" s="3"/>
      <c r="F405" s="3"/>
      <c r="G405" s="3"/>
      <c r="H405" s="3"/>
      <c r="I405" s="639"/>
      <c r="J405" s="100"/>
      <c r="K405" s="100"/>
      <c r="L405" s="100"/>
    </row>
    <row r="406">
      <c r="A406" s="3"/>
      <c r="B406" s="595"/>
      <c r="C406" s="3"/>
      <c r="D406" s="542"/>
      <c r="E406" s="3"/>
      <c r="F406" s="3"/>
      <c r="G406" s="3"/>
      <c r="H406" s="3"/>
      <c r="I406" s="639"/>
      <c r="J406" s="100"/>
      <c r="K406" s="100"/>
      <c r="L406" s="100"/>
    </row>
    <row r="407">
      <c r="A407" s="3"/>
      <c r="B407" s="595"/>
      <c r="C407" s="3"/>
      <c r="D407" s="542"/>
      <c r="E407" s="3"/>
      <c r="F407" s="3"/>
      <c r="G407" s="3"/>
      <c r="H407" s="3"/>
      <c r="I407" s="639"/>
      <c r="J407" s="100"/>
      <c r="K407" s="100"/>
      <c r="L407" s="100"/>
    </row>
    <row r="408">
      <c r="A408" s="3"/>
      <c r="B408" s="595"/>
      <c r="C408" s="3"/>
      <c r="D408" s="542"/>
      <c r="E408" s="3"/>
      <c r="F408" s="3"/>
      <c r="G408" s="3"/>
      <c r="H408" s="3"/>
      <c r="I408" s="639"/>
      <c r="J408" s="100"/>
      <c r="K408" s="100"/>
      <c r="L408" s="100"/>
    </row>
    <row r="409">
      <c r="A409" s="3"/>
      <c r="B409" s="595"/>
      <c r="C409" s="3"/>
      <c r="D409" s="542"/>
      <c r="E409" s="3"/>
      <c r="F409" s="3"/>
      <c r="G409" s="3"/>
      <c r="H409" s="3"/>
      <c r="I409" s="639"/>
      <c r="J409" s="100"/>
      <c r="K409" s="100"/>
      <c r="L409" s="100"/>
    </row>
    <row r="410">
      <c r="A410" s="3"/>
      <c r="B410" s="595"/>
      <c r="C410" s="3"/>
      <c r="D410" s="542"/>
      <c r="E410" s="3"/>
      <c r="F410" s="3"/>
      <c r="G410" s="3"/>
      <c r="H410" s="3"/>
      <c r="I410" s="639"/>
      <c r="J410" s="100"/>
      <c r="K410" s="100"/>
      <c r="L410" s="100"/>
    </row>
    <row r="411">
      <c r="A411" s="3"/>
      <c r="B411" s="595"/>
      <c r="C411" s="3"/>
      <c r="D411" s="542"/>
      <c r="E411" s="3"/>
      <c r="F411" s="3"/>
      <c r="G411" s="3"/>
      <c r="H411" s="3"/>
      <c r="I411" s="639"/>
      <c r="J411" s="100"/>
      <c r="K411" s="100"/>
      <c r="L411" s="100"/>
    </row>
    <row r="412">
      <c r="A412" s="3"/>
      <c r="B412" s="595"/>
      <c r="C412" s="3"/>
      <c r="D412" s="542"/>
      <c r="E412" s="3"/>
      <c r="F412" s="3"/>
      <c r="G412" s="3"/>
      <c r="H412" s="3"/>
      <c r="I412" s="639"/>
      <c r="J412" s="100"/>
      <c r="K412" s="100"/>
      <c r="L412" s="100"/>
    </row>
    <row r="413">
      <c r="A413" s="3"/>
      <c r="B413" s="595"/>
      <c r="C413" s="3"/>
      <c r="D413" s="542"/>
      <c r="E413" s="3"/>
      <c r="F413" s="3"/>
      <c r="G413" s="3"/>
      <c r="H413" s="3"/>
      <c r="I413" s="639"/>
      <c r="J413" s="100"/>
      <c r="K413" s="100"/>
      <c r="L413" s="100"/>
    </row>
    <row r="414">
      <c r="A414" s="3"/>
      <c r="B414" s="595"/>
      <c r="C414" s="3"/>
      <c r="D414" s="542"/>
      <c r="E414" s="3"/>
      <c r="F414" s="3"/>
      <c r="G414" s="3"/>
      <c r="H414" s="3"/>
      <c r="I414" s="639"/>
      <c r="J414" s="100"/>
      <c r="K414" s="100"/>
      <c r="L414" s="100"/>
    </row>
    <row r="415">
      <c r="A415" s="3"/>
      <c r="B415" s="595"/>
      <c r="C415" s="3"/>
      <c r="D415" s="542"/>
      <c r="E415" s="3"/>
      <c r="F415" s="3"/>
      <c r="G415" s="3"/>
      <c r="H415" s="3"/>
      <c r="I415" s="639"/>
      <c r="J415" s="100"/>
      <c r="K415" s="100"/>
      <c r="L415" s="100"/>
    </row>
    <row r="416">
      <c r="A416" s="3"/>
      <c r="B416" s="595"/>
      <c r="C416" s="3"/>
      <c r="D416" s="542"/>
      <c r="E416" s="3"/>
      <c r="F416" s="3"/>
      <c r="G416" s="3"/>
      <c r="H416" s="3"/>
      <c r="I416" s="639"/>
      <c r="J416" s="100"/>
      <c r="K416" s="100"/>
      <c r="L416" s="100"/>
    </row>
    <row r="417">
      <c r="A417" s="3"/>
      <c r="B417" s="595"/>
      <c r="C417" s="3"/>
      <c r="D417" s="542"/>
      <c r="E417" s="3"/>
      <c r="F417" s="3"/>
      <c r="G417" s="3"/>
      <c r="H417" s="3"/>
      <c r="I417" s="639"/>
      <c r="J417" s="100"/>
      <c r="K417" s="100"/>
      <c r="L417" s="100"/>
    </row>
    <row r="418">
      <c r="A418" s="3"/>
      <c r="B418" s="595"/>
      <c r="C418" s="3"/>
      <c r="D418" s="542"/>
      <c r="E418" s="3"/>
      <c r="F418" s="3"/>
      <c r="G418" s="3"/>
      <c r="H418" s="3"/>
      <c r="I418" s="639"/>
      <c r="J418" s="100"/>
      <c r="K418" s="100"/>
      <c r="L418" s="100"/>
    </row>
    <row r="419">
      <c r="A419" s="3"/>
      <c r="B419" s="595"/>
      <c r="C419" s="3"/>
      <c r="D419" s="542"/>
      <c r="E419" s="3"/>
      <c r="F419" s="3"/>
      <c r="G419" s="3"/>
      <c r="H419" s="3"/>
      <c r="I419" s="639"/>
      <c r="J419" s="100"/>
      <c r="K419" s="100"/>
      <c r="L419" s="100"/>
    </row>
    <row r="420">
      <c r="A420" s="3"/>
      <c r="B420" s="595"/>
      <c r="C420" s="3"/>
      <c r="D420" s="542"/>
      <c r="E420" s="3"/>
      <c r="F420" s="3"/>
      <c r="G420" s="3"/>
      <c r="H420" s="3"/>
      <c r="I420" s="639"/>
      <c r="J420" s="100"/>
      <c r="K420" s="100"/>
      <c r="L420" s="100"/>
    </row>
    <row r="421">
      <c r="A421" s="3"/>
      <c r="B421" s="595"/>
      <c r="C421" s="3"/>
      <c r="D421" s="542"/>
      <c r="E421" s="3"/>
      <c r="F421" s="3"/>
      <c r="G421" s="3"/>
      <c r="H421" s="3"/>
      <c r="I421" s="639"/>
      <c r="J421" s="100"/>
      <c r="K421" s="100"/>
      <c r="L421" s="100"/>
    </row>
    <row r="422">
      <c r="A422" s="3"/>
      <c r="B422" s="595"/>
      <c r="C422" s="3"/>
      <c r="D422" s="542"/>
      <c r="E422" s="3"/>
      <c r="F422" s="3"/>
      <c r="G422" s="3"/>
      <c r="H422" s="3"/>
      <c r="I422" s="639"/>
      <c r="J422" s="100"/>
      <c r="K422" s="100"/>
      <c r="L422" s="100"/>
    </row>
    <row r="423">
      <c r="A423" s="3"/>
      <c r="B423" s="595"/>
      <c r="C423" s="3"/>
      <c r="D423" s="542"/>
      <c r="E423" s="3"/>
      <c r="F423" s="3"/>
      <c r="G423" s="3"/>
      <c r="H423" s="3"/>
      <c r="I423" s="639"/>
      <c r="J423" s="100"/>
      <c r="K423" s="100"/>
      <c r="L423" s="100"/>
    </row>
    <row r="424">
      <c r="A424" s="3"/>
      <c r="B424" s="595"/>
      <c r="C424" s="3"/>
      <c r="D424" s="542"/>
      <c r="E424" s="3"/>
      <c r="F424" s="3"/>
      <c r="G424" s="3"/>
      <c r="H424" s="3"/>
      <c r="I424" s="639"/>
      <c r="J424" s="100"/>
      <c r="K424" s="100"/>
      <c r="L424" s="100"/>
    </row>
    <row r="425">
      <c r="A425" s="3"/>
      <c r="B425" s="595"/>
      <c r="C425" s="3"/>
      <c r="D425" s="542"/>
      <c r="E425" s="3"/>
      <c r="F425" s="3"/>
      <c r="G425" s="3"/>
      <c r="H425" s="3"/>
      <c r="I425" s="639"/>
      <c r="J425" s="100"/>
      <c r="K425" s="100"/>
      <c r="L425" s="100"/>
    </row>
    <row r="426">
      <c r="A426" s="3"/>
      <c r="B426" s="595"/>
      <c r="C426" s="3"/>
      <c r="D426" s="542"/>
      <c r="E426" s="3"/>
      <c r="F426" s="3"/>
      <c r="G426" s="3"/>
      <c r="H426" s="3"/>
      <c r="I426" s="639"/>
      <c r="J426" s="100"/>
      <c r="K426" s="100"/>
      <c r="L426" s="100"/>
    </row>
    <row r="427">
      <c r="A427" s="3"/>
      <c r="B427" s="595"/>
      <c r="C427" s="3"/>
      <c r="D427" s="542"/>
      <c r="E427" s="3"/>
      <c r="F427" s="3"/>
      <c r="G427" s="3"/>
      <c r="H427" s="3"/>
      <c r="I427" s="639"/>
      <c r="J427" s="100"/>
      <c r="K427" s="100"/>
      <c r="L427" s="100"/>
    </row>
    <row r="428">
      <c r="A428" s="3"/>
      <c r="B428" s="595"/>
      <c r="C428" s="3"/>
      <c r="D428" s="542"/>
      <c r="E428" s="3"/>
      <c r="F428" s="3"/>
      <c r="G428" s="3"/>
      <c r="H428" s="3"/>
      <c r="I428" s="639"/>
      <c r="J428" s="100"/>
      <c r="K428" s="100"/>
      <c r="L428" s="100"/>
    </row>
    <row r="429">
      <c r="A429" s="3"/>
      <c r="B429" s="595"/>
      <c r="C429" s="3"/>
      <c r="D429" s="542"/>
      <c r="E429" s="3"/>
      <c r="F429" s="3"/>
      <c r="G429" s="3"/>
      <c r="H429" s="3"/>
      <c r="I429" s="639"/>
      <c r="J429" s="100"/>
      <c r="K429" s="100"/>
      <c r="L429" s="100"/>
    </row>
    <row r="430">
      <c r="A430" s="3"/>
      <c r="B430" s="595"/>
      <c r="C430" s="3"/>
      <c r="D430" s="542"/>
      <c r="E430" s="3"/>
      <c r="F430" s="3"/>
      <c r="G430" s="3"/>
      <c r="H430" s="3"/>
      <c r="I430" s="639"/>
      <c r="J430" s="100"/>
      <c r="K430" s="100"/>
      <c r="L430" s="100"/>
    </row>
    <row r="431">
      <c r="A431" s="3"/>
      <c r="B431" s="595"/>
      <c r="C431" s="3"/>
      <c r="D431" s="542"/>
      <c r="E431" s="3"/>
      <c r="F431" s="3"/>
      <c r="G431" s="3"/>
      <c r="H431" s="3"/>
      <c r="I431" s="639"/>
      <c r="J431" s="100"/>
      <c r="K431" s="100"/>
      <c r="L431" s="100"/>
    </row>
    <row r="432">
      <c r="A432" s="3"/>
      <c r="B432" s="595"/>
      <c r="C432" s="3"/>
      <c r="D432" s="542"/>
      <c r="E432" s="3"/>
      <c r="F432" s="3"/>
      <c r="G432" s="3"/>
      <c r="H432" s="3"/>
      <c r="I432" s="639"/>
      <c r="J432" s="100"/>
      <c r="K432" s="100"/>
      <c r="L432" s="100"/>
    </row>
    <row r="433">
      <c r="A433" s="3"/>
      <c r="B433" s="595"/>
      <c r="C433" s="3"/>
      <c r="D433" s="542"/>
      <c r="E433" s="3"/>
      <c r="F433" s="3"/>
      <c r="G433" s="3"/>
      <c r="H433" s="3"/>
      <c r="I433" s="639"/>
      <c r="J433" s="100"/>
      <c r="K433" s="100"/>
      <c r="L433" s="100"/>
    </row>
    <row r="434">
      <c r="A434" s="3"/>
      <c r="B434" s="595"/>
      <c r="C434" s="3"/>
      <c r="D434" s="542"/>
      <c r="E434" s="3"/>
      <c r="F434" s="3"/>
      <c r="G434" s="3"/>
      <c r="H434" s="3"/>
      <c r="I434" s="639"/>
      <c r="J434" s="100"/>
      <c r="K434" s="100"/>
      <c r="L434" s="100"/>
    </row>
    <row r="435">
      <c r="A435" s="3"/>
      <c r="B435" s="595"/>
      <c r="C435" s="3"/>
      <c r="D435" s="542"/>
      <c r="E435" s="3"/>
      <c r="F435" s="3"/>
      <c r="G435" s="3"/>
      <c r="H435" s="3"/>
      <c r="I435" s="639"/>
      <c r="J435" s="100"/>
      <c r="K435" s="100"/>
      <c r="L435" s="100"/>
    </row>
    <row r="436">
      <c r="A436" s="3"/>
      <c r="B436" s="595"/>
      <c r="C436" s="3"/>
      <c r="D436" s="542"/>
      <c r="E436" s="3"/>
      <c r="F436" s="3"/>
      <c r="G436" s="3"/>
      <c r="H436" s="3"/>
      <c r="I436" s="639"/>
      <c r="J436" s="100"/>
      <c r="K436" s="100"/>
      <c r="L436" s="100"/>
    </row>
    <row r="437">
      <c r="A437" s="3"/>
      <c r="B437" s="595"/>
      <c r="C437" s="3"/>
      <c r="D437" s="542"/>
      <c r="E437" s="3"/>
      <c r="F437" s="3"/>
      <c r="G437" s="3"/>
      <c r="H437" s="3"/>
      <c r="I437" s="639"/>
      <c r="J437" s="100"/>
      <c r="K437" s="100"/>
      <c r="L437" s="100"/>
    </row>
    <row r="438">
      <c r="A438" s="3"/>
      <c r="B438" s="595"/>
      <c r="C438" s="3"/>
      <c r="D438" s="542"/>
      <c r="E438" s="3"/>
      <c r="F438" s="3"/>
      <c r="G438" s="3"/>
      <c r="H438" s="3"/>
      <c r="I438" s="639"/>
      <c r="J438" s="100"/>
      <c r="K438" s="100"/>
      <c r="L438" s="100"/>
    </row>
    <row r="439">
      <c r="A439" s="3"/>
      <c r="B439" s="595"/>
      <c r="C439" s="3"/>
      <c r="D439" s="542"/>
      <c r="E439" s="3"/>
      <c r="F439" s="3"/>
      <c r="G439" s="3"/>
      <c r="H439" s="3"/>
      <c r="I439" s="639"/>
      <c r="J439" s="100"/>
      <c r="K439" s="100"/>
      <c r="L439" s="100"/>
    </row>
    <row r="440">
      <c r="A440" s="3"/>
      <c r="B440" s="595"/>
      <c r="C440" s="3"/>
      <c r="D440" s="542"/>
      <c r="E440" s="3"/>
      <c r="F440" s="3"/>
      <c r="G440" s="3"/>
      <c r="H440" s="3"/>
      <c r="I440" s="639"/>
      <c r="J440" s="100"/>
      <c r="K440" s="100"/>
      <c r="L440" s="100"/>
    </row>
    <row r="441">
      <c r="A441" s="3"/>
      <c r="B441" s="595"/>
      <c r="C441" s="3"/>
      <c r="D441" s="542"/>
      <c r="E441" s="3"/>
      <c r="F441" s="3"/>
      <c r="G441" s="3"/>
      <c r="H441" s="3"/>
      <c r="I441" s="639"/>
      <c r="J441" s="100"/>
      <c r="K441" s="100"/>
      <c r="L441" s="100"/>
    </row>
    <row r="442">
      <c r="A442" s="3"/>
      <c r="B442" s="595"/>
      <c r="C442" s="3"/>
      <c r="D442" s="542"/>
      <c r="E442" s="3"/>
      <c r="F442" s="3"/>
      <c r="G442" s="3"/>
      <c r="H442" s="3"/>
      <c r="I442" s="639"/>
      <c r="J442" s="100"/>
      <c r="K442" s="100"/>
      <c r="L442" s="100"/>
    </row>
    <row r="443">
      <c r="A443" s="3"/>
      <c r="B443" s="595"/>
      <c r="C443" s="3"/>
      <c r="D443" s="542"/>
      <c r="E443" s="3"/>
      <c r="F443" s="3"/>
      <c r="G443" s="3"/>
      <c r="H443" s="3"/>
      <c r="I443" s="639"/>
      <c r="J443" s="100"/>
      <c r="K443" s="100"/>
      <c r="L443" s="100"/>
    </row>
    <row r="444">
      <c r="A444" s="3"/>
      <c r="B444" s="595"/>
      <c r="C444" s="3"/>
      <c r="D444" s="542"/>
      <c r="E444" s="3"/>
      <c r="F444" s="3"/>
      <c r="G444" s="3"/>
      <c r="H444" s="3"/>
      <c r="I444" s="639"/>
      <c r="J444" s="100"/>
      <c r="K444" s="100"/>
      <c r="L444" s="100"/>
    </row>
    <row r="445">
      <c r="A445" s="3"/>
      <c r="B445" s="595"/>
      <c r="C445" s="3"/>
      <c r="D445" s="542"/>
      <c r="E445" s="3"/>
      <c r="F445" s="3"/>
      <c r="G445" s="3"/>
      <c r="H445" s="3"/>
      <c r="I445" s="639"/>
      <c r="J445" s="100"/>
      <c r="K445" s="100"/>
      <c r="L445" s="100"/>
    </row>
    <row r="446">
      <c r="A446" s="3"/>
      <c r="B446" s="595"/>
      <c r="C446" s="3"/>
      <c r="D446" s="542"/>
      <c r="E446" s="3"/>
      <c r="F446" s="3"/>
      <c r="G446" s="3"/>
      <c r="H446" s="3"/>
      <c r="I446" s="639"/>
      <c r="J446" s="100"/>
      <c r="K446" s="100"/>
      <c r="L446" s="100"/>
    </row>
    <row r="447">
      <c r="A447" s="3"/>
      <c r="B447" s="595"/>
      <c r="C447" s="3"/>
      <c r="D447" s="542"/>
      <c r="E447" s="3"/>
      <c r="F447" s="3"/>
      <c r="G447" s="3"/>
      <c r="H447" s="3"/>
      <c r="I447" s="639"/>
      <c r="J447" s="100"/>
      <c r="K447" s="100"/>
      <c r="L447" s="100"/>
    </row>
    <row r="448">
      <c r="A448" s="3"/>
      <c r="B448" s="595"/>
      <c r="C448" s="3"/>
      <c r="D448" s="542"/>
      <c r="E448" s="3"/>
      <c r="F448" s="3"/>
      <c r="G448" s="3"/>
      <c r="H448" s="3"/>
      <c r="I448" s="639"/>
      <c r="J448" s="100"/>
      <c r="K448" s="100"/>
      <c r="L448" s="100"/>
    </row>
    <row r="449">
      <c r="A449" s="3"/>
      <c r="B449" s="595"/>
      <c r="C449" s="3"/>
      <c r="D449" s="542"/>
      <c r="E449" s="3"/>
      <c r="F449" s="3"/>
      <c r="G449" s="3"/>
      <c r="H449" s="3"/>
      <c r="I449" s="639"/>
      <c r="J449" s="100"/>
      <c r="K449" s="100"/>
      <c r="L449" s="100"/>
    </row>
    <row r="450">
      <c r="A450" s="3"/>
      <c r="B450" s="595"/>
      <c r="C450" s="3"/>
      <c r="D450" s="542"/>
      <c r="E450" s="3"/>
      <c r="F450" s="3"/>
      <c r="G450" s="3"/>
      <c r="H450" s="3"/>
      <c r="I450" s="639"/>
      <c r="J450" s="100"/>
      <c r="K450" s="100"/>
      <c r="L450" s="100"/>
    </row>
    <row r="451">
      <c r="A451" s="3"/>
      <c r="B451" s="595"/>
      <c r="C451" s="3"/>
      <c r="D451" s="542"/>
      <c r="E451" s="3"/>
      <c r="F451" s="3"/>
      <c r="G451" s="3"/>
      <c r="H451" s="3"/>
      <c r="I451" s="639"/>
      <c r="J451" s="100"/>
      <c r="K451" s="100"/>
      <c r="L451" s="100"/>
    </row>
    <row r="452">
      <c r="A452" s="3"/>
      <c r="B452" s="595"/>
      <c r="C452" s="3"/>
      <c r="D452" s="542"/>
      <c r="E452" s="3"/>
      <c r="F452" s="3"/>
      <c r="G452" s="3"/>
      <c r="H452" s="3"/>
      <c r="I452" s="639"/>
      <c r="J452" s="100"/>
      <c r="K452" s="100"/>
      <c r="L452" s="100"/>
    </row>
    <row r="453">
      <c r="A453" s="3"/>
      <c r="B453" s="595"/>
      <c r="C453" s="3"/>
      <c r="D453" s="542"/>
      <c r="E453" s="3"/>
      <c r="F453" s="3"/>
      <c r="G453" s="3"/>
      <c r="H453" s="3"/>
      <c r="I453" s="639"/>
      <c r="J453" s="100"/>
      <c r="K453" s="100"/>
      <c r="L453" s="100"/>
    </row>
    <row r="454">
      <c r="A454" s="3"/>
      <c r="B454" s="595"/>
      <c r="C454" s="3"/>
      <c r="D454" s="542"/>
      <c r="E454" s="3"/>
      <c r="F454" s="3"/>
      <c r="G454" s="3"/>
      <c r="H454" s="3"/>
      <c r="I454" s="639"/>
      <c r="J454" s="100"/>
      <c r="K454" s="100"/>
      <c r="L454" s="100"/>
    </row>
    <row r="455">
      <c r="A455" s="3"/>
      <c r="B455" s="595"/>
      <c r="C455" s="3"/>
      <c r="D455" s="542"/>
      <c r="E455" s="3"/>
      <c r="F455" s="3"/>
      <c r="G455" s="3"/>
      <c r="H455" s="3"/>
      <c r="I455" s="639"/>
      <c r="J455" s="100"/>
      <c r="K455" s="100"/>
      <c r="L455" s="100"/>
    </row>
    <row r="456">
      <c r="A456" s="3"/>
      <c r="B456" s="595"/>
      <c r="C456" s="3"/>
      <c r="D456" s="542"/>
      <c r="E456" s="3"/>
      <c r="F456" s="3"/>
      <c r="G456" s="3"/>
      <c r="H456" s="3"/>
      <c r="I456" s="639"/>
      <c r="J456" s="100"/>
      <c r="K456" s="100"/>
      <c r="L456" s="100"/>
    </row>
    <row r="457">
      <c r="A457" s="3"/>
      <c r="B457" s="595"/>
      <c r="C457" s="3"/>
      <c r="D457" s="542"/>
      <c r="E457" s="3"/>
      <c r="F457" s="3"/>
      <c r="G457" s="3"/>
      <c r="H457" s="3"/>
      <c r="I457" s="639"/>
      <c r="J457" s="100"/>
      <c r="K457" s="100"/>
      <c r="L457" s="100"/>
    </row>
    <row r="458">
      <c r="A458" s="3"/>
      <c r="B458" s="595"/>
      <c r="C458" s="3"/>
      <c r="D458" s="542"/>
      <c r="E458" s="3"/>
      <c r="F458" s="3"/>
      <c r="G458" s="3"/>
      <c r="H458" s="3"/>
      <c r="I458" s="639"/>
      <c r="J458" s="100"/>
      <c r="K458" s="100"/>
      <c r="L458" s="100"/>
    </row>
    <row r="459">
      <c r="A459" s="3"/>
      <c r="B459" s="595"/>
      <c r="C459" s="3"/>
      <c r="D459" s="542"/>
      <c r="E459" s="3"/>
      <c r="F459" s="3"/>
      <c r="G459" s="3"/>
      <c r="H459" s="3"/>
      <c r="I459" s="639"/>
      <c r="J459" s="100"/>
      <c r="K459" s="100"/>
      <c r="L459" s="100"/>
    </row>
    <row r="460">
      <c r="A460" s="3"/>
      <c r="B460" s="595"/>
      <c r="C460" s="3"/>
      <c r="D460" s="542"/>
      <c r="E460" s="3"/>
      <c r="F460" s="3"/>
      <c r="G460" s="3"/>
      <c r="H460" s="3"/>
      <c r="I460" s="639"/>
      <c r="J460" s="100"/>
      <c r="K460" s="100"/>
      <c r="L460" s="100"/>
    </row>
    <row r="461">
      <c r="A461" s="3"/>
      <c r="B461" s="595"/>
      <c r="C461" s="3"/>
      <c r="D461" s="542"/>
      <c r="E461" s="3"/>
      <c r="F461" s="3"/>
      <c r="G461" s="3"/>
      <c r="H461" s="3"/>
      <c r="I461" s="639"/>
      <c r="J461" s="100"/>
      <c r="K461" s="100"/>
      <c r="L461" s="100"/>
    </row>
    <row r="462">
      <c r="A462" s="3"/>
      <c r="B462" s="595"/>
      <c r="C462" s="3"/>
      <c r="D462" s="542"/>
      <c r="E462" s="3"/>
      <c r="F462" s="3"/>
      <c r="G462" s="3"/>
      <c r="H462" s="3"/>
      <c r="I462" s="639"/>
      <c r="J462" s="100"/>
      <c r="K462" s="100"/>
      <c r="L462" s="100"/>
    </row>
    <row r="463">
      <c r="A463" s="3"/>
      <c r="B463" s="595"/>
      <c r="C463" s="3"/>
      <c r="D463" s="542"/>
      <c r="E463" s="3"/>
      <c r="F463" s="3"/>
      <c r="G463" s="3"/>
      <c r="H463" s="3"/>
      <c r="I463" s="639"/>
      <c r="J463" s="100"/>
      <c r="K463" s="100"/>
      <c r="L463" s="100"/>
    </row>
    <row r="464">
      <c r="A464" s="3"/>
      <c r="B464" s="595"/>
      <c r="C464" s="3"/>
      <c r="D464" s="542"/>
      <c r="E464" s="3"/>
      <c r="F464" s="3"/>
      <c r="G464" s="3"/>
      <c r="H464" s="3"/>
      <c r="I464" s="639"/>
      <c r="J464" s="100"/>
      <c r="K464" s="100"/>
      <c r="L464" s="100"/>
    </row>
    <row r="465">
      <c r="A465" s="3"/>
      <c r="B465" s="595"/>
      <c r="C465" s="3"/>
      <c r="D465" s="542"/>
      <c r="E465" s="3"/>
      <c r="F465" s="3"/>
      <c r="G465" s="3"/>
      <c r="H465" s="3"/>
      <c r="I465" s="639"/>
      <c r="J465" s="100"/>
      <c r="K465" s="100"/>
      <c r="L465" s="100"/>
    </row>
    <row r="466">
      <c r="A466" s="3"/>
      <c r="B466" s="595"/>
      <c r="C466" s="3"/>
      <c r="D466" s="542"/>
      <c r="E466" s="3"/>
      <c r="F466" s="3"/>
      <c r="G466" s="3"/>
      <c r="H466" s="3"/>
      <c r="I466" s="639"/>
      <c r="J466" s="100"/>
      <c r="K466" s="100"/>
      <c r="L466" s="100"/>
    </row>
    <row r="467">
      <c r="A467" s="3"/>
      <c r="B467" s="595"/>
      <c r="C467" s="3"/>
      <c r="D467" s="542"/>
      <c r="E467" s="3"/>
      <c r="F467" s="3"/>
      <c r="G467" s="3"/>
      <c r="H467" s="3"/>
      <c r="I467" s="639"/>
      <c r="J467" s="100"/>
      <c r="K467" s="100"/>
      <c r="L467" s="100"/>
    </row>
    <row r="468">
      <c r="A468" s="3"/>
      <c r="B468" s="595"/>
      <c r="C468" s="3"/>
      <c r="D468" s="542"/>
      <c r="E468" s="3"/>
      <c r="F468" s="3"/>
      <c r="G468" s="3"/>
      <c r="H468" s="3"/>
      <c r="I468" s="639"/>
      <c r="J468" s="100"/>
      <c r="K468" s="100"/>
      <c r="L468" s="100"/>
    </row>
    <row r="469">
      <c r="A469" s="3"/>
      <c r="B469" s="595"/>
      <c r="C469" s="3"/>
      <c r="D469" s="542"/>
      <c r="E469" s="3"/>
      <c r="F469" s="3"/>
      <c r="G469" s="3"/>
      <c r="H469" s="3"/>
      <c r="I469" s="639"/>
      <c r="J469" s="100"/>
      <c r="K469" s="100"/>
      <c r="L469" s="100"/>
    </row>
    <row r="470">
      <c r="A470" s="3"/>
      <c r="B470" s="595"/>
      <c r="C470" s="3"/>
      <c r="D470" s="542"/>
      <c r="E470" s="3"/>
      <c r="F470" s="3"/>
      <c r="G470" s="3"/>
      <c r="H470" s="3"/>
      <c r="I470" s="639"/>
      <c r="J470" s="100"/>
      <c r="K470" s="100"/>
      <c r="L470" s="100"/>
    </row>
    <row r="471">
      <c r="A471" s="3"/>
      <c r="B471" s="595"/>
      <c r="C471" s="3"/>
      <c r="D471" s="542"/>
      <c r="E471" s="3"/>
      <c r="F471" s="3"/>
      <c r="G471" s="3"/>
      <c r="H471" s="3"/>
      <c r="I471" s="639"/>
      <c r="J471" s="100"/>
      <c r="K471" s="100"/>
      <c r="L471" s="100"/>
    </row>
    <row r="472">
      <c r="A472" s="3"/>
      <c r="B472" s="595"/>
      <c r="C472" s="3"/>
      <c r="D472" s="542"/>
      <c r="E472" s="3"/>
      <c r="F472" s="3"/>
      <c r="G472" s="3"/>
      <c r="H472" s="3"/>
      <c r="I472" s="639"/>
      <c r="J472" s="100"/>
      <c r="K472" s="100"/>
      <c r="L472" s="100"/>
    </row>
    <row r="473">
      <c r="A473" s="3"/>
      <c r="B473" s="595"/>
      <c r="C473" s="3"/>
      <c r="D473" s="542"/>
      <c r="E473" s="3"/>
      <c r="F473" s="3"/>
      <c r="G473" s="3"/>
      <c r="H473" s="3"/>
      <c r="I473" s="639"/>
      <c r="J473" s="100"/>
      <c r="K473" s="100"/>
      <c r="L473" s="100"/>
    </row>
    <row r="474">
      <c r="A474" s="3"/>
      <c r="B474" s="595"/>
      <c r="C474" s="3"/>
      <c r="D474" s="542"/>
      <c r="E474" s="3"/>
      <c r="F474" s="3"/>
      <c r="G474" s="3"/>
      <c r="H474" s="3"/>
      <c r="I474" s="639"/>
      <c r="J474" s="100"/>
      <c r="K474" s="100"/>
      <c r="L474" s="100"/>
    </row>
    <row r="475">
      <c r="A475" s="3"/>
      <c r="B475" s="595"/>
      <c r="C475" s="3"/>
      <c r="D475" s="542"/>
      <c r="E475" s="3"/>
      <c r="F475" s="3"/>
      <c r="G475" s="3"/>
      <c r="H475" s="3"/>
      <c r="I475" s="639"/>
      <c r="J475" s="100"/>
      <c r="K475" s="100"/>
      <c r="L475" s="100"/>
    </row>
    <row r="476">
      <c r="A476" s="3"/>
      <c r="B476" s="595"/>
      <c r="C476" s="3"/>
      <c r="D476" s="542"/>
      <c r="E476" s="3"/>
      <c r="F476" s="3"/>
      <c r="G476" s="3"/>
      <c r="H476" s="3"/>
      <c r="I476" s="639"/>
      <c r="J476" s="100"/>
      <c r="K476" s="100"/>
      <c r="L476" s="100"/>
    </row>
    <row r="477">
      <c r="A477" s="3"/>
      <c r="B477" s="595"/>
      <c r="C477" s="3"/>
      <c r="D477" s="542"/>
      <c r="E477" s="3"/>
      <c r="F477" s="3"/>
      <c r="G477" s="3"/>
      <c r="H477" s="3"/>
      <c r="I477" s="639"/>
      <c r="J477" s="100"/>
      <c r="K477" s="100"/>
      <c r="L477" s="100"/>
    </row>
    <row r="478">
      <c r="A478" s="3"/>
      <c r="B478" s="595"/>
      <c r="C478" s="3"/>
      <c r="D478" s="542"/>
      <c r="E478" s="3"/>
      <c r="F478" s="3"/>
      <c r="G478" s="3"/>
      <c r="H478" s="3"/>
      <c r="I478" s="639"/>
      <c r="J478" s="100"/>
      <c r="K478" s="100"/>
      <c r="L478" s="100"/>
    </row>
    <row r="479">
      <c r="A479" s="3"/>
      <c r="B479" s="595"/>
      <c r="C479" s="3"/>
      <c r="D479" s="542"/>
      <c r="E479" s="3"/>
      <c r="F479" s="3"/>
      <c r="G479" s="3"/>
      <c r="H479" s="3"/>
      <c r="I479" s="639"/>
      <c r="J479" s="100"/>
      <c r="K479" s="100"/>
      <c r="L479" s="100"/>
    </row>
    <row r="480">
      <c r="A480" s="3"/>
      <c r="B480" s="595"/>
      <c r="C480" s="3"/>
      <c r="D480" s="542"/>
      <c r="E480" s="3"/>
      <c r="F480" s="3"/>
      <c r="G480" s="3"/>
      <c r="H480" s="3"/>
      <c r="I480" s="639"/>
      <c r="J480" s="100"/>
      <c r="K480" s="100"/>
      <c r="L480" s="100"/>
    </row>
    <row r="481">
      <c r="A481" s="3"/>
      <c r="B481" s="595"/>
      <c r="C481" s="3"/>
      <c r="D481" s="542"/>
      <c r="E481" s="3"/>
      <c r="F481" s="3"/>
      <c r="G481" s="3"/>
      <c r="H481" s="3"/>
      <c r="I481" s="639"/>
      <c r="J481" s="100"/>
      <c r="K481" s="100"/>
      <c r="L481" s="100"/>
    </row>
    <row r="482">
      <c r="A482" s="3"/>
      <c r="B482" s="595"/>
      <c r="C482" s="3"/>
      <c r="D482" s="542"/>
      <c r="E482" s="3"/>
      <c r="F482" s="3"/>
      <c r="G482" s="3"/>
      <c r="H482" s="3"/>
      <c r="I482" s="639"/>
      <c r="J482" s="100"/>
      <c r="K482" s="100"/>
      <c r="L482" s="100"/>
    </row>
    <row r="483">
      <c r="A483" s="3"/>
      <c r="B483" s="595"/>
      <c r="C483" s="3"/>
      <c r="D483" s="542"/>
      <c r="E483" s="3"/>
      <c r="F483" s="3"/>
      <c r="G483" s="3"/>
      <c r="H483" s="3"/>
      <c r="I483" s="639"/>
      <c r="J483" s="100"/>
      <c r="K483" s="100"/>
      <c r="L483" s="100"/>
    </row>
    <row r="484">
      <c r="A484" s="3"/>
      <c r="B484" s="595"/>
      <c r="C484" s="3"/>
      <c r="D484" s="542"/>
      <c r="E484" s="3"/>
      <c r="F484" s="3"/>
      <c r="G484" s="3"/>
      <c r="H484" s="3"/>
      <c r="I484" s="639"/>
      <c r="J484" s="100"/>
      <c r="K484" s="100"/>
      <c r="L484" s="100"/>
    </row>
    <row r="485">
      <c r="A485" s="3"/>
      <c r="B485" s="595"/>
      <c r="C485" s="3"/>
      <c r="D485" s="542"/>
      <c r="E485" s="3"/>
      <c r="F485" s="3"/>
      <c r="G485" s="3"/>
      <c r="H485" s="3"/>
      <c r="I485" s="639"/>
      <c r="J485" s="100"/>
      <c r="K485" s="100"/>
      <c r="L485" s="100"/>
    </row>
    <row r="486">
      <c r="A486" s="3"/>
      <c r="B486" s="595"/>
      <c r="C486" s="3"/>
      <c r="D486" s="542"/>
      <c r="E486" s="3"/>
      <c r="F486" s="3"/>
      <c r="G486" s="3"/>
      <c r="H486" s="3"/>
      <c r="I486" s="639"/>
      <c r="J486" s="100"/>
      <c r="K486" s="100"/>
      <c r="L486" s="100"/>
    </row>
    <row r="487">
      <c r="A487" s="3"/>
      <c r="B487" s="595"/>
      <c r="C487" s="3"/>
      <c r="D487" s="542"/>
      <c r="E487" s="3"/>
      <c r="F487" s="3"/>
      <c r="G487" s="3"/>
      <c r="H487" s="3"/>
      <c r="I487" s="639"/>
      <c r="J487" s="100"/>
      <c r="K487" s="100"/>
      <c r="L487" s="100"/>
    </row>
    <row r="488">
      <c r="A488" s="3"/>
      <c r="B488" s="595"/>
      <c r="C488" s="3"/>
      <c r="D488" s="542"/>
      <c r="E488" s="3"/>
      <c r="F488" s="3"/>
      <c r="G488" s="3"/>
      <c r="H488" s="3"/>
      <c r="I488" s="639"/>
      <c r="J488" s="100"/>
      <c r="K488" s="100"/>
      <c r="L488" s="100"/>
    </row>
    <row r="489">
      <c r="A489" s="3"/>
      <c r="B489" s="595"/>
      <c r="C489" s="3"/>
      <c r="D489" s="542"/>
      <c r="E489" s="3"/>
      <c r="F489" s="3"/>
      <c r="G489" s="3"/>
      <c r="H489" s="3"/>
      <c r="I489" s="639"/>
      <c r="J489" s="100"/>
      <c r="K489" s="100"/>
      <c r="L489" s="100"/>
    </row>
    <row r="490">
      <c r="A490" s="3"/>
      <c r="B490" s="595"/>
      <c r="C490" s="3"/>
      <c r="D490" s="542"/>
      <c r="E490" s="3"/>
      <c r="F490" s="3"/>
      <c r="G490" s="3"/>
      <c r="H490" s="3"/>
      <c r="I490" s="639"/>
      <c r="J490" s="100"/>
      <c r="K490" s="100"/>
      <c r="L490" s="100"/>
    </row>
    <row r="491">
      <c r="A491" s="3"/>
      <c r="B491" s="595"/>
      <c r="C491" s="3"/>
      <c r="D491" s="542"/>
      <c r="E491" s="3"/>
      <c r="F491" s="3"/>
      <c r="G491" s="3"/>
      <c r="H491" s="3"/>
      <c r="I491" s="639"/>
      <c r="J491" s="100"/>
      <c r="K491" s="100"/>
      <c r="L491" s="100"/>
    </row>
    <row r="492">
      <c r="A492" s="3"/>
      <c r="B492" s="595"/>
      <c r="C492" s="3"/>
      <c r="D492" s="542"/>
      <c r="E492" s="3"/>
      <c r="F492" s="3"/>
      <c r="G492" s="3"/>
      <c r="H492" s="3"/>
      <c r="I492" s="639"/>
      <c r="J492" s="100"/>
      <c r="K492" s="100"/>
      <c r="L492" s="100"/>
    </row>
    <row r="493">
      <c r="A493" s="3"/>
      <c r="B493" s="595"/>
      <c r="C493" s="3"/>
      <c r="D493" s="542"/>
      <c r="E493" s="3"/>
      <c r="F493" s="3"/>
      <c r="G493" s="3"/>
      <c r="H493" s="3"/>
      <c r="I493" s="639"/>
      <c r="J493" s="100"/>
      <c r="K493" s="100"/>
      <c r="L493" s="100"/>
    </row>
    <row r="494">
      <c r="A494" s="3"/>
      <c r="B494" s="595"/>
      <c r="C494" s="3"/>
      <c r="D494" s="542"/>
      <c r="E494" s="3"/>
      <c r="F494" s="3"/>
      <c r="G494" s="3"/>
      <c r="H494" s="3"/>
      <c r="I494" s="639"/>
      <c r="J494" s="100"/>
      <c r="K494" s="100"/>
      <c r="L494" s="100"/>
    </row>
    <row r="495">
      <c r="A495" s="3"/>
      <c r="B495" s="595"/>
      <c r="C495" s="3"/>
      <c r="D495" s="542"/>
      <c r="E495" s="3"/>
      <c r="F495" s="3"/>
      <c r="G495" s="3"/>
      <c r="H495" s="3"/>
      <c r="I495" s="639"/>
      <c r="J495" s="100"/>
      <c r="K495" s="100"/>
      <c r="L495" s="100"/>
    </row>
    <row r="496">
      <c r="A496" s="3"/>
      <c r="B496" s="595"/>
      <c r="C496" s="3"/>
      <c r="D496" s="542"/>
      <c r="E496" s="3"/>
      <c r="F496" s="3"/>
      <c r="G496" s="3"/>
      <c r="H496" s="3"/>
      <c r="I496" s="639"/>
      <c r="J496" s="100"/>
      <c r="K496" s="100"/>
      <c r="L496" s="100"/>
    </row>
    <row r="497">
      <c r="A497" s="3"/>
      <c r="B497" s="595"/>
      <c r="C497" s="3"/>
      <c r="D497" s="542"/>
      <c r="E497" s="3"/>
      <c r="F497" s="3"/>
      <c r="G497" s="3"/>
      <c r="H497" s="3"/>
      <c r="I497" s="639"/>
      <c r="J497" s="100"/>
      <c r="K497" s="100"/>
      <c r="L497" s="100"/>
    </row>
    <row r="498">
      <c r="A498" s="3"/>
      <c r="B498" s="595"/>
      <c r="C498" s="3"/>
      <c r="D498" s="542"/>
      <c r="E498" s="3"/>
      <c r="F498" s="3"/>
      <c r="G498" s="3"/>
      <c r="H498" s="3"/>
      <c r="I498" s="639"/>
      <c r="J498" s="100"/>
      <c r="K498" s="100"/>
      <c r="L498" s="100"/>
    </row>
    <row r="499">
      <c r="A499" s="3"/>
      <c r="B499" s="595"/>
      <c r="C499" s="3"/>
      <c r="D499" s="542"/>
      <c r="E499" s="3"/>
      <c r="F499" s="3"/>
      <c r="G499" s="3"/>
      <c r="H499" s="3"/>
      <c r="I499" s="639"/>
      <c r="J499" s="100"/>
      <c r="K499" s="100"/>
      <c r="L499" s="100"/>
    </row>
    <row r="500">
      <c r="A500" s="3"/>
      <c r="B500" s="595"/>
      <c r="C500" s="3"/>
      <c r="D500" s="542"/>
      <c r="E500" s="3"/>
      <c r="F500" s="3"/>
      <c r="G500" s="3"/>
      <c r="H500" s="3"/>
      <c r="I500" s="639"/>
      <c r="J500" s="100"/>
      <c r="K500" s="100"/>
      <c r="L500" s="100"/>
    </row>
    <row r="501">
      <c r="A501" s="3"/>
      <c r="B501" s="595"/>
      <c r="C501" s="3"/>
      <c r="D501" s="542"/>
      <c r="E501" s="3"/>
      <c r="F501" s="3"/>
      <c r="G501" s="3"/>
      <c r="H501" s="3"/>
      <c r="I501" s="639"/>
      <c r="J501" s="100"/>
      <c r="K501" s="100"/>
      <c r="L501" s="100"/>
    </row>
    <row r="502">
      <c r="A502" s="3"/>
      <c r="B502" s="595"/>
      <c r="C502" s="3"/>
      <c r="D502" s="542"/>
      <c r="E502" s="3"/>
      <c r="F502" s="3"/>
      <c r="G502" s="3"/>
      <c r="H502" s="3"/>
      <c r="I502" s="639"/>
      <c r="J502" s="100"/>
      <c r="K502" s="100"/>
      <c r="L502" s="100"/>
    </row>
    <row r="503">
      <c r="A503" s="3"/>
      <c r="B503" s="595"/>
      <c r="C503" s="3"/>
      <c r="D503" s="542"/>
      <c r="E503" s="3"/>
      <c r="F503" s="3"/>
      <c r="G503" s="3"/>
      <c r="H503" s="3"/>
      <c r="I503" s="639"/>
      <c r="J503" s="100"/>
      <c r="K503" s="100"/>
      <c r="L503" s="100"/>
    </row>
    <row r="504">
      <c r="A504" s="3"/>
      <c r="B504" s="595"/>
      <c r="C504" s="3"/>
      <c r="D504" s="542"/>
      <c r="E504" s="3"/>
      <c r="F504" s="3"/>
      <c r="G504" s="3"/>
      <c r="H504" s="3"/>
      <c r="I504" s="639"/>
      <c r="J504" s="100"/>
      <c r="K504" s="100"/>
      <c r="L504" s="100"/>
    </row>
    <row r="505">
      <c r="A505" s="3"/>
      <c r="B505" s="595"/>
      <c r="C505" s="3"/>
      <c r="D505" s="542"/>
      <c r="E505" s="3"/>
      <c r="F505" s="3"/>
      <c r="G505" s="3"/>
      <c r="H505" s="3"/>
      <c r="I505" s="639"/>
      <c r="J505" s="100"/>
      <c r="K505" s="100"/>
      <c r="L505" s="100"/>
    </row>
    <row r="506">
      <c r="A506" s="3"/>
      <c r="B506" s="595"/>
      <c r="C506" s="3"/>
      <c r="D506" s="542"/>
      <c r="E506" s="3"/>
      <c r="F506" s="3"/>
      <c r="G506" s="3"/>
      <c r="H506" s="3"/>
      <c r="I506" s="639"/>
      <c r="J506" s="100"/>
      <c r="K506" s="100"/>
      <c r="L506" s="100"/>
    </row>
    <row r="507">
      <c r="A507" s="3"/>
      <c r="B507" s="595"/>
      <c r="C507" s="3"/>
      <c r="D507" s="542"/>
      <c r="E507" s="3"/>
      <c r="F507" s="3"/>
      <c r="G507" s="3"/>
      <c r="H507" s="3"/>
      <c r="I507" s="639"/>
      <c r="J507" s="100"/>
      <c r="K507" s="100"/>
      <c r="L507" s="100"/>
    </row>
    <row r="508">
      <c r="A508" s="3"/>
      <c r="B508" s="595"/>
      <c r="C508" s="3"/>
      <c r="D508" s="542"/>
      <c r="E508" s="3"/>
      <c r="F508" s="3"/>
      <c r="G508" s="3"/>
      <c r="H508" s="3"/>
      <c r="I508" s="639"/>
      <c r="J508" s="100"/>
      <c r="K508" s="100"/>
      <c r="L508" s="100"/>
    </row>
    <row r="509">
      <c r="A509" s="3"/>
      <c r="B509" s="595"/>
      <c r="C509" s="3"/>
      <c r="D509" s="542"/>
      <c r="E509" s="3"/>
      <c r="F509" s="3"/>
      <c r="G509" s="3"/>
      <c r="H509" s="3"/>
      <c r="I509" s="639"/>
      <c r="J509" s="100"/>
      <c r="K509" s="100"/>
      <c r="L509" s="100"/>
    </row>
    <row r="510">
      <c r="A510" s="3"/>
      <c r="B510" s="595"/>
      <c r="C510" s="3"/>
      <c r="D510" s="542"/>
      <c r="E510" s="3"/>
      <c r="F510" s="3"/>
      <c r="G510" s="3"/>
      <c r="H510" s="3"/>
      <c r="I510" s="639"/>
      <c r="J510" s="100"/>
      <c r="K510" s="100"/>
      <c r="L510" s="100"/>
    </row>
    <row r="511">
      <c r="A511" s="3"/>
      <c r="B511" s="595"/>
      <c r="C511" s="3"/>
      <c r="D511" s="542"/>
      <c r="E511" s="3"/>
      <c r="F511" s="3"/>
      <c r="G511" s="3"/>
      <c r="H511" s="3"/>
      <c r="I511" s="639"/>
      <c r="J511" s="100"/>
      <c r="K511" s="100"/>
      <c r="L511" s="100"/>
    </row>
    <row r="512">
      <c r="A512" s="3"/>
      <c r="B512" s="595"/>
      <c r="C512" s="3"/>
      <c r="D512" s="542"/>
      <c r="E512" s="3"/>
      <c r="F512" s="3"/>
      <c r="G512" s="3"/>
      <c r="H512" s="3"/>
      <c r="I512" s="639"/>
      <c r="J512" s="100"/>
      <c r="K512" s="100"/>
      <c r="L512" s="100"/>
    </row>
    <row r="513">
      <c r="A513" s="3"/>
      <c r="B513" s="595"/>
      <c r="C513" s="3"/>
      <c r="D513" s="542"/>
      <c r="E513" s="3"/>
      <c r="F513" s="3"/>
      <c r="G513" s="3"/>
      <c r="H513" s="3"/>
      <c r="I513" s="639"/>
      <c r="J513" s="100"/>
      <c r="K513" s="100"/>
      <c r="L513" s="100"/>
    </row>
    <row r="514">
      <c r="A514" s="3"/>
      <c r="B514" s="595"/>
      <c r="C514" s="3"/>
      <c r="D514" s="542"/>
      <c r="E514" s="3"/>
      <c r="F514" s="3"/>
      <c r="G514" s="3"/>
      <c r="H514" s="3"/>
      <c r="I514" s="639"/>
      <c r="J514" s="100"/>
      <c r="K514" s="100"/>
      <c r="L514" s="100"/>
    </row>
    <row r="515">
      <c r="A515" s="3"/>
      <c r="B515" s="595"/>
      <c r="C515" s="3"/>
      <c r="D515" s="542"/>
      <c r="E515" s="3"/>
      <c r="F515" s="3"/>
      <c r="G515" s="3"/>
      <c r="H515" s="3"/>
      <c r="I515" s="639"/>
      <c r="J515" s="100"/>
      <c r="K515" s="100"/>
      <c r="L515" s="100"/>
    </row>
    <row r="516">
      <c r="A516" s="3"/>
      <c r="B516" s="595"/>
      <c r="C516" s="3"/>
      <c r="D516" s="542"/>
      <c r="E516" s="3"/>
      <c r="F516" s="3"/>
      <c r="G516" s="3"/>
      <c r="H516" s="3"/>
      <c r="I516" s="639"/>
      <c r="J516" s="100"/>
      <c r="K516" s="100"/>
      <c r="L516" s="100"/>
    </row>
    <row r="517">
      <c r="A517" s="3"/>
      <c r="B517" s="595"/>
      <c r="C517" s="3"/>
      <c r="D517" s="542"/>
      <c r="E517" s="3"/>
      <c r="F517" s="3"/>
      <c r="G517" s="3"/>
      <c r="H517" s="3"/>
      <c r="I517" s="639"/>
      <c r="J517" s="100"/>
      <c r="K517" s="100"/>
      <c r="L517" s="100"/>
    </row>
    <row r="518">
      <c r="A518" s="3"/>
      <c r="B518" s="595"/>
      <c r="C518" s="3"/>
      <c r="D518" s="542"/>
      <c r="E518" s="3"/>
      <c r="F518" s="3"/>
      <c r="G518" s="3"/>
      <c r="H518" s="3"/>
      <c r="I518" s="639"/>
      <c r="J518" s="100"/>
      <c r="K518" s="100"/>
      <c r="L518" s="100"/>
    </row>
    <row r="519">
      <c r="A519" s="3"/>
      <c r="B519" s="595"/>
      <c r="C519" s="3"/>
      <c r="D519" s="542"/>
      <c r="E519" s="3"/>
      <c r="F519" s="3"/>
      <c r="G519" s="3"/>
      <c r="H519" s="3"/>
      <c r="I519" s="639"/>
      <c r="J519" s="100"/>
      <c r="K519" s="100"/>
      <c r="L519" s="100"/>
    </row>
    <row r="520">
      <c r="A520" s="3"/>
      <c r="B520" s="595"/>
      <c r="C520" s="3"/>
      <c r="D520" s="542"/>
      <c r="E520" s="3"/>
      <c r="F520" s="3"/>
      <c r="G520" s="3"/>
      <c r="H520" s="3"/>
      <c r="I520" s="639"/>
      <c r="J520" s="100"/>
      <c r="K520" s="100"/>
      <c r="L520" s="100"/>
    </row>
    <row r="521">
      <c r="A521" s="3"/>
      <c r="B521" s="595"/>
      <c r="C521" s="3"/>
      <c r="D521" s="542"/>
      <c r="E521" s="3"/>
      <c r="F521" s="3"/>
      <c r="G521" s="3"/>
      <c r="H521" s="3"/>
      <c r="I521" s="639"/>
      <c r="J521" s="100"/>
      <c r="K521" s="100"/>
      <c r="L521" s="100"/>
    </row>
    <row r="522">
      <c r="A522" s="3"/>
      <c r="B522" s="595"/>
      <c r="C522" s="3"/>
      <c r="D522" s="542"/>
      <c r="E522" s="3"/>
      <c r="F522" s="3"/>
      <c r="G522" s="3"/>
      <c r="H522" s="3"/>
      <c r="I522" s="639"/>
      <c r="J522" s="100"/>
      <c r="K522" s="100"/>
      <c r="L522" s="100"/>
    </row>
    <row r="523">
      <c r="A523" s="3"/>
      <c r="B523" s="595"/>
      <c r="C523" s="3"/>
      <c r="D523" s="542"/>
      <c r="E523" s="3"/>
      <c r="F523" s="3"/>
      <c r="G523" s="3"/>
      <c r="H523" s="3"/>
      <c r="I523" s="639"/>
      <c r="J523" s="100"/>
      <c r="K523" s="100"/>
      <c r="L523" s="100"/>
    </row>
    <row r="524">
      <c r="A524" s="3"/>
      <c r="B524" s="595"/>
      <c r="C524" s="3"/>
      <c r="D524" s="542"/>
      <c r="E524" s="3"/>
      <c r="F524" s="3"/>
      <c r="G524" s="3"/>
      <c r="H524" s="3"/>
      <c r="I524" s="639"/>
      <c r="J524" s="100"/>
      <c r="K524" s="100"/>
      <c r="L524" s="100"/>
    </row>
    <row r="525">
      <c r="A525" s="3"/>
      <c r="B525" s="595"/>
      <c r="C525" s="3"/>
      <c r="D525" s="542"/>
      <c r="E525" s="3"/>
      <c r="F525" s="3"/>
      <c r="G525" s="3"/>
      <c r="H525" s="3"/>
      <c r="I525" s="639"/>
      <c r="J525" s="100"/>
      <c r="K525" s="100"/>
      <c r="L525" s="100"/>
    </row>
    <row r="526">
      <c r="A526" s="3"/>
      <c r="B526" s="595"/>
      <c r="C526" s="3"/>
      <c r="D526" s="542"/>
      <c r="E526" s="3"/>
      <c r="F526" s="3"/>
      <c r="G526" s="3"/>
      <c r="H526" s="3"/>
      <c r="I526" s="639"/>
      <c r="J526" s="100"/>
      <c r="K526" s="100"/>
      <c r="L526" s="100"/>
    </row>
    <row r="527">
      <c r="A527" s="3"/>
      <c r="B527" s="595"/>
      <c r="C527" s="3"/>
      <c r="D527" s="542"/>
      <c r="E527" s="3"/>
      <c r="F527" s="3"/>
      <c r="G527" s="3"/>
      <c r="H527" s="3"/>
      <c r="I527" s="639"/>
      <c r="J527" s="100"/>
      <c r="K527" s="100"/>
      <c r="L527" s="100"/>
    </row>
    <row r="528">
      <c r="A528" s="3"/>
      <c r="B528" s="595"/>
      <c r="C528" s="3"/>
      <c r="D528" s="542"/>
      <c r="E528" s="3"/>
      <c r="F528" s="3"/>
      <c r="G528" s="3"/>
      <c r="H528" s="3"/>
      <c r="I528" s="639"/>
      <c r="J528" s="100"/>
      <c r="K528" s="100"/>
      <c r="L528" s="100"/>
    </row>
    <row r="529">
      <c r="A529" s="3"/>
      <c r="B529" s="595"/>
      <c r="C529" s="3"/>
      <c r="D529" s="542"/>
      <c r="E529" s="3"/>
      <c r="F529" s="3"/>
      <c r="G529" s="3"/>
      <c r="H529" s="3"/>
      <c r="I529" s="639"/>
      <c r="J529" s="100"/>
      <c r="K529" s="100"/>
      <c r="L529" s="100"/>
    </row>
    <row r="530">
      <c r="A530" s="3"/>
      <c r="B530" s="595"/>
      <c r="C530" s="3"/>
      <c r="D530" s="542"/>
      <c r="E530" s="3"/>
      <c r="F530" s="3"/>
      <c r="G530" s="3"/>
      <c r="H530" s="3"/>
      <c r="I530" s="639"/>
      <c r="J530" s="100"/>
      <c r="K530" s="100"/>
      <c r="L530" s="100"/>
    </row>
    <row r="531">
      <c r="A531" s="3"/>
      <c r="B531" s="595"/>
      <c r="C531" s="3"/>
      <c r="D531" s="542"/>
      <c r="E531" s="3"/>
      <c r="F531" s="3"/>
      <c r="G531" s="3"/>
      <c r="H531" s="3"/>
      <c r="I531" s="639"/>
      <c r="J531" s="100"/>
      <c r="K531" s="100"/>
      <c r="L531" s="100"/>
    </row>
    <row r="532">
      <c r="A532" s="3"/>
      <c r="B532" s="595"/>
      <c r="C532" s="3"/>
      <c r="D532" s="542"/>
      <c r="E532" s="3"/>
      <c r="F532" s="3"/>
      <c r="G532" s="3"/>
      <c r="H532" s="3"/>
      <c r="I532" s="639"/>
      <c r="J532" s="100"/>
      <c r="K532" s="100"/>
      <c r="L532" s="100"/>
    </row>
    <row r="533">
      <c r="A533" s="3"/>
      <c r="B533" s="595"/>
      <c r="C533" s="3"/>
      <c r="D533" s="542"/>
      <c r="E533" s="3"/>
      <c r="F533" s="3"/>
      <c r="G533" s="3"/>
      <c r="H533" s="3"/>
      <c r="I533" s="639"/>
      <c r="J533" s="100"/>
      <c r="K533" s="100"/>
      <c r="L533" s="100"/>
    </row>
    <row r="534">
      <c r="A534" s="3"/>
      <c r="B534" s="595"/>
      <c r="C534" s="3"/>
      <c r="D534" s="542"/>
      <c r="E534" s="3"/>
      <c r="F534" s="3"/>
      <c r="G534" s="3"/>
      <c r="H534" s="3"/>
      <c r="I534" s="639"/>
      <c r="J534" s="100"/>
      <c r="K534" s="100"/>
      <c r="L534" s="100"/>
    </row>
    <row r="535">
      <c r="A535" s="3"/>
      <c r="B535" s="595"/>
      <c r="C535" s="3"/>
      <c r="D535" s="542"/>
      <c r="E535" s="3"/>
      <c r="F535" s="3"/>
      <c r="G535" s="3"/>
      <c r="H535" s="3"/>
      <c r="I535" s="639"/>
      <c r="J535" s="100"/>
      <c r="K535" s="100"/>
      <c r="L535" s="100"/>
    </row>
    <row r="536">
      <c r="A536" s="3"/>
      <c r="B536" s="595"/>
      <c r="C536" s="3"/>
      <c r="D536" s="542"/>
      <c r="E536" s="3"/>
      <c r="F536" s="3"/>
      <c r="G536" s="3"/>
      <c r="H536" s="3"/>
      <c r="I536" s="639"/>
      <c r="J536" s="100"/>
      <c r="K536" s="100"/>
      <c r="L536" s="100"/>
    </row>
    <row r="537">
      <c r="A537" s="3"/>
      <c r="B537" s="595"/>
      <c r="C537" s="3"/>
      <c r="D537" s="542"/>
      <c r="E537" s="3"/>
      <c r="F537" s="3"/>
      <c r="G537" s="3"/>
      <c r="H537" s="3"/>
      <c r="I537" s="639"/>
      <c r="J537" s="100"/>
      <c r="K537" s="100"/>
      <c r="L537" s="100"/>
    </row>
    <row r="538">
      <c r="A538" s="3"/>
      <c r="B538" s="595"/>
      <c r="C538" s="3"/>
      <c r="D538" s="542"/>
      <c r="E538" s="3"/>
      <c r="F538" s="3"/>
      <c r="G538" s="3"/>
      <c r="H538" s="3"/>
      <c r="I538" s="639"/>
      <c r="J538" s="100"/>
      <c r="K538" s="100"/>
      <c r="L538" s="100"/>
    </row>
    <row r="539">
      <c r="A539" s="3"/>
      <c r="B539" s="595"/>
      <c r="C539" s="3"/>
      <c r="D539" s="542"/>
      <c r="E539" s="3"/>
      <c r="F539" s="3"/>
      <c r="G539" s="3"/>
      <c r="H539" s="3"/>
      <c r="I539" s="639"/>
      <c r="J539" s="100"/>
      <c r="K539" s="100"/>
      <c r="L539" s="100"/>
    </row>
    <row r="540">
      <c r="A540" s="3"/>
      <c r="B540" s="595"/>
      <c r="C540" s="3"/>
      <c r="D540" s="542"/>
      <c r="E540" s="3"/>
      <c r="F540" s="3"/>
      <c r="G540" s="3"/>
      <c r="H540" s="3"/>
      <c r="I540" s="639"/>
      <c r="J540" s="100"/>
      <c r="K540" s="100"/>
      <c r="L540" s="100"/>
    </row>
    <row r="541">
      <c r="A541" s="3"/>
      <c r="B541" s="595"/>
      <c r="C541" s="3"/>
      <c r="D541" s="542"/>
      <c r="E541" s="3"/>
      <c r="F541" s="3"/>
      <c r="G541" s="3"/>
      <c r="H541" s="3"/>
      <c r="I541" s="639"/>
      <c r="J541" s="100"/>
      <c r="K541" s="100"/>
      <c r="L541" s="100"/>
    </row>
    <row r="542">
      <c r="A542" s="3"/>
      <c r="B542" s="595"/>
      <c r="C542" s="3"/>
      <c r="D542" s="542"/>
      <c r="E542" s="3"/>
      <c r="F542" s="3"/>
      <c r="G542" s="3"/>
      <c r="H542" s="3"/>
      <c r="I542" s="639"/>
      <c r="J542" s="100"/>
      <c r="K542" s="100"/>
      <c r="L542" s="100"/>
    </row>
    <row r="543">
      <c r="A543" s="3"/>
      <c r="B543" s="595"/>
      <c r="C543" s="3"/>
      <c r="D543" s="542"/>
      <c r="E543" s="3"/>
      <c r="F543" s="3"/>
      <c r="G543" s="3"/>
      <c r="H543" s="3"/>
      <c r="I543" s="639"/>
      <c r="J543" s="100"/>
      <c r="K543" s="100"/>
      <c r="L543" s="100"/>
    </row>
    <row r="544">
      <c r="A544" s="3"/>
      <c r="B544" s="595"/>
      <c r="C544" s="3"/>
      <c r="D544" s="542"/>
      <c r="E544" s="3"/>
      <c r="F544" s="3"/>
      <c r="G544" s="3"/>
      <c r="H544" s="3"/>
      <c r="I544" s="639"/>
      <c r="J544" s="100"/>
      <c r="K544" s="100"/>
      <c r="L544" s="100"/>
    </row>
    <row r="545">
      <c r="A545" s="3"/>
      <c r="B545" s="595"/>
      <c r="C545" s="3"/>
      <c r="D545" s="542"/>
      <c r="E545" s="3"/>
      <c r="F545" s="3"/>
      <c r="G545" s="3"/>
      <c r="H545" s="3"/>
      <c r="I545" s="639"/>
      <c r="J545" s="100"/>
      <c r="K545" s="100"/>
      <c r="L545" s="100"/>
    </row>
    <row r="546">
      <c r="A546" s="3"/>
      <c r="B546" s="595"/>
      <c r="C546" s="3"/>
      <c r="D546" s="542"/>
      <c r="E546" s="3"/>
      <c r="F546" s="3"/>
      <c r="G546" s="3"/>
      <c r="H546" s="3"/>
      <c r="I546" s="639"/>
      <c r="J546" s="100"/>
      <c r="K546" s="100"/>
      <c r="L546" s="100"/>
    </row>
    <row r="547">
      <c r="A547" s="3"/>
      <c r="B547" s="595"/>
      <c r="C547" s="3"/>
      <c r="D547" s="542"/>
      <c r="E547" s="3"/>
      <c r="F547" s="3"/>
      <c r="G547" s="3"/>
      <c r="H547" s="3"/>
      <c r="I547" s="639"/>
      <c r="J547" s="100"/>
      <c r="K547" s="100"/>
      <c r="L547" s="100"/>
    </row>
    <row r="548">
      <c r="A548" s="3"/>
      <c r="B548" s="595"/>
      <c r="C548" s="3"/>
      <c r="D548" s="542"/>
      <c r="E548" s="3"/>
      <c r="F548" s="3"/>
      <c r="G548" s="3"/>
      <c r="H548" s="3"/>
      <c r="I548" s="639"/>
      <c r="J548" s="100"/>
      <c r="K548" s="100"/>
      <c r="L548" s="100"/>
    </row>
    <row r="549">
      <c r="A549" s="3"/>
      <c r="B549" s="595"/>
      <c r="C549" s="3"/>
      <c r="D549" s="542"/>
      <c r="E549" s="3"/>
      <c r="F549" s="3"/>
      <c r="G549" s="3"/>
      <c r="H549" s="3"/>
      <c r="I549" s="639"/>
      <c r="J549" s="100"/>
      <c r="K549" s="100"/>
      <c r="L549" s="100"/>
    </row>
    <row r="550">
      <c r="A550" s="3"/>
      <c r="B550" s="595"/>
      <c r="C550" s="3"/>
      <c r="D550" s="542"/>
      <c r="E550" s="3"/>
      <c r="F550" s="3"/>
      <c r="G550" s="3"/>
      <c r="H550" s="3"/>
      <c r="I550" s="639"/>
      <c r="J550" s="100"/>
      <c r="K550" s="100"/>
      <c r="L550" s="100"/>
    </row>
    <row r="551">
      <c r="A551" s="3"/>
      <c r="B551" s="595"/>
      <c r="C551" s="3"/>
      <c r="D551" s="542"/>
      <c r="E551" s="3"/>
      <c r="F551" s="3"/>
      <c r="G551" s="3"/>
      <c r="H551" s="3"/>
      <c r="I551" s="639"/>
      <c r="J551" s="100"/>
      <c r="K551" s="100"/>
      <c r="L551" s="100"/>
    </row>
    <row r="552">
      <c r="A552" s="3"/>
      <c r="B552" s="595"/>
      <c r="C552" s="3"/>
      <c r="D552" s="542"/>
      <c r="E552" s="3"/>
      <c r="F552" s="3"/>
      <c r="G552" s="3"/>
      <c r="H552" s="3"/>
      <c r="I552" s="639"/>
      <c r="J552" s="100"/>
      <c r="K552" s="100"/>
      <c r="L552" s="100"/>
    </row>
    <row r="553">
      <c r="A553" s="3"/>
      <c r="B553" s="595"/>
      <c r="C553" s="3"/>
      <c r="D553" s="542"/>
      <c r="E553" s="3"/>
      <c r="F553" s="3"/>
      <c r="G553" s="3"/>
      <c r="H553" s="3"/>
      <c r="I553" s="639"/>
      <c r="J553" s="100"/>
      <c r="K553" s="100"/>
      <c r="L553" s="100"/>
    </row>
    <row r="554">
      <c r="A554" s="3"/>
      <c r="B554" s="595"/>
      <c r="C554" s="3"/>
      <c r="D554" s="542"/>
      <c r="E554" s="3"/>
      <c r="F554" s="3"/>
      <c r="G554" s="3"/>
      <c r="H554" s="3"/>
      <c r="I554" s="639"/>
      <c r="J554" s="100"/>
      <c r="K554" s="100"/>
      <c r="L554" s="100"/>
    </row>
    <row r="555">
      <c r="A555" s="3"/>
      <c r="B555" s="595"/>
      <c r="C555" s="3"/>
      <c r="D555" s="542"/>
      <c r="E555" s="3"/>
      <c r="F555" s="3"/>
      <c r="G555" s="3"/>
      <c r="H555" s="3"/>
      <c r="I555" s="639"/>
      <c r="J555" s="100"/>
      <c r="K555" s="100"/>
      <c r="L555" s="100"/>
    </row>
    <row r="556">
      <c r="A556" s="3"/>
      <c r="B556" s="595"/>
      <c r="C556" s="3"/>
      <c r="D556" s="542"/>
      <c r="E556" s="3"/>
      <c r="F556" s="3"/>
      <c r="G556" s="3"/>
      <c r="H556" s="3"/>
      <c r="I556" s="639"/>
      <c r="J556" s="100"/>
      <c r="K556" s="100"/>
      <c r="L556" s="100"/>
    </row>
    <row r="557">
      <c r="A557" s="3"/>
      <c r="B557" s="595"/>
      <c r="C557" s="3"/>
      <c r="D557" s="542"/>
      <c r="E557" s="3"/>
      <c r="F557" s="3"/>
      <c r="G557" s="3"/>
      <c r="H557" s="3"/>
      <c r="I557" s="639"/>
      <c r="J557" s="100"/>
      <c r="K557" s="100"/>
      <c r="L557" s="100"/>
    </row>
    <row r="558">
      <c r="A558" s="3"/>
      <c r="B558" s="595"/>
      <c r="C558" s="3"/>
      <c r="D558" s="542"/>
      <c r="E558" s="3"/>
      <c r="F558" s="3"/>
      <c r="G558" s="3"/>
      <c r="H558" s="3"/>
      <c r="I558" s="639"/>
      <c r="J558" s="100"/>
      <c r="K558" s="100"/>
      <c r="L558" s="100"/>
    </row>
    <row r="559">
      <c r="A559" s="3"/>
      <c r="B559" s="595"/>
      <c r="C559" s="3"/>
      <c r="D559" s="542"/>
      <c r="E559" s="3"/>
      <c r="F559" s="3"/>
      <c r="G559" s="3"/>
      <c r="H559" s="3"/>
      <c r="I559" s="639"/>
      <c r="J559" s="100"/>
      <c r="K559" s="100"/>
      <c r="L559" s="100"/>
    </row>
    <row r="560">
      <c r="A560" s="3"/>
      <c r="B560" s="595"/>
      <c r="C560" s="3"/>
      <c r="D560" s="542"/>
      <c r="E560" s="3"/>
      <c r="F560" s="3"/>
      <c r="G560" s="3"/>
      <c r="H560" s="3"/>
      <c r="I560" s="639"/>
      <c r="J560" s="100"/>
      <c r="K560" s="100"/>
      <c r="L560" s="100"/>
    </row>
    <row r="561">
      <c r="A561" s="3"/>
      <c r="B561" s="595"/>
      <c r="C561" s="3"/>
      <c r="D561" s="542"/>
      <c r="E561" s="3"/>
      <c r="F561" s="3"/>
      <c r="G561" s="3"/>
      <c r="H561" s="3"/>
      <c r="I561" s="639"/>
      <c r="J561" s="100"/>
      <c r="K561" s="100"/>
      <c r="L561" s="100"/>
    </row>
    <row r="562">
      <c r="A562" s="3"/>
      <c r="B562" s="595"/>
      <c r="C562" s="3"/>
      <c r="D562" s="542"/>
      <c r="E562" s="3"/>
      <c r="F562" s="3"/>
      <c r="G562" s="3"/>
      <c r="H562" s="3"/>
      <c r="I562" s="639"/>
      <c r="J562" s="100"/>
      <c r="K562" s="100"/>
      <c r="L562" s="100"/>
    </row>
    <row r="563">
      <c r="A563" s="3"/>
      <c r="B563" s="595"/>
      <c r="C563" s="3"/>
      <c r="D563" s="542"/>
      <c r="E563" s="3"/>
      <c r="F563" s="3"/>
      <c r="G563" s="3"/>
      <c r="H563" s="3"/>
      <c r="I563" s="639"/>
      <c r="J563" s="100"/>
      <c r="K563" s="100"/>
      <c r="L563" s="100"/>
    </row>
    <row r="564">
      <c r="A564" s="3"/>
      <c r="B564" s="595"/>
      <c r="C564" s="3"/>
      <c r="D564" s="542"/>
      <c r="E564" s="3"/>
      <c r="F564" s="3"/>
      <c r="G564" s="3"/>
      <c r="H564" s="3"/>
      <c r="I564" s="639"/>
      <c r="J564" s="100"/>
      <c r="K564" s="100"/>
      <c r="L564" s="100"/>
    </row>
    <row r="565">
      <c r="A565" s="3"/>
      <c r="B565" s="595"/>
      <c r="C565" s="3"/>
      <c r="D565" s="542"/>
      <c r="E565" s="3"/>
      <c r="F565" s="3"/>
      <c r="G565" s="3"/>
      <c r="H565" s="3"/>
      <c r="I565" s="639"/>
      <c r="J565" s="100"/>
      <c r="K565" s="100"/>
      <c r="L565" s="100"/>
    </row>
    <row r="566">
      <c r="A566" s="3"/>
      <c r="B566" s="595"/>
      <c r="C566" s="3"/>
      <c r="D566" s="542"/>
      <c r="E566" s="3"/>
      <c r="F566" s="3"/>
      <c r="G566" s="3"/>
      <c r="H566" s="3"/>
      <c r="I566" s="639"/>
      <c r="J566" s="100"/>
      <c r="K566" s="100"/>
      <c r="L566" s="100"/>
    </row>
    <row r="567">
      <c r="A567" s="3"/>
      <c r="B567" s="595"/>
      <c r="C567" s="3"/>
      <c r="D567" s="542"/>
      <c r="E567" s="3"/>
      <c r="F567" s="3"/>
      <c r="G567" s="3"/>
      <c r="H567" s="3"/>
      <c r="I567" s="639"/>
      <c r="J567" s="100"/>
      <c r="K567" s="100"/>
      <c r="L567" s="100"/>
    </row>
    <row r="568">
      <c r="A568" s="3"/>
      <c r="B568" s="595"/>
      <c r="C568" s="3"/>
      <c r="D568" s="542"/>
      <c r="E568" s="3"/>
      <c r="F568" s="3"/>
      <c r="G568" s="3"/>
      <c r="H568" s="3"/>
      <c r="I568" s="639"/>
      <c r="J568" s="100"/>
      <c r="K568" s="100"/>
      <c r="L568" s="100"/>
    </row>
    <row r="569">
      <c r="A569" s="3"/>
      <c r="B569" s="595"/>
      <c r="C569" s="3"/>
      <c r="D569" s="542"/>
      <c r="E569" s="3"/>
      <c r="F569" s="3"/>
      <c r="G569" s="3"/>
      <c r="H569" s="3"/>
      <c r="I569" s="639"/>
      <c r="J569" s="100"/>
      <c r="K569" s="100"/>
      <c r="L569" s="100"/>
    </row>
    <row r="570">
      <c r="A570" s="3"/>
      <c r="B570" s="595"/>
      <c r="C570" s="3"/>
      <c r="D570" s="542"/>
      <c r="E570" s="3"/>
      <c r="F570" s="3"/>
      <c r="G570" s="3"/>
      <c r="H570" s="3"/>
      <c r="I570" s="639"/>
      <c r="J570" s="100"/>
      <c r="K570" s="100"/>
      <c r="L570" s="100"/>
    </row>
    <row r="571">
      <c r="A571" s="3"/>
      <c r="B571" s="595"/>
      <c r="C571" s="3"/>
      <c r="D571" s="542"/>
      <c r="E571" s="3"/>
      <c r="F571" s="3"/>
      <c r="G571" s="3"/>
      <c r="H571" s="3"/>
      <c r="I571" s="639"/>
      <c r="J571" s="100"/>
      <c r="K571" s="100"/>
      <c r="L571" s="100"/>
    </row>
    <row r="572">
      <c r="A572" s="3"/>
      <c r="B572" s="595"/>
      <c r="C572" s="3"/>
      <c r="D572" s="542"/>
      <c r="E572" s="3"/>
      <c r="F572" s="3"/>
      <c r="G572" s="3"/>
      <c r="H572" s="3"/>
      <c r="I572" s="639"/>
      <c r="J572" s="100"/>
      <c r="K572" s="100"/>
      <c r="L572" s="100"/>
    </row>
    <row r="573">
      <c r="A573" s="3"/>
      <c r="B573" s="595"/>
      <c r="C573" s="3"/>
      <c r="D573" s="542"/>
      <c r="E573" s="3"/>
      <c r="F573" s="3"/>
      <c r="G573" s="3"/>
      <c r="H573" s="3"/>
      <c r="I573" s="639"/>
      <c r="J573" s="100"/>
      <c r="K573" s="100"/>
      <c r="L573" s="100"/>
    </row>
    <row r="574">
      <c r="A574" s="3"/>
      <c r="B574" s="595"/>
      <c r="C574" s="3"/>
      <c r="D574" s="542"/>
      <c r="E574" s="3"/>
      <c r="F574" s="3"/>
      <c r="G574" s="3"/>
      <c r="H574" s="3"/>
      <c r="I574" s="639"/>
      <c r="J574" s="100"/>
      <c r="K574" s="100"/>
      <c r="L574" s="100"/>
    </row>
    <row r="575">
      <c r="A575" s="3"/>
      <c r="B575" s="595"/>
      <c r="C575" s="3"/>
      <c r="D575" s="542"/>
      <c r="E575" s="3"/>
      <c r="F575" s="3"/>
      <c r="G575" s="3"/>
      <c r="H575" s="3"/>
      <c r="I575" s="639"/>
      <c r="J575" s="100"/>
      <c r="K575" s="100"/>
      <c r="L575" s="100"/>
    </row>
    <row r="576">
      <c r="A576" s="3"/>
      <c r="B576" s="595"/>
      <c r="C576" s="3"/>
      <c r="D576" s="542"/>
      <c r="E576" s="3"/>
      <c r="F576" s="3"/>
      <c r="G576" s="3"/>
      <c r="H576" s="3"/>
      <c r="I576" s="639"/>
      <c r="J576" s="100"/>
      <c r="K576" s="100"/>
      <c r="L576" s="100"/>
    </row>
    <row r="577">
      <c r="A577" s="3"/>
      <c r="B577" s="595"/>
      <c r="C577" s="3"/>
      <c r="D577" s="542"/>
      <c r="E577" s="3"/>
      <c r="F577" s="3"/>
      <c r="G577" s="3"/>
      <c r="H577" s="3"/>
      <c r="I577" s="639"/>
      <c r="J577" s="100"/>
      <c r="K577" s="100"/>
      <c r="L577" s="100"/>
    </row>
    <row r="578">
      <c r="A578" s="3"/>
      <c r="B578" s="595"/>
      <c r="C578" s="3"/>
      <c r="D578" s="542"/>
      <c r="E578" s="3"/>
      <c r="F578" s="3"/>
      <c r="G578" s="3"/>
      <c r="H578" s="3"/>
      <c r="I578" s="639"/>
      <c r="J578" s="100"/>
      <c r="K578" s="100"/>
      <c r="L578" s="100"/>
    </row>
    <row r="579">
      <c r="A579" s="3"/>
      <c r="B579" s="595"/>
      <c r="C579" s="3"/>
      <c r="D579" s="542"/>
      <c r="E579" s="3"/>
      <c r="F579" s="3"/>
      <c r="G579" s="3"/>
      <c r="H579" s="3"/>
      <c r="I579" s="639"/>
      <c r="J579" s="100"/>
      <c r="K579" s="100"/>
      <c r="L579" s="100"/>
    </row>
    <row r="580">
      <c r="A580" s="3"/>
      <c r="B580" s="595"/>
      <c r="C580" s="3"/>
      <c r="D580" s="542"/>
      <c r="E580" s="3"/>
      <c r="F580" s="3"/>
      <c r="G580" s="3"/>
      <c r="H580" s="3"/>
      <c r="I580" s="639"/>
      <c r="J580" s="100"/>
      <c r="K580" s="100"/>
      <c r="L580" s="100"/>
    </row>
    <row r="581">
      <c r="A581" s="3"/>
      <c r="B581" s="595"/>
      <c r="C581" s="3"/>
      <c r="D581" s="542"/>
      <c r="E581" s="3"/>
      <c r="F581" s="3"/>
      <c r="G581" s="3"/>
      <c r="H581" s="3"/>
      <c r="I581" s="639"/>
      <c r="J581" s="100"/>
      <c r="K581" s="100"/>
      <c r="L581" s="100"/>
    </row>
    <row r="582">
      <c r="A582" s="3"/>
      <c r="B582" s="595"/>
      <c r="C582" s="3"/>
      <c r="D582" s="542"/>
      <c r="E582" s="3"/>
      <c r="F582" s="3"/>
      <c r="G582" s="3"/>
      <c r="H582" s="3"/>
      <c r="I582" s="639"/>
      <c r="J582" s="100"/>
      <c r="K582" s="100"/>
      <c r="L582" s="100"/>
    </row>
    <row r="583">
      <c r="A583" s="3"/>
      <c r="B583" s="595"/>
      <c r="C583" s="3"/>
      <c r="D583" s="542"/>
      <c r="E583" s="3"/>
      <c r="F583" s="3"/>
      <c r="G583" s="3"/>
      <c r="H583" s="3"/>
      <c r="I583" s="639"/>
      <c r="J583" s="100"/>
      <c r="K583" s="100"/>
      <c r="L583" s="100"/>
    </row>
    <row r="584">
      <c r="A584" s="3"/>
      <c r="B584" s="595"/>
      <c r="C584" s="3"/>
      <c r="D584" s="542"/>
      <c r="E584" s="3"/>
      <c r="F584" s="3"/>
      <c r="G584" s="3"/>
      <c r="H584" s="3"/>
      <c r="I584" s="639"/>
      <c r="J584" s="100"/>
      <c r="K584" s="100"/>
      <c r="L584" s="100"/>
    </row>
    <row r="585">
      <c r="A585" s="3"/>
      <c r="B585" s="595"/>
      <c r="C585" s="3"/>
      <c r="D585" s="542"/>
      <c r="E585" s="3"/>
      <c r="F585" s="3"/>
      <c r="G585" s="3"/>
      <c r="H585" s="3"/>
      <c r="I585" s="639"/>
      <c r="J585" s="100"/>
      <c r="K585" s="100"/>
      <c r="L585" s="100"/>
    </row>
    <row r="586">
      <c r="A586" s="3"/>
      <c r="B586" s="595"/>
      <c r="C586" s="3"/>
      <c r="D586" s="542"/>
      <c r="E586" s="3"/>
      <c r="F586" s="3"/>
      <c r="G586" s="3"/>
      <c r="H586" s="3"/>
      <c r="I586" s="639"/>
      <c r="J586" s="100"/>
      <c r="K586" s="100"/>
      <c r="L586" s="100"/>
    </row>
    <row r="587">
      <c r="A587" s="3"/>
      <c r="B587" s="595"/>
      <c r="C587" s="3"/>
      <c r="D587" s="542"/>
      <c r="E587" s="3"/>
      <c r="F587" s="3"/>
      <c r="G587" s="3"/>
      <c r="H587" s="3"/>
      <c r="I587" s="639"/>
      <c r="J587" s="100"/>
      <c r="K587" s="100"/>
      <c r="L587" s="100"/>
    </row>
    <row r="588">
      <c r="A588" s="3"/>
      <c r="B588" s="595"/>
      <c r="C588" s="3"/>
      <c r="D588" s="542"/>
      <c r="E588" s="3"/>
      <c r="F588" s="3"/>
      <c r="G588" s="3"/>
      <c r="H588" s="3"/>
      <c r="I588" s="639"/>
      <c r="J588" s="100"/>
      <c r="K588" s="100"/>
      <c r="L588" s="100"/>
    </row>
    <row r="589">
      <c r="A589" s="3"/>
      <c r="B589" s="595"/>
      <c r="C589" s="3"/>
      <c r="D589" s="542"/>
      <c r="E589" s="3"/>
      <c r="F589" s="3"/>
      <c r="G589" s="3"/>
      <c r="H589" s="3"/>
      <c r="I589" s="639"/>
      <c r="J589" s="100"/>
      <c r="K589" s="100"/>
      <c r="L589" s="100"/>
    </row>
    <row r="590">
      <c r="A590" s="3"/>
      <c r="B590" s="595"/>
      <c r="C590" s="3"/>
      <c r="D590" s="542"/>
      <c r="E590" s="3"/>
      <c r="F590" s="3"/>
      <c r="G590" s="3"/>
      <c r="H590" s="3"/>
      <c r="I590" s="639"/>
      <c r="J590" s="100"/>
      <c r="K590" s="100"/>
      <c r="L590" s="100"/>
    </row>
    <row r="591">
      <c r="A591" s="3"/>
      <c r="B591" s="595"/>
      <c r="C591" s="3"/>
      <c r="D591" s="542"/>
      <c r="E591" s="3"/>
      <c r="F591" s="3"/>
      <c r="G591" s="3"/>
      <c r="H591" s="3"/>
      <c r="I591" s="639"/>
      <c r="J591" s="100"/>
      <c r="K591" s="100"/>
      <c r="L591" s="100"/>
    </row>
    <row r="592">
      <c r="A592" s="3"/>
      <c r="B592" s="595"/>
      <c r="C592" s="3"/>
      <c r="D592" s="542"/>
      <c r="E592" s="3"/>
      <c r="F592" s="3"/>
      <c r="G592" s="3"/>
      <c r="H592" s="3"/>
      <c r="I592" s="639"/>
      <c r="J592" s="100"/>
      <c r="K592" s="100"/>
      <c r="L592" s="100"/>
    </row>
    <row r="593">
      <c r="A593" s="3"/>
      <c r="B593" s="595"/>
      <c r="C593" s="3"/>
      <c r="D593" s="542"/>
      <c r="E593" s="3"/>
      <c r="F593" s="3"/>
      <c r="G593" s="3"/>
      <c r="H593" s="3"/>
      <c r="I593" s="639"/>
      <c r="J593" s="100"/>
      <c r="K593" s="100"/>
      <c r="L593" s="100"/>
    </row>
    <row r="594">
      <c r="A594" s="3"/>
      <c r="B594" s="595"/>
      <c r="C594" s="3"/>
      <c r="D594" s="542"/>
      <c r="E594" s="3"/>
      <c r="F594" s="3"/>
      <c r="G594" s="3"/>
      <c r="H594" s="3"/>
      <c r="I594" s="639"/>
      <c r="J594" s="100"/>
      <c r="K594" s="100"/>
      <c r="L594" s="100"/>
    </row>
    <row r="595">
      <c r="A595" s="3"/>
      <c r="B595" s="595"/>
      <c r="C595" s="3"/>
      <c r="D595" s="542"/>
      <c r="E595" s="3"/>
      <c r="F595" s="3"/>
      <c r="G595" s="3"/>
      <c r="H595" s="3"/>
      <c r="I595" s="639"/>
      <c r="J595" s="100"/>
      <c r="K595" s="100"/>
      <c r="L595" s="100"/>
    </row>
    <row r="596">
      <c r="A596" s="3"/>
      <c r="B596" s="595"/>
      <c r="C596" s="3"/>
      <c r="D596" s="542"/>
      <c r="E596" s="3"/>
      <c r="F596" s="3"/>
      <c r="G596" s="3"/>
      <c r="H596" s="3"/>
      <c r="I596" s="639"/>
      <c r="J596" s="100"/>
      <c r="K596" s="100"/>
      <c r="L596" s="100"/>
    </row>
    <row r="597">
      <c r="A597" s="3"/>
      <c r="B597" s="595"/>
      <c r="C597" s="3"/>
      <c r="D597" s="542"/>
      <c r="E597" s="3"/>
      <c r="F597" s="3"/>
      <c r="G597" s="3"/>
      <c r="H597" s="3"/>
      <c r="I597" s="639"/>
      <c r="J597" s="100"/>
      <c r="K597" s="100"/>
      <c r="L597" s="100"/>
    </row>
    <row r="598">
      <c r="A598" s="3"/>
      <c r="B598" s="595"/>
      <c r="C598" s="3"/>
      <c r="D598" s="542"/>
      <c r="E598" s="3"/>
      <c r="F598" s="3"/>
      <c r="G598" s="3"/>
      <c r="H598" s="3"/>
      <c r="I598" s="639"/>
      <c r="J598" s="100"/>
      <c r="K598" s="100"/>
      <c r="L598" s="100"/>
    </row>
    <row r="599">
      <c r="A599" s="3"/>
      <c r="B599" s="595"/>
      <c r="C599" s="3"/>
      <c r="D599" s="542"/>
      <c r="E599" s="3"/>
      <c r="F599" s="3"/>
      <c r="G599" s="3"/>
      <c r="H599" s="3"/>
      <c r="I599" s="639"/>
      <c r="J599" s="100"/>
      <c r="K599" s="100"/>
      <c r="L599" s="100"/>
    </row>
    <row r="600">
      <c r="A600" s="3"/>
      <c r="B600" s="595"/>
      <c r="C600" s="3"/>
      <c r="D600" s="542"/>
      <c r="E600" s="3"/>
      <c r="F600" s="3"/>
      <c r="G600" s="3"/>
      <c r="H600" s="3"/>
      <c r="I600" s="639"/>
      <c r="J600" s="100"/>
      <c r="K600" s="100"/>
      <c r="L600" s="100"/>
    </row>
    <row r="601">
      <c r="A601" s="3"/>
      <c r="B601" s="595"/>
      <c r="C601" s="3"/>
      <c r="D601" s="542"/>
      <c r="E601" s="3"/>
      <c r="F601" s="3"/>
      <c r="G601" s="3"/>
      <c r="H601" s="3"/>
      <c r="I601" s="639"/>
      <c r="J601" s="100"/>
      <c r="K601" s="100"/>
      <c r="L601" s="100"/>
    </row>
    <row r="602">
      <c r="A602" s="3"/>
      <c r="B602" s="595"/>
      <c r="C602" s="3"/>
      <c r="D602" s="542"/>
      <c r="E602" s="3"/>
      <c r="F602" s="3"/>
      <c r="G602" s="3"/>
      <c r="H602" s="3"/>
      <c r="I602" s="639"/>
      <c r="J602" s="100"/>
      <c r="K602" s="100"/>
      <c r="L602" s="100"/>
    </row>
    <row r="603">
      <c r="A603" s="3"/>
      <c r="B603" s="595"/>
      <c r="C603" s="3"/>
      <c r="D603" s="542"/>
      <c r="E603" s="3"/>
      <c r="F603" s="3"/>
      <c r="G603" s="3"/>
      <c r="H603" s="3"/>
      <c r="I603" s="639"/>
      <c r="J603" s="100"/>
      <c r="K603" s="100"/>
      <c r="L603" s="100"/>
    </row>
    <row r="604">
      <c r="A604" s="3"/>
      <c r="B604" s="595"/>
      <c r="C604" s="3"/>
      <c r="D604" s="542"/>
      <c r="E604" s="3"/>
      <c r="F604" s="3"/>
      <c r="G604" s="3"/>
      <c r="H604" s="3"/>
      <c r="I604" s="639"/>
      <c r="J604" s="100"/>
      <c r="K604" s="100"/>
      <c r="L604" s="100"/>
    </row>
    <row r="605">
      <c r="A605" s="3"/>
      <c r="B605" s="595"/>
      <c r="C605" s="3"/>
      <c r="D605" s="542"/>
      <c r="E605" s="3"/>
      <c r="F605" s="3"/>
      <c r="G605" s="3"/>
      <c r="H605" s="3"/>
      <c r="I605" s="639"/>
      <c r="J605" s="100"/>
      <c r="K605" s="100"/>
      <c r="L605" s="100"/>
    </row>
    <row r="606">
      <c r="A606" s="3"/>
      <c r="B606" s="595"/>
      <c r="C606" s="3"/>
      <c r="D606" s="542"/>
      <c r="E606" s="3"/>
      <c r="F606" s="3"/>
      <c r="G606" s="3"/>
      <c r="H606" s="3"/>
      <c r="I606" s="639"/>
      <c r="J606" s="100"/>
      <c r="K606" s="100"/>
      <c r="L606" s="100"/>
    </row>
    <row r="607">
      <c r="A607" s="3"/>
      <c r="B607" s="595"/>
      <c r="C607" s="3"/>
      <c r="D607" s="542"/>
      <c r="E607" s="3"/>
      <c r="F607" s="3"/>
      <c r="G607" s="3"/>
      <c r="H607" s="3"/>
      <c r="I607" s="639"/>
      <c r="J607" s="100"/>
      <c r="K607" s="100"/>
      <c r="L607" s="100"/>
    </row>
    <row r="608">
      <c r="A608" s="3"/>
      <c r="B608" s="595"/>
      <c r="C608" s="3"/>
      <c r="D608" s="542"/>
      <c r="E608" s="3"/>
      <c r="F608" s="3"/>
      <c r="G608" s="3"/>
      <c r="H608" s="3"/>
      <c r="I608" s="639"/>
      <c r="J608" s="100"/>
      <c r="K608" s="100"/>
      <c r="L608" s="100"/>
    </row>
    <row r="609">
      <c r="A609" s="3"/>
      <c r="B609" s="595"/>
      <c r="C609" s="3"/>
      <c r="D609" s="542"/>
      <c r="E609" s="3"/>
      <c r="F609" s="3"/>
      <c r="G609" s="3"/>
      <c r="H609" s="3"/>
      <c r="I609" s="639"/>
      <c r="J609" s="100"/>
      <c r="K609" s="100"/>
      <c r="L609" s="100"/>
    </row>
    <row r="610">
      <c r="A610" s="3"/>
      <c r="B610" s="595"/>
      <c r="C610" s="3"/>
      <c r="D610" s="542"/>
      <c r="E610" s="3"/>
      <c r="F610" s="3"/>
      <c r="G610" s="3"/>
      <c r="H610" s="3"/>
      <c r="I610" s="639"/>
      <c r="J610" s="100"/>
      <c r="K610" s="100"/>
      <c r="L610" s="100"/>
    </row>
    <row r="611">
      <c r="A611" s="3"/>
      <c r="B611" s="595"/>
      <c r="C611" s="3"/>
      <c r="D611" s="542"/>
      <c r="E611" s="3"/>
      <c r="F611" s="3"/>
      <c r="G611" s="3"/>
      <c r="H611" s="3"/>
      <c r="I611" s="639"/>
      <c r="J611" s="100"/>
      <c r="K611" s="100"/>
      <c r="L611" s="100"/>
    </row>
    <row r="612">
      <c r="A612" s="3"/>
      <c r="B612" s="595"/>
      <c r="C612" s="3"/>
      <c r="D612" s="542"/>
      <c r="E612" s="3"/>
      <c r="F612" s="3"/>
      <c r="G612" s="3"/>
      <c r="H612" s="3"/>
      <c r="I612" s="639"/>
      <c r="J612" s="100"/>
      <c r="K612" s="100"/>
      <c r="L612" s="100"/>
    </row>
    <row r="613">
      <c r="A613" s="3"/>
      <c r="B613" s="595"/>
      <c r="C613" s="3"/>
      <c r="D613" s="542"/>
      <c r="E613" s="3"/>
      <c r="F613" s="3"/>
      <c r="G613" s="3"/>
      <c r="H613" s="3"/>
      <c r="I613" s="639"/>
      <c r="J613" s="100"/>
      <c r="K613" s="100"/>
      <c r="L613" s="100"/>
    </row>
    <row r="614">
      <c r="A614" s="3"/>
      <c r="B614" s="595"/>
      <c r="C614" s="3"/>
      <c r="D614" s="542"/>
      <c r="E614" s="3"/>
      <c r="F614" s="3"/>
      <c r="G614" s="3"/>
      <c r="H614" s="3"/>
      <c r="I614" s="639"/>
      <c r="J614" s="100"/>
      <c r="K614" s="100"/>
      <c r="L614" s="100"/>
    </row>
    <row r="615">
      <c r="A615" s="3"/>
      <c r="B615" s="595"/>
      <c r="C615" s="3"/>
      <c r="D615" s="542"/>
      <c r="E615" s="3"/>
      <c r="F615" s="3"/>
      <c r="G615" s="3"/>
      <c r="H615" s="3"/>
      <c r="I615" s="639"/>
      <c r="J615" s="100"/>
      <c r="K615" s="100"/>
      <c r="L615" s="100"/>
    </row>
    <row r="616">
      <c r="A616" s="3"/>
      <c r="B616" s="595"/>
      <c r="C616" s="3"/>
      <c r="D616" s="542"/>
      <c r="E616" s="3"/>
      <c r="F616" s="3"/>
      <c r="G616" s="3"/>
      <c r="H616" s="3"/>
      <c r="I616" s="639"/>
      <c r="J616" s="100"/>
      <c r="K616" s="100"/>
      <c r="L616" s="100"/>
    </row>
    <row r="617">
      <c r="A617" s="3"/>
      <c r="B617" s="595"/>
      <c r="C617" s="3"/>
      <c r="D617" s="542"/>
      <c r="E617" s="3"/>
      <c r="F617" s="3"/>
      <c r="G617" s="3"/>
      <c r="H617" s="3"/>
      <c r="I617" s="639"/>
      <c r="J617" s="100"/>
      <c r="K617" s="100"/>
      <c r="L617" s="100"/>
    </row>
    <row r="618">
      <c r="A618" s="3"/>
      <c r="B618" s="595"/>
      <c r="C618" s="3"/>
      <c r="D618" s="542"/>
      <c r="E618" s="3"/>
      <c r="F618" s="3"/>
      <c r="G618" s="3"/>
      <c r="H618" s="3"/>
      <c r="I618" s="639"/>
      <c r="J618" s="100"/>
      <c r="K618" s="100"/>
      <c r="L618" s="100"/>
    </row>
    <row r="619">
      <c r="A619" s="3"/>
      <c r="B619" s="595"/>
      <c r="C619" s="3"/>
      <c r="D619" s="542"/>
      <c r="E619" s="3"/>
      <c r="F619" s="3"/>
      <c r="G619" s="3"/>
      <c r="H619" s="3"/>
      <c r="I619" s="639"/>
      <c r="J619" s="100"/>
      <c r="K619" s="100"/>
      <c r="L619" s="100"/>
    </row>
    <row r="620">
      <c r="A620" s="3"/>
      <c r="B620" s="595"/>
      <c r="C620" s="3"/>
      <c r="D620" s="542"/>
      <c r="E620" s="3"/>
      <c r="F620" s="3"/>
      <c r="G620" s="3"/>
      <c r="H620" s="3"/>
      <c r="I620" s="639"/>
      <c r="J620" s="100"/>
      <c r="K620" s="100"/>
      <c r="L620" s="100"/>
    </row>
    <row r="621">
      <c r="A621" s="3"/>
      <c r="B621" s="595"/>
      <c r="C621" s="3"/>
      <c r="D621" s="542"/>
      <c r="E621" s="3"/>
      <c r="F621" s="3"/>
      <c r="G621" s="3"/>
      <c r="H621" s="3"/>
      <c r="I621" s="639"/>
      <c r="J621" s="100"/>
      <c r="K621" s="100"/>
      <c r="L621" s="100"/>
    </row>
    <row r="622">
      <c r="A622" s="3"/>
      <c r="B622" s="595"/>
      <c r="C622" s="3"/>
      <c r="D622" s="542"/>
      <c r="E622" s="3"/>
      <c r="F622" s="3"/>
      <c r="G622" s="3"/>
      <c r="H622" s="3"/>
      <c r="I622" s="639"/>
      <c r="J622" s="100"/>
      <c r="K622" s="100"/>
      <c r="L622" s="100"/>
    </row>
    <row r="623">
      <c r="A623" s="3"/>
      <c r="B623" s="595"/>
      <c r="C623" s="3"/>
      <c r="D623" s="542"/>
      <c r="E623" s="3"/>
      <c r="F623" s="3"/>
      <c r="G623" s="3"/>
      <c r="H623" s="3"/>
      <c r="I623" s="639"/>
      <c r="J623" s="100"/>
      <c r="K623" s="100"/>
      <c r="L623" s="100"/>
    </row>
    <row r="624">
      <c r="A624" s="3"/>
      <c r="B624" s="595"/>
      <c r="C624" s="3"/>
      <c r="D624" s="542"/>
      <c r="E624" s="3"/>
      <c r="F624" s="3"/>
      <c r="G624" s="3"/>
      <c r="H624" s="3"/>
      <c r="I624" s="639"/>
      <c r="J624" s="100"/>
      <c r="K624" s="100"/>
      <c r="L624" s="100"/>
    </row>
    <row r="625">
      <c r="A625" s="3"/>
      <c r="B625" s="595"/>
      <c r="C625" s="3"/>
      <c r="D625" s="542"/>
      <c r="E625" s="3"/>
      <c r="F625" s="3"/>
      <c r="G625" s="3"/>
      <c r="H625" s="3"/>
      <c r="I625" s="639"/>
      <c r="J625" s="100"/>
      <c r="K625" s="100"/>
      <c r="L625" s="100"/>
    </row>
    <row r="626">
      <c r="A626" s="3"/>
      <c r="B626" s="595"/>
      <c r="C626" s="3"/>
      <c r="D626" s="542"/>
      <c r="E626" s="3"/>
      <c r="F626" s="3"/>
      <c r="G626" s="3"/>
      <c r="H626" s="3"/>
      <c r="I626" s="639"/>
      <c r="J626" s="100"/>
      <c r="K626" s="100"/>
      <c r="L626" s="100"/>
    </row>
    <row r="627">
      <c r="A627" s="3"/>
      <c r="B627" s="595"/>
      <c r="C627" s="3"/>
      <c r="D627" s="542"/>
      <c r="E627" s="3"/>
      <c r="F627" s="3"/>
      <c r="G627" s="3"/>
      <c r="H627" s="3"/>
      <c r="I627" s="639"/>
      <c r="J627" s="100"/>
      <c r="K627" s="100"/>
      <c r="L627" s="100"/>
    </row>
    <row r="628">
      <c r="A628" s="3"/>
      <c r="B628" s="595"/>
      <c r="C628" s="3"/>
      <c r="D628" s="542"/>
      <c r="E628" s="3"/>
      <c r="F628" s="3"/>
      <c r="G628" s="3"/>
      <c r="H628" s="3"/>
      <c r="I628" s="639"/>
      <c r="J628" s="100"/>
      <c r="K628" s="100"/>
      <c r="L628" s="100"/>
    </row>
    <row r="629">
      <c r="A629" s="3"/>
      <c r="B629" s="595"/>
      <c r="C629" s="3"/>
      <c r="D629" s="542"/>
      <c r="E629" s="3"/>
      <c r="F629" s="3"/>
      <c r="G629" s="3"/>
      <c r="H629" s="3"/>
      <c r="I629" s="639"/>
      <c r="J629" s="100"/>
      <c r="K629" s="100"/>
      <c r="L629" s="100"/>
    </row>
    <row r="630">
      <c r="A630" s="3"/>
      <c r="B630" s="595"/>
      <c r="C630" s="3"/>
      <c r="D630" s="542"/>
      <c r="E630" s="3"/>
      <c r="F630" s="3"/>
      <c r="G630" s="3"/>
      <c r="H630" s="3"/>
      <c r="I630" s="639"/>
      <c r="J630" s="100"/>
      <c r="K630" s="100"/>
      <c r="L630" s="100"/>
    </row>
    <row r="631">
      <c r="A631" s="3"/>
      <c r="B631" s="595"/>
      <c r="C631" s="3"/>
      <c r="D631" s="542"/>
      <c r="E631" s="3"/>
      <c r="F631" s="3"/>
      <c r="G631" s="3"/>
      <c r="H631" s="3"/>
      <c r="I631" s="639"/>
      <c r="J631" s="100"/>
      <c r="K631" s="100"/>
      <c r="L631" s="100"/>
    </row>
    <row r="632">
      <c r="A632" s="3"/>
      <c r="B632" s="595"/>
      <c r="C632" s="3"/>
      <c r="D632" s="542"/>
      <c r="E632" s="3"/>
      <c r="F632" s="3"/>
      <c r="G632" s="3"/>
      <c r="H632" s="3"/>
      <c r="I632" s="639"/>
      <c r="J632" s="100"/>
      <c r="K632" s="100"/>
      <c r="L632" s="100"/>
    </row>
    <row r="633">
      <c r="A633" s="3"/>
      <c r="B633" s="595"/>
      <c r="C633" s="3"/>
      <c r="D633" s="542"/>
      <c r="E633" s="3"/>
      <c r="F633" s="3"/>
      <c r="G633" s="3"/>
      <c r="H633" s="3"/>
      <c r="I633" s="639"/>
      <c r="J633" s="100"/>
      <c r="K633" s="100"/>
      <c r="L633" s="100"/>
    </row>
    <row r="634">
      <c r="A634" s="3"/>
      <c r="B634" s="595"/>
      <c r="C634" s="3"/>
      <c r="D634" s="542"/>
      <c r="E634" s="3"/>
      <c r="F634" s="3"/>
      <c r="G634" s="3"/>
      <c r="H634" s="3"/>
      <c r="I634" s="639"/>
      <c r="J634" s="100"/>
      <c r="K634" s="100"/>
      <c r="L634" s="100"/>
    </row>
    <row r="635">
      <c r="A635" s="3"/>
      <c r="B635" s="595"/>
      <c r="C635" s="3"/>
      <c r="D635" s="542"/>
      <c r="E635" s="3"/>
      <c r="F635" s="3"/>
      <c r="G635" s="3"/>
      <c r="H635" s="3"/>
      <c r="I635" s="639"/>
      <c r="J635" s="100"/>
      <c r="K635" s="100"/>
      <c r="L635" s="100"/>
    </row>
    <row r="636">
      <c r="A636" s="3"/>
      <c r="B636" s="595"/>
      <c r="C636" s="3"/>
      <c r="D636" s="542"/>
      <c r="E636" s="3"/>
      <c r="F636" s="3"/>
      <c r="G636" s="3"/>
      <c r="H636" s="3"/>
      <c r="I636" s="639"/>
      <c r="J636" s="100"/>
      <c r="K636" s="100"/>
      <c r="L636" s="100"/>
    </row>
    <row r="637">
      <c r="A637" s="3"/>
      <c r="B637" s="595"/>
      <c r="C637" s="3"/>
      <c r="D637" s="542"/>
      <c r="E637" s="3"/>
      <c r="F637" s="3"/>
      <c r="G637" s="3"/>
      <c r="H637" s="3"/>
      <c r="I637" s="639"/>
      <c r="J637" s="100"/>
      <c r="K637" s="100"/>
      <c r="L637" s="100"/>
    </row>
    <row r="638">
      <c r="A638" s="3"/>
      <c r="B638" s="595"/>
      <c r="C638" s="3"/>
      <c r="D638" s="542"/>
      <c r="E638" s="3"/>
      <c r="F638" s="3"/>
      <c r="G638" s="3"/>
      <c r="H638" s="3"/>
      <c r="I638" s="639"/>
      <c r="J638" s="100"/>
      <c r="K638" s="100"/>
      <c r="L638" s="100"/>
    </row>
    <row r="639">
      <c r="A639" s="3"/>
      <c r="B639" s="595"/>
      <c r="C639" s="3"/>
      <c r="D639" s="542"/>
      <c r="E639" s="3"/>
      <c r="F639" s="3"/>
      <c r="G639" s="3"/>
      <c r="H639" s="3"/>
      <c r="I639" s="639"/>
      <c r="J639" s="100"/>
      <c r="K639" s="100"/>
      <c r="L639" s="100"/>
    </row>
    <row r="640">
      <c r="A640" s="3"/>
      <c r="B640" s="595"/>
      <c r="C640" s="3"/>
      <c r="D640" s="542"/>
      <c r="E640" s="3"/>
      <c r="F640" s="3"/>
      <c r="G640" s="3"/>
      <c r="H640" s="3"/>
      <c r="I640" s="639"/>
      <c r="J640" s="100"/>
      <c r="K640" s="100"/>
      <c r="L640" s="100"/>
    </row>
    <row r="641">
      <c r="A641" s="3"/>
      <c r="B641" s="595"/>
      <c r="C641" s="3"/>
      <c r="D641" s="542"/>
      <c r="E641" s="3"/>
      <c r="F641" s="3"/>
      <c r="G641" s="3"/>
      <c r="H641" s="3"/>
      <c r="I641" s="639"/>
      <c r="J641" s="100"/>
      <c r="K641" s="100"/>
      <c r="L641" s="100"/>
    </row>
    <row r="642">
      <c r="A642" s="3"/>
      <c r="B642" s="595"/>
      <c r="C642" s="3"/>
      <c r="D642" s="542"/>
      <c r="E642" s="3"/>
      <c r="F642" s="3"/>
      <c r="G642" s="3"/>
      <c r="H642" s="3"/>
      <c r="I642" s="639"/>
      <c r="J642" s="100"/>
      <c r="K642" s="100"/>
      <c r="L642" s="100"/>
    </row>
    <row r="643">
      <c r="A643" s="3"/>
      <c r="B643" s="595"/>
      <c r="C643" s="3"/>
      <c r="D643" s="542"/>
      <c r="E643" s="3"/>
      <c r="F643" s="3"/>
      <c r="G643" s="3"/>
      <c r="H643" s="3"/>
      <c r="I643" s="639"/>
      <c r="J643" s="100"/>
      <c r="K643" s="100"/>
      <c r="L643" s="100"/>
    </row>
    <row r="644">
      <c r="A644" s="3"/>
      <c r="B644" s="595"/>
      <c r="C644" s="3"/>
      <c r="D644" s="542"/>
      <c r="E644" s="3"/>
      <c r="F644" s="3"/>
      <c r="G644" s="3"/>
      <c r="H644" s="3"/>
      <c r="I644" s="639"/>
      <c r="J644" s="100"/>
      <c r="K644" s="100"/>
      <c r="L644" s="100"/>
    </row>
    <row r="645">
      <c r="A645" s="3"/>
      <c r="B645" s="595"/>
      <c r="C645" s="3"/>
      <c r="D645" s="542"/>
      <c r="E645" s="3"/>
      <c r="F645" s="3"/>
      <c r="G645" s="3"/>
      <c r="H645" s="3"/>
      <c r="I645" s="639"/>
      <c r="J645" s="100"/>
      <c r="K645" s="100"/>
      <c r="L645" s="100"/>
    </row>
    <row r="646">
      <c r="A646" s="3"/>
      <c r="B646" s="595"/>
      <c r="C646" s="3"/>
      <c r="D646" s="542"/>
      <c r="E646" s="3"/>
      <c r="F646" s="3"/>
      <c r="G646" s="3"/>
      <c r="H646" s="3"/>
      <c r="I646" s="639"/>
      <c r="J646" s="100"/>
      <c r="K646" s="100"/>
      <c r="L646" s="100"/>
    </row>
    <row r="647">
      <c r="A647" s="3"/>
      <c r="B647" s="595"/>
      <c r="C647" s="3"/>
      <c r="D647" s="542"/>
      <c r="E647" s="3"/>
      <c r="F647" s="3"/>
      <c r="G647" s="3"/>
      <c r="H647" s="3"/>
      <c r="I647" s="639"/>
      <c r="J647" s="100"/>
      <c r="K647" s="100"/>
      <c r="L647" s="100"/>
    </row>
    <row r="648">
      <c r="A648" s="3"/>
      <c r="B648" s="595"/>
      <c r="C648" s="3"/>
      <c r="D648" s="542"/>
      <c r="E648" s="3"/>
      <c r="F648" s="3"/>
      <c r="G648" s="3"/>
      <c r="H648" s="3"/>
      <c r="I648" s="639"/>
      <c r="J648" s="100"/>
      <c r="K648" s="100"/>
      <c r="L648" s="100"/>
    </row>
    <row r="649">
      <c r="A649" s="3"/>
      <c r="B649" s="595"/>
      <c r="C649" s="3"/>
      <c r="D649" s="542"/>
      <c r="E649" s="3"/>
      <c r="F649" s="3"/>
      <c r="G649" s="3"/>
      <c r="H649" s="3"/>
      <c r="I649" s="639"/>
      <c r="J649" s="100"/>
      <c r="K649" s="100"/>
      <c r="L649" s="100"/>
    </row>
    <row r="650">
      <c r="A650" s="3"/>
      <c r="B650" s="595"/>
      <c r="C650" s="3"/>
      <c r="D650" s="542"/>
      <c r="E650" s="3"/>
      <c r="F650" s="3"/>
      <c r="G650" s="3"/>
      <c r="H650" s="3"/>
      <c r="I650" s="639"/>
      <c r="J650" s="100"/>
      <c r="K650" s="100"/>
      <c r="L650" s="100"/>
    </row>
    <row r="651">
      <c r="A651" s="3"/>
      <c r="B651" s="595"/>
      <c r="C651" s="3"/>
      <c r="D651" s="542"/>
      <c r="E651" s="3"/>
      <c r="F651" s="3"/>
      <c r="G651" s="3"/>
      <c r="H651" s="3"/>
      <c r="I651" s="639"/>
      <c r="J651" s="100"/>
      <c r="K651" s="100"/>
      <c r="L651" s="100"/>
    </row>
    <row r="652">
      <c r="A652" s="3"/>
      <c r="B652" s="595"/>
      <c r="C652" s="3"/>
      <c r="D652" s="542"/>
      <c r="E652" s="3"/>
      <c r="F652" s="3"/>
      <c r="G652" s="3"/>
      <c r="H652" s="3"/>
      <c r="I652" s="639"/>
      <c r="J652" s="100"/>
      <c r="K652" s="100"/>
      <c r="L652" s="100"/>
    </row>
    <row r="653">
      <c r="A653" s="3"/>
      <c r="B653" s="595"/>
      <c r="C653" s="3"/>
      <c r="D653" s="542"/>
      <c r="E653" s="3"/>
      <c r="F653" s="3"/>
      <c r="G653" s="3"/>
      <c r="H653" s="3"/>
      <c r="I653" s="639"/>
      <c r="J653" s="100"/>
      <c r="K653" s="100"/>
      <c r="L653" s="100"/>
    </row>
    <row r="654">
      <c r="A654" s="3"/>
      <c r="B654" s="595"/>
      <c r="C654" s="3"/>
      <c r="D654" s="542"/>
      <c r="E654" s="3"/>
      <c r="F654" s="3"/>
      <c r="G654" s="3"/>
      <c r="H654" s="3"/>
      <c r="I654" s="639"/>
      <c r="J654" s="100"/>
      <c r="K654" s="100"/>
      <c r="L654" s="100"/>
    </row>
    <row r="655">
      <c r="A655" s="3"/>
      <c r="B655" s="595"/>
      <c r="C655" s="3"/>
      <c r="D655" s="542"/>
      <c r="E655" s="3"/>
      <c r="F655" s="3"/>
      <c r="G655" s="3"/>
      <c r="H655" s="3"/>
      <c r="I655" s="639"/>
      <c r="J655" s="100"/>
      <c r="K655" s="100"/>
      <c r="L655" s="100"/>
    </row>
    <row r="656">
      <c r="A656" s="3"/>
      <c r="B656" s="595"/>
      <c r="C656" s="3"/>
      <c r="D656" s="542"/>
      <c r="E656" s="3"/>
      <c r="F656" s="3"/>
      <c r="G656" s="3"/>
      <c r="H656" s="3"/>
      <c r="I656" s="639"/>
      <c r="J656" s="100"/>
      <c r="K656" s="100"/>
      <c r="L656" s="100"/>
    </row>
    <row r="657">
      <c r="A657" s="3"/>
      <c r="B657" s="595"/>
      <c r="C657" s="3"/>
      <c r="D657" s="542"/>
      <c r="E657" s="3"/>
      <c r="F657" s="3"/>
      <c r="G657" s="3"/>
      <c r="H657" s="3"/>
      <c r="I657" s="639"/>
      <c r="J657" s="100"/>
      <c r="K657" s="100"/>
      <c r="L657" s="100"/>
    </row>
    <row r="658">
      <c r="A658" s="3"/>
      <c r="B658" s="595"/>
      <c r="C658" s="3"/>
      <c r="D658" s="542"/>
      <c r="E658" s="3"/>
      <c r="F658" s="3"/>
      <c r="G658" s="3"/>
      <c r="H658" s="3"/>
      <c r="I658" s="639"/>
      <c r="J658" s="100"/>
      <c r="K658" s="100"/>
      <c r="L658" s="100"/>
    </row>
    <row r="659">
      <c r="A659" s="3"/>
      <c r="B659" s="595"/>
      <c r="C659" s="3"/>
      <c r="D659" s="542"/>
      <c r="E659" s="3"/>
      <c r="F659" s="3"/>
      <c r="G659" s="3"/>
      <c r="H659" s="3"/>
      <c r="I659" s="639"/>
      <c r="J659" s="100"/>
      <c r="K659" s="100"/>
      <c r="L659" s="100"/>
    </row>
    <row r="660">
      <c r="A660" s="3"/>
      <c r="B660" s="595"/>
      <c r="C660" s="3"/>
      <c r="D660" s="542"/>
      <c r="E660" s="3"/>
      <c r="F660" s="3"/>
      <c r="G660" s="3"/>
      <c r="H660" s="3"/>
      <c r="I660" s="639"/>
      <c r="J660" s="100"/>
      <c r="K660" s="100"/>
      <c r="L660" s="100"/>
    </row>
    <row r="661">
      <c r="A661" s="3"/>
      <c r="B661" s="595"/>
      <c r="C661" s="3"/>
      <c r="D661" s="542"/>
      <c r="E661" s="3"/>
      <c r="F661" s="3"/>
      <c r="G661" s="3"/>
      <c r="H661" s="3"/>
      <c r="I661" s="639"/>
      <c r="J661" s="100"/>
      <c r="K661" s="100"/>
      <c r="L661" s="100"/>
    </row>
    <row r="662">
      <c r="A662" s="3"/>
      <c r="B662" s="595"/>
      <c r="C662" s="3"/>
      <c r="D662" s="542"/>
      <c r="E662" s="3"/>
      <c r="F662" s="3"/>
      <c r="G662" s="3"/>
      <c r="H662" s="3"/>
      <c r="I662" s="639"/>
      <c r="J662" s="100"/>
      <c r="K662" s="100"/>
      <c r="L662" s="100"/>
    </row>
    <row r="663">
      <c r="A663" s="3"/>
      <c r="B663" s="595"/>
      <c r="C663" s="3"/>
      <c r="D663" s="542"/>
      <c r="E663" s="3"/>
      <c r="F663" s="3"/>
      <c r="G663" s="3"/>
      <c r="H663" s="3"/>
      <c r="I663" s="639"/>
      <c r="J663" s="100"/>
      <c r="K663" s="100"/>
      <c r="L663" s="100"/>
    </row>
    <row r="664">
      <c r="A664" s="3"/>
      <c r="B664" s="595"/>
      <c r="C664" s="3"/>
      <c r="D664" s="542"/>
      <c r="E664" s="3"/>
      <c r="F664" s="3"/>
      <c r="G664" s="3"/>
      <c r="H664" s="3"/>
      <c r="I664" s="639"/>
      <c r="J664" s="100"/>
      <c r="K664" s="100"/>
      <c r="L664" s="100"/>
    </row>
    <row r="665">
      <c r="A665" s="3"/>
      <c r="B665" s="595"/>
      <c r="C665" s="3"/>
      <c r="D665" s="542"/>
      <c r="E665" s="3"/>
      <c r="F665" s="3"/>
      <c r="G665" s="3"/>
      <c r="H665" s="3"/>
      <c r="I665" s="639"/>
      <c r="J665" s="100"/>
      <c r="K665" s="100"/>
      <c r="L665" s="100"/>
    </row>
    <row r="666">
      <c r="A666" s="3"/>
      <c r="B666" s="595"/>
      <c r="C666" s="3"/>
      <c r="D666" s="542"/>
      <c r="E666" s="3"/>
      <c r="F666" s="3"/>
      <c r="G666" s="3"/>
      <c r="H666" s="3"/>
      <c r="I666" s="639"/>
      <c r="J666" s="100"/>
      <c r="K666" s="100"/>
      <c r="L666" s="100"/>
    </row>
    <row r="667">
      <c r="A667" s="3"/>
      <c r="B667" s="595"/>
      <c r="C667" s="3"/>
      <c r="D667" s="542"/>
      <c r="E667" s="3"/>
      <c r="F667" s="3"/>
      <c r="G667" s="3"/>
      <c r="H667" s="3"/>
      <c r="I667" s="639"/>
      <c r="J667" s="100"/>
      <c r="K667" s="100"/>
      <c r="L667" s="100"/>
    </row>
    <row r="668">
      <c r="A668" s="3"/>
      <c r="B668" s="595"/>
      <c r="C668" s="3"/>
      <c r="D668" s="542"/>
      <c r="E668" s="3"/>
      <c r="F668" s="3"/>
      <c r="G668" s="3"/>
      <c r="H668" s="3"/>
      <c r="I668" s="639"/>
      <c r="J668" s="100"/>
      <c r="K668" s="100"/>
      <c r="L668" s="100"/>
    </row>
    <row r="669">
      <c r="A669" s="3"/>
      <c r="B669" s="595"/>
      <c r="C669" s="3"/>
      <c r="D669" s="542"/>
      <c r="E669" s="3"/>
      <c r="F669" s="3"/>
      <c r="G669" s="3"/>
      <c r="H669" s="3"/>
      <c r="I669" s="639"/>
      <c r="J669" s="100"/>
      <c r="K669" s="100"/>
      <c r="L669" s="100"/>
    </row>
    <row r="670">
      <c r="A670" s="3"/>
      <c r="B670" s="595"/>
      <c r="C670" s="3"/>
      <c r="D670" s="542"/>
      <c r="E670" s="3"/>
      <c r="F670" s="3"/>
      <c r="G670" s="3"/>
      <c r="H670" s="3"/>
      <c r="I670" s="639"/>
      <c r="J670" s="100"/>
      <c r="K670" s="100"/>
      <c r="L670" s="100"/>
    </row>
    <row r="671">
      <c r="A671" s="3"/>
      <c r="B671" s="595"/>
      <c r="C671" s="3"/>
      <c r="D671" s="542"/>
      <c r="E671" s="3"/>
      <c r="F671" s="3"/>
      <c r="G671" s="3"/>
      <c r="H671" s="3"/>
      <c r="I671" s="639"/>
      <c r="J671" s="100"/>
      <c r="K671" s="100"/>
      <c r="L671" s="100"/>
    </row>
    <row r="672">
      <c r="A672" s="3"/>
      <c r="B672" s="595"/>
      <c r="C672" s="3"/>
      <c r="D672" s="542"/>
      <c r="E672" s="3"/>
      <c r="F672" s="3"/>
      <c r="G672" s="3"/>
      <c r="H672" s="3"/>
      <c r="I672" s="639"/>
      <c r="J672" s="100"/>
      <c r="K672" s="100"/>
      <c r="L672" s="100"/>
    </row>
    <row r="673">
      <c r="A673" s="3"/>
      <c r="B673" s="595"/>
      <c r="C673" s="3"/>
      <c r="D673" s="542"/>
      <c r="E673" s="3"/>
      <c r="F673" s="3"/>
      <c r="G673" s="3"/>
      <c r="H673" s="3"/>
      <c r="I673" s="639"/>
      <c r="J673" s="100"/>
      <c r="K673" s="100"/>
      <c r="L673" s="100"/>
    </row>
    <row r="674">
      <c r="A674" s="3"/>
      <c r="B674" s="595"/>
      <c r="C674" s="3"/>
      <c r="D674" s="542"/>
      <c r="E674" s="3"/>
      <c r="F674" s="3"/>
      <c r="G674" s="3"/>
      <c r="H674" s="3"/>
      <c r="I674" s="639"/>
      <c r="J674" s="100"/>
      <c r="K674" s="100"/>
      <c r="L674" s="100"/>
    </row>
    <row r="675">
      <c r="A675" s="3"/>
      <c r="B675" s="595"/>
      <c r="C675" s="3"/>
      <c r="D675" s="542"/>
      <c r="E675" s="3"/>
      <c r="F675" s="3"/>
      <c r="G675" s="3"/>
      <c r="H675" s="3"/>
      <c r="I675" s="639"/>
      <c r="J675" s="100"/>
      <c r="K675" s="100"/>
      <c r="L675" s="100"/>
    </row>
    <row r="676">
      <c r="A676" s="3"/>
      <c r="B676" s="595"/>
      <c r="C676" s="3"/>
      <c r="D676" s="542"/>
      <c r="E676" s="3"/>
      <c r="F676" s="3"/>
      <c r="G676" s="3"/>
      <c r="H676" s="3"/>
      <c r="I676" s="639"/>
      <c r="J676" s="100"/>
      <c r="K676" s="100"/>
      <c r="L676" s="100"/>
    </row>
    <row r="677">
      <c r="A677" s="3"/>
      <c r="B677" s="595"/>
      <c r="C677" s="3"/>
      <c r="D677" s="542"/>
      <c r="E677" s="3"/>
      <c r="F677" s="3"/>
      <c r="G677" s="3"/>
      <c r="H677" s="3"/>
      <c r="I677" s="639"/>
      <c r="J677" s="100"/>
      <c r="K677" s="100"/>
      <c r="L677" s="100"/>
    </row>
    <row r="678">
      <c r="A678" s="3"/>
      <c r="B678" s="595"/>
      <c r="C678" s="3"/>
      <c r="D678" s="542"/>
      <c r="E678" s="3"/>
      <c r="F678" s="3"/>
      <c r="G678" s="3"/>
      <c r="H678" s="3"/>
      <c r="I678" s="639"/>
      <c r="J678" s="100"/>
      <c r="K678" s="100"/>
      <c r="L678" s="100"/>
    </row>
    <row r="679">
      <c r="A679" s="3"/>
      <c r="B679" s="595"/>
      <c r="C679" s="3"/>
      <c r="D679" s="542"/>
      <c r="E679" s="3"/>
      <c r="F679" s="3"/>
      <c r="G679" s="3"/>
      <c r="H679" s="3"/>
      <c r="I679" s="639"/>
      <c r="J679" s="100"/>
      <c r="K679" s="100"/>
      <c r="L679" s="100"/>
    </row>
    <row r="680">
      <c r="A680" s="3"/>
      <c r="B680" s="595"/>
      <c r="C680" s="3"/>
      <c r="D680" s="542"/>
      <c r="E680" s="3"/>
      <c r="F680" s="3"/>
      <c r="G680" s="3"/>
      <c r="H680" s="3"/>
      <c r="I680" s="639"/>
      <c r="J680" s="100"/>
      <c r="K680" s="100"/>
      <c r="L680" s="100"/>
    </row>
    <row r="681">
      <c r="A681" s="3"/>
      <c r="B681" s="595"/>
      <c r="C681" s="3"/>
      <c r="D681" s="542"/>
      <c r="E681" s="3"/>
      <c r="F681" s="3"/>
      <c r="G681" s="3"/>
      <c r="H681" s="3"/>
      <c r="I681" s="639"/>
      <c r="J681" s="100"/>
      <c r="K681" s="100"/>
      <c r="L681" s="100"/>
    </row>
    <row r="682">
      <c r="A682" s="3"/>
      <c r="B682" s="595"/>
      <c r="C682" s="3"/>
      <c r="D682" s="542"/>
      <c r="E682" s="3"/>
      <c r="F682" s="3"/>
      <c r="G682" s="3"/>
      <c r="H682" s="3"/>
      <c r="I682" s="639"/>
      <c r="J682" s="100"/>
      <c r="K682" s="100"/>
      <c r="L682" s="100"/>
    </row>
    <row r="683">
      <c r="A683" s="3"/>
      <c r="B683" s="595"/>
      <c r="C683" s="3"/>
      <c r="D683" s="542"/>
      <c r="E683" s="3"/>
      <c r="F683" s="3"/>
      <c r="G683" s="3"/>
      <c r="H683" s="3"/>
      <c r="I683" s="639"/>
      <c r="J683" s="100"/>
      <c r="K683" s="100"/>
      <c r="L683" s="100"/>
    </row>
    <row r="684">
      <c r="A684" s="3"/>
      <c r="B684" s="595"/>
      <c r="C684" s="3"/>
      <c r="D684" s="542"/>
      <c r="E684" s="3"/>
      <c r="F684" s="3"/>
      <c r="G684" s="3"/>
      <c r="H684" s="3"/>
      <c r="I684" s="639"/>
      <c r="J684" s="100"/>
      <c r="K684" s="100"/>
      <c r="L684" s="100"/>
    </row>
    <row r="685">
      <c r="A685" s="3"/>
      <c r="B685" s="595"/>
      <c r="C685" s="3"/>
      <c r="D685" s="542"/>
      <c r="E685" s="3"/>
      <c r="F685" s="3"/>
      <c r="G685" s="3"/>
      <c r="H685" s="3"/>
      <c r="I685" s="639"/>
      <c r="J685" s="100"/>
      <c r="K685" s="100"/>
      <c r="L685" s="100"/>
    </row>
    <row r="686">
      <c r="A686" s="3"/>
      <c r="B686" s="595"/>
      <c r="C686" s="3"/>
      <c r="D686" s="542"/>
      <c r="E686" s="3"/>
      <c r="F686" s="3"/>
      <c r="G686" s="3"/>
      <c r="H686" s="3"/>
      <c r="I686" s="639"/>
      <c r="J686" s="100"/>
      <c r="K686" s="100"/>
      <c r="L686" s="100"/>
    </row>
    <row r="687">
      <c r="A687" s="3"/>
      <c r="B687" s="595"/>
      <c r="C687" s="3"/>
      <c r="D687" s="542"/>
      <c r="E687" s="3"/>
      <c r="F687" s="3"/>
      <c r="G687" s="3"/>
      <c r="H687" s="3"/>
      <c r="I687" s="639"/>
      <c r="J687" s="100"/>
      <c r="K687" s="100"/>
      <c r="L687" s="100"/>
    </row>
    <row r="688">
      <c r="A688" s="3"/>
      <c r="B688" s="595"/>
      <c r="C688" s="3"/>
      <c r="D688" s="542"/>
      <c r="E688" s="3"/>
      <c r="F688" s="3"/>
      <c r="G688" s="3"/>
      <c r="H688" s="3"/>
      <c r="I688" s="639"/>
      <c r="J688" s="100"/>
      <c r="K688" s="100"/>
      <c r="L688" s="100"/>
    </row>
    <row r="689">
      <c r="A689" s="3"/>
      <c r="B689" s="595"/>
      <c r="C689" s="3"/>
      <c r="D689" s="542"/>
      <c r="E689" s="3"/>
      <c r="F689" s="3"/>
      <c r="G689" s="3"/>
      <c r="H689" s="3"/>
      <c r="I689" s="639"/>
      <c r="J689" s="100"/>
      <c r="K689" s="100"/>
      <c r="L689" s="100"/>
    </row>
    <row r="690">
      <c r="A690" s="3"/>
      <c r="B690" s="595"/>
      <c r="C690" s="3"/>
      <c r="D690" s="542"/>
      <c r="E690" s="3"/>
      <c r="F690" s="3"/>
      <c r="G690" s="3"/>
      <c r="H690" s="3"/>
      <c r="I690" s="639"/>
      <c r="J690" s="100"/>
      <c r="K690" s="100"/>
      <c r="L690" s="100"/>
    </row>
    <row r="691">
      <c r="A691" s="3"/>
      <c r="B691" s="595"/>
      <c r="C691" s="3"/>
      <c r="D691" s="542"/>
      <c r="E691" s="3"/>
      <c r="F691" s="3"/>
      <c r="G691" s="3"/>
      <c r="H691" s="3"/>
      <c r="I691" s="639"/>
      <c r="J691" s="100"/>
      <c r="K691" s="100"/>
      <c r="L691" s="100"/>
    </row>
    <row r="692">
      <c r="A692" s="3"/>
      <c r="B692" s="595"/>
      <c r="C692" s="3"/>
      <c r="D692" s="542"/>
      <c r="E692" s="3"/>
      <c r="F692" s="3"/>
      <c r="G692" s="3"/>
      <c r="H692" s="3"/>
      <c r="I692" s="639"/>
      <c r="J692" s="100"/>
      <c r="K692" s="100"/>
      <c r="L692" s="100"/>
    </row>
    <row r="693">
      <c r="A693" s="3"/>
      <c r="B693" s="595"/>
      <c r="C693" s="3"/>
      <c r="D693" s="542"/>
      <c r="E693" s="3"/>
      <c r="F693" s="3"/>
      <c r="G693" s="3"/>
      <c r="H693" s="3"/>
      <c r="I693" s="639"/>
      <c r="J693" s="100"/>
      <c r="K693" s="100"/>
      <c r="L693" s="100"/>
    </row>
    <row r="694">
      <c r="A694" s="3"/>
      <c r="B694" s="595"/>
      <c r="C694" s="3"/>
      <c r="D694" s="542"/>
      <c r="E694" s="3"/>
      <c r="F694" s="3"/>
      <c r="G694" s="3"/>
      <c r="H694" s="3"/>
      <c r="I694" s="639"/>
      <c r="J694" s="100"/>
      <c r="K694" s="100"/>
      <c r="L694" s="100"/>
    </row>
    <row r="695">
      <c r="A695" s="3"/>
      <c r="B695" s="595"/>
      <c r="C695" s="3"/>
      <c r="D695" s="542"/>
      <c r="E695" s="3"/>
      <c r="F695" s="3"/>
      <c r="G695" s="3"/>
      <c r="H695" s="3"/>
      <c r="I695" s="639"/>
      <c r="J695" s="100"/>
      <c r="K695" s="100"/>
      <c r="L695" s="100"/>
    </row>
    <row r="696">
      <c r="A696" s="3"/>
      <c r="B696" s="595"/>
      <c r="C696" s="3"/>
      <c r="D696" s="542"/>
      <c r="E696" s="3"/>
      <c r="F696" s="3"/>
      <c r="G696" s="3"/>
      <c r="H696" s="3"/>
      <c r="I696" s="639"/>
      <c r="J696" s="100"/>
      <c r="K696" s="100"/>
      <c r="L696" s="100"/>
    </row>
    <row r="697">
      <c r="A697" s="3"/>
      <c r="B697" s="595"/>
      <c r="C697" s="3"/>
      <c r="D697" s="542"/>
      <c r="E697" s="3"/>
      <c r="F697" s="3"/>
      <c r="G697" s="3"/>
      <c r="H697" s="3"/>
      <c r="I697" s="639"/>
      <c r="J697" s="100"/>
      <c r="K697" s="100"/>
      <c r="L697" s="100"/>
    </row>
    <row r="698">
      <c r="A698" s="3"/>
      <c r="B698" s="595"/>
      <c r="C698" s="3"/>
      <c r="D698" s="542"/>
      <c r="E698" s="3"/>
      <c r="F698" s="3"/>
      <c r="G698" s="3"/>
      <c r="H698" s="3"/>
      <c r="I698" s="639"/>
      <c r="J698" s="100"/>
      <c r="K698" s="100"/>
      <c r="L698" s="100"/>
    </row>
    <row r="699">
      <c r="A699" s="3"/>
      <c r="B699" s="595"/>
      <c r="C699" s="3"/>
      <c r="D699" s="542"/>
      <c r="E699" s="3"/>
      <c r="F699" s="3"/>
      <c r="G699" s="3"/>
      <c r="H699" s="3"/>
      <c r="I699" s="639"/>
      <c r="J699" s="100"/>
      <c r="K699" s="100"/>
      <c r="L699" s="100"/>
    </row>
    <row r="700">
      <c r="A700" s="3"/>
      <c r="B700" s="595"/>
      <c r="C700" s="3"/>
      <c r="D700" s="542"/>
      <c r="E700" s="3"/>
      <c r="F700" s="3"/>
      <c r="G700" s="3"/>
      <c r="H700" s="3"/>
      <c r="I700" s="639"/>
      <c r="J700" s="100"/>
      <c r="K700" s="100"/>
      <c r="L700" s="100"/>
    </row>
    <row r="701">
      <c r="A701" s="3"/>
      <c r="B701" s="595"/>
      <c r="C701" s="3"/>
      <c r="D701" s="542"/>
      <c r="E701" s="3"/>
      <c r="F701" s="3"/>
      <c r="G701" s="3"/>
      <c r="H701" s="3"/>
      <c r="I701" s="639"/>
      <c r="J701" s="100"/>
      <c r="K701" s="100"/>
      <c r="L701" s="100"/>
    </row>
    <row r="702">
      <c r="A702" s="3"/>
      <c r="B702" s="595"/>
      <c r="C702" s="3"/>
      <c r="D702" s="542"/>
      <c r="E702" s="3"/>
      <c r="F702" s="3"/>
      <c r="G702" s="3"/>
      <c r="H702" s="3"/>
      <c r="I702" s="639"/>
      <c r="J702" s="100"/>
      <c r="K702" s="100"/>
      <c r="L702" s="100"/>
    </row>
    <row r="703">
      <c r="A703" s="3"/>
      <c r="B703" s="595"/>
      <c r="C703" s="3"/>
      <c r="D703" s="542"/>
      <c r="E703" s="3"/>
      <c r="F703" s="3"/>
      <c r="G703" s="3"/>
      <c r="H703" s="3"/>
      <c r="I703" s="639"/>
      <c r="J703" s="100"/>
      <c r="K703" s="100"/>
      <c r="L703" s="100"/>
    </row>
    <row r="704">
      <c r="A704" s="3"/>
      <c r="B704" s="595"/>
      <c r="C704" s="3"/>
      <c r="D704" s="542"/>
      <c r="E704" s="3"/>
      <c r="F704" s="3"/>
      <c r="G704" s="3"/>
      <c r="H704" s="3"/>
      <c r="I704" s="639"/>
      <c r="J704" s="100"/>
      <c r="K704" s="100"/>
      <c r="L704" s="100"/>
    </row>
    <row r="705">
      <c r="A705" s="3"/>
      <c r="B705" s="595"/>
      <c r="C705" s="3"/>
      <c r="D705" s="542"/>
      <c r="E705" s="3"/>
      <c r="F705" s="3"/>
      <c r="G705" s="3"/>
      <c r="H705" s="3"/>
      <c r="I705" s="639"/>
      <c r="J705" s="100"/>
      <c r="K705" s="100"/>
      <c r="L705" s="100"/>
    </row>
    <row r="706">
      <c r="A706" s="3"/>
      <c r="B706" s="595"/>
      <c r="C706" s="3"/>
      <c r="D706" s="542"/>
      <c r="E706" s="3"/>
      <c r="F706" s="3"/>
      <c r="G706" s="3"/>
      <c r="H706" s="3"/>
      <c r="I706" s="639"/>
      <c r="J706" s="100"/>
      <c r="K706" s="100"/>
      <c r="L706" s="100"/>
    </row>
    <row r="707">
      <c r="A707" s="3"/>
      <c r="B707" s="595"/>
      <c r="C707" s="3"/>
      <c r="D707" s="542"/>
      <c r="E707" s="3"/>
      <c r="F707" s="3"/>
      <c r="G707" s="3"/>
      <c r="H707" s="3"/>
      <c r="I707" s="639"/>
      <c r="J707" s="100"/>
      <c r="K707" s="100"/>
      <c r="L707" s="100"/>
    </row>
    <row r="708">
      <c r="A708" s="3"/>
      <c r="B708" s="595"/>
      <c r="C708" s="3"/>
      <c r="D708" s="542"/>
      <c r="E708" s="3"/>
      <c r="F708" s="3"/>
      <c r="G708" s="3"/>
      <c r="H708" s="3"/>
      <c r="I708" s="639"/>
      <c r="J708" s="100"/>
      <c r="K708" s="100"/>
      <c r="L708" s="100"/>
    </row>
    <row r="709">
      <c r="A709" s="3"/>
      <c r="B709" s="595"/>
      <c r="C709" s="3"/>
      <c r="D709" s="542"/>
      <c r="E709" s="3"/>
      <c r="F709" s="3"/>
      <c r="G709" s="3"/>
      <c r="H709" s="3"/>
      <c r="I709" s="639"/>
      <c r="J709" s="100"/>
      <c r="K709" s="100"/>
      <c r="L709" s="100"/>
    </row>
    <row r="710">
      <c r="A710" s="3"/>
      <c r="B710" s="595"/>
      <c r="C710" s="3"/>
      <c r="D710" s="542"/>
      <c r="E710" s="3"/>
      <c r="F710" s="3"/>
      <c r="G710" s="3"/>
      <c r="H710" s="3"/>
      <c r="I710" s="639"/>
      <c r="J710" s="100"/>
      <c r="K710" s="100"/>
      <c r="L710" s="100"/>
    </row>
    <row r="711">
      <c r="A711" s="3"/>
      <c r="B711" s="595"/>
      <c r="C711" s="3"/>
      <c r="D711" s="542"/>
      <c r="E711" s="3"/>
      <c r="F711" s="3"/>
      <c r="G711" s="3"/>
      <c r="H711" s="3"/>
      <c r="I711" s="639"/>
      <c r="J711" s="100"/>
      <c r="K711" s="100"/>
      <c r="L711" s="100"/>
    </row>
    <row r="712">
      <c r="A712" s="3"/>
      <c r="B712" s="595"/>
      <c r="C712" s="3"/>
      <c r="D712" s="542"/>
      <c r="E712" s="3"/>
      <c r="F712" s="3"/>
      <c r="G712" s="3"/>
      <c r="H712" s="3"/>
      <c r="I712" s="639"/>
      <c r="J712" s="100"/>
      <c r="K712" s="100"/>
      <c r="L712" s="100"/>
    </row>
    <row r="713">
      <c r="A713" s="3"/>
      <c r="B713" s="595"/>
      <c r="C713" s="3"/>
      <c r="D713" s="542"/>
      <c r="E713" s="3"/>
      <c r="F713" s="3"/>
      <c r="G713" s="3"/>
      <c r="H713" s="3"/>
      <c r="I713" s="639"/>
      <c r="J713" s="100"/>
      <c r="K713" s="100"/>
      <c r="L713" s="100"/>
    </row>
    <row r="714">
      <c r="A714" s="3"/>
      <c r="B714" s="595"/>
      <c r="C714" s="3"/>
      <c r="D714" s="542"/>
      <c r="E714" s="3"/>
      <c r="F714" s="3"/>
      <c r="G714" s="3"/>
      <c r="H714" s="3"/>
      <c r="I714" s="639"/>
      <c r="J714" s="100"/>
      <c r="K714" s="100"/>
      <c r="L714" s="100"/>
    </row>
    <row r="715">
      <c r="A715" s="3"/>
      <c r="B715" s="595"/>
      <c r="C715" s="3"/>
      <c r="D715" s="542"/>
      <c r="E715" s="3"/>
      <c r="F715" s="3"/>
      <c r="G715" s="3"/>
      <c r="H715" s="3"/>
      <c r="I715" s="639"/>
      <c r="J715" s="100"/>
      <c r="K715" s="100"/>
      <c r="L715" s="100"/>
    </row>
    <row r="716">
      <c r="A716" s="3"/>
      <c r="B716" s="595"/>
      <c r="C716" s="3"/>
      <c r="D716" s="542"/>
      <c r="E716" s="3"/>
      <c r="F716" s="3"/>
      <c r="G716" s="3"/>
      <c r="H716" s="3"/>
      <c r="I716" s="639"/>
      <c r="J716" s="100"/>
      <c r="K716" s="100"/>
      <c r="L716" s="100"/>
    </row>
    <row r="717">
      <c r="A717" s="3"/>
      <c r="B717" s="595"/>
      <c r="C717" s="3"/>
      <c r="D717" s="542"/>
      <c r="E717" s="3"/>
      <c r="F717" s="3"/>
      <c r="G717" s="3"/>
      <c r="H717" s="3"/>
      <c r="I717" s="639"/>
      <c r="J717" s="100"/>
      <c r="K717" s="100"/>
      <c r="L717" s="100"/>
    </row>
    <row r="718">
      <c r="A718" s="3"/>
      <c r="B718" s="595"/>
      <c r="C718" s="3"/>
      <c r="D718" s="542"/>
      <c r="E718" s="3"/>
      <c r="F718" s="3"/>
      <c r="G718" s="3"/>
      <c r="H718" s="3"/>
      <c r="I718" s="639"/>
      <c r="J718" s="100"/>
      <c r="K718" s="100"/>
      <c r="L718" s="100"/>
    </row>
    <row r="719">
      <c r="A719" s="3"/>
      <c r="B719" s="595"/>
      <c r="C719" s="3"/>
      <c r="D719" s="542"/>
      <c r="E719" s="3"/>
      <c r="F719" s="3"/>
      <c r="G719" s="3"/>
      <c r="H719" s="3"/>
      <c r="I719" s="639"/>
      <c r="J719" s="100"/>
      <c r="K719" s="100"/>
      <c r="L719" s="100"/>
    </row>
    <row r="720">
      <c r="A720" s="3"/>
      <c r="B720" s="595"/>
      <c r="C720" s="3"/>
      <c r="D720" s="542"/>
      <c r="E720" s="3"/>
      <c r="F720" s="3"/>
      <c r="G720" s="3"/>
      <c r="H720" s="3"/>
      <c r="I720" s="639"/>
      <c r="J720" s="100"/>
      <c r="K720" s="100"/>
      <c r="L720" s="100"/>
    </row>
    <row r="721">
      <c r="A721" s="3"/>
      <c r="B721" s="595"/>
      <c r="C721" s="3"/>
      <c r="D721" s="542"/>
      <c r="E721" s="3"/>
      <c r="F721" s="3"/>
      <c r="G721" s="3"/>
      <c r="H721" s="3"/>
      <c r="I721" s="639"/>
      <c r="J721" s="100"/>
      <c r="K721" s="100"/>
      <c r="L721" s="100"/>
    </row>
    <row r="722">
      <c r="A722" s="3"/>
      <c r="B722" s="595"/>
      <c r="C722" s="3"/>
      <c r="D722" s="542"/>
      <c r="E722" s="3"/>
      <c r="F722" s="3"/>
      <c r="G722" s="3"/>
      <c r="H722" s="3"/>
      <c r="I722" s="639"/>
      <c r="J722" s="100"/>
      <c r="K722" s="100"/>
      <c r="L722" s="100"/>
    </row>
    <row r="723">
      <c r="A723" s="3"/>
      <c r="B723" s="595"/>
      <c r="C723" s="3"/>
      <c r="D723" s="542"/>
      <c r="E723" s="3"/>
      <c r="F723" s="3"/>
      <c r="G723" s="3"/>
      <c r="H723" s="3"/>
      <c r="I723" s="639"/>
      <c r="J723" s="100"/>
      <c r="K723" s="100"/>
      <c r="L723" s="100"/>
    </row>
    <row r="724">
      <c r="A724" s="3"/>
      <c r="B724" s="595"/>
      <c r="C724" s="3"/>
      <c r="D724" s="542"/>
      <c r="E724" s="3"/>
      <c r="F724" s="3"/>
      <c r="G724" s="3"/>
      <c r="H724" s="3"/>
      <c r="I724" s="639"/>
      <c r="J724" s="100"/>
      <c r="K724" s="100"/>
      <c r="L724" s="100"/>
    </row>
    <row r="725">
      <c r="A725" s="3"/>
      <c r="B725" s="595"/>
      <c r="C725" s="3"/>
      <c r="D725" s="542"/>
      <c r="E725" s="3"/>
      <c r="F725" s="3"/>
      <c r="G725" s="3"/>
      <c r="H725" s="3"/>
      <c r="I725" s="639"/>
      <c r="J725" s="100"/>
      <c r="K725" s="100"/>
      <c r="L725" s="100"/>
    </row>
    <row r="726">
      <c r="A726" s="3"/>
      <c r="B726" s="595"/>
      <c r="C726" s="3"/>
      <c r="D726" s="542"/>
      <c r="E726" s="3"/>
      <c r="F726" s="3"/>
      <c r="G726" s="3"/>
      <c r="H726" s="3"/>
      <c r="I726" s="639"/>
      <c r="J726" s="100"/>
      <c r="K726" s="100"/>
      <c r="L726" s="100"/>
    </row>
    <row r="727">
      <c r="A727" s="3"/>
      <c r="B727" s="595"/>
      <c r="C727" s="3"/>
      <c r="D727" s="542"/>
      <c r="E727" s="3"/>
      <c r="F727" s="3"/>
      <c r="G727" s="3"/>
      <c r="H727" s="3"/>
      <c r="I727" s="639"/>
      <c r="J727" s="100"/>
      <c r="K727" s="100"/>
      <c r="L727" s="100"/>
    </row>
    <row r="728">
      <c r="A728" s="3"/>
      <c r="B728" s="595"/>
      <c r="C728" s="3"/>
      <c r="D728" s="542"/>
      <c r="E728" s="3"/>
      <c r="F728" s="3"/>
      <c r="G728" s="3"/>
      <c r="H728" s="3"/>
      <c r="I728" s="639"/>
      <c r="J728" s="100"/>
      <c r="K728" s="100"/>
      <c r="L728" s="100"/>
    </row>
    <row r="729">
      <c r="A729" s="3"/>
      <c r="B729" s="595"/>
      <c r="C729" s="3"/>
      <c r="D729" s="542"/>
      <c r="E729" s="3"/>
      <c r="F729" s="3"/>
      <c r="G729" s="3"/>
      <c r="H729" s="3"/>
      <c r="I729" s="639"/>
      <c r="J729" s="100"/>
      <c r="K729" s="100"/>
      <c r="L729" s="100"/>
    </row>
    <row r="730">
      <c r="A730" s="3"/>
      <c r="B730" s="595"/>
      <c r="C730" s="3"/>
      <c r="D730" s="542"/>
      <c r="E730" s="3"/>
      <c r="F730" s="3"/>
      <c r="G730" s="3"/>
      <c r="H730" s="3"/>
      <c r="I730" s="639"/>
      <c r="J730" s="100"/>
      <c r="K730" s="100"/>
      <c r="L730" s="100"/>
    </row>
    <row r="731">
      <c r="A731" s="3"/>
      <c r="B731" s="595"/>
      <c r="C731" s="3"/>
      <c r="D731" s="542"/>
      <c r="E731" s="3"/>
      <c r="F731" s="3"/>
      <c r="G731" s="3"/>
      <c r="H731" s="3"/>
      <c r="I731" s="639"/>
      <c r="J731" s="100"/>
      <c r="K731" s="100"/>
      <c r="L731" s="100"/>
    </row>
    <row r="732">
      <c r="A732" s="3"/>
      <c r="B732" s="595"/>
      <c r="C732" s="3"/>
      <c r="D732" s="542"/>
      <c r="E732" s="3"/>
      <c r="F732" s="3"/>
      <c r="G732" s="3"/>
      <c r="H732" s="3"/>
      <c r="I732" s="639"/>
      <c r="J732" s="100"/>
      <c r="K732" s="100"/>
      <c r="L732" s="100"/>
    </row>
    <row r="733">
      <c r="A733" s="3"/>
      <c r="B733" s="595"/>
      <c r="C733" s="3"/>
      <c r="D733" s="542"/>
      <c r="E733" s="3"/>
      <c r="F733" s="3"/>
      <c r="G733" s="3"/>
      <c r="H733" s="3"/>
      <c r="I733" s="639"/>
      <c r="J733" s="100"/>
      <c r="K733" s="100"/>
      <c r="L733" s="100"/>
    </row>
    <row r="734">
      <c r="A734" s="3"/>
      <c r="B734" s="595"/>
      <c r="C734" s="3"/>
      <c r="D734" s="542"/>
      <c r="E734" s="3"/>
      <c r="F734" s="3"/>
      <c r="G734" s="3"/>
      <c r="H734" s="3"/>
      <c r="I734" s="639"/>
      <c r="J734" s="100"/>
      <c r="K734" s="100"/>
      <c r="L734" s="100"/>
    </row>
    <row r="735">
      <c r="A735" s="3"/>
      <c r="B735" s="595"/>
      <c r="C735" s="3"/>
      <c r="D735" s="542"/>
      <c r="E735" s="3"/>
      <c r="F735" s="3"/>
      <c r="G735" s="3"/>
      <c r="H735" s="3"/>
      <c r="I735" s="639"/>
      <c r="J735" s="100"/>
      <c r="K735" s="100"/>
      <c r="L735" s="100"/>
    </row>
    <row r="736">
      <c r="A736" s="3"/>
      <c r="B736" s="595"/>
      <c r="C736" s="3"/>
      <c r="D736" s="542"/>
      <c r="E736" s="3"/>
      <c r="F736" s="3"/>
      <c r="G736" s="3"/>
      <c r="H736" s="3"/>
      <c r="I736" s="639"/>
      <c r="J736" s="100"/>
      <c r="K736" s="100"/>
      <c r="L736" s="100"/>
    </row>
    <row r="737">
      <c r="A737" s="3"/>
      <c r="B737" s="595"/>
      <c r="C737" s="3"/>
      <c r="D737" s="542"/>
      <c r="E737" s="3"/>
      <c r="F737" s="3"/>
      <c r="G737" s="3"/>
      <c r="H737" s="3"/>
      <c r="I737" s="639"/>
      <c r="J737" s="100"/>
      <c r="K737" s="100"/>
      <c r="L737" s="100"/>
    </row>
    <row r="738">
      <c r="A738" s="3"/>
      <c r="B738" s="595"/>
      <c r="C738" s="3"/>
      <c r="D738" s="542"/>
      <c r="E738" s="3"/>
      <c r="F738" s="3"/>
      <c r="G738" s="3"/>
      <c r="H738" s="3"/>
      <c r="I738" s="639"/>
      <c r="J738" s="100"/>
      <c r="K738" s="100"/>
      <c r="L738" s="100"/>
    </row>
    <row r="739">
      <c r="A739" s="3"/>
      <c r="B739" s="595"/>
      <c r="C739" s="3"/>
      <c r="D739" s="542"/>
      <c r="E739" s="3"/>
      <c r="F739" s="3"/>
      <c r="G739" s="3"/>
      <c r="H739" s="3"/>
      <c r="I739" s="639"/>
      <c r="J739" s="100"/>
      <c r="K739" s="100"/>
      <c r="L739" s="100"/>
    </row>
    <row r="740">
      <c r="A740" s="3"/>
      <c r="B740" s="595"/>
      <c r="C740" s="3"/>
      <c r="D740" s="542"/>
      <c r="E740" s="3"/>
      <c r="F740" s="3"/>
      <c r="G740" s="3"/>
      <c r="H740" s="3"/>
      <c r="I740" s="639"/>
      <c r="J740" s="100"/>
      <c r="K740" s="100"/>
      <c r="L740" s="100"/>
    </row>
    <row r="741">
      <c r="A741" s="3"/>
      <c r="B741" s="595"/>
      <c r="C741" s="3"/>
      <c r="D741" s="542"/>
      <c r="E741" s="3"/>
      <c r="F741" s="3"/>
      <c r="G741" s="3"/>
      <c r="H741" s="3"/>
      <c r="I741" s="639"/>
      <c r="J741" s="100"/>
      <c r="K741" s="100"/>
      <c r="L741" s="100"/>
    </row>
    <row r="742">
      <c r="A742" s="3"/>
      <c r="B742" s="595"/>
      <c r="C742" s="3"/>
      <c r="D742" s="542"/>
      <c r="E742" s="3"/>
      <c r="F742" s="3"/>
      <c r="G742" s="3"/>
      <c r="H742" s="3"/>
      <c r="I742" s="639"/>
      <c r="J742" s="100"/>
      <c r="K742" s="100"/>
      <c r="L742" s="100"/>
    </row>
    <row r="743">
      <c r="A743" s="3"/>
      <c r="B743" s="595"/>
      <c r="C743" s="3"/>
      <c r="D743" s="542"/>
      <c r="E743" s="3"/>
      <c r="F743" s="3"/>
      <c r="G743" s="3"/>
      <c r="H743" s="3"/>
      <c r="I743" s="639"/>
      <c r="J743" s="100"/>
      <c r="K743" s="100"/>
      <c r="L743" s="100"/>
    </row>
    <row r="744">
      <c r="A744" s="3"/>
      <c r="B744" s="595"/>
      <c r="C744" s="3"/>
      <c r="D744" s="542"/>
      <c r="E744" s="3"/>
      <c r="F744" s="3"/>
      <c r="G744" s="3"/>
      <c r="H744" s="3"/>
      <c r="I744" s="639"/>
      <c r="J744" s="100"/>
      <c r="K744" s="100"/>
      <c r="L744" s="100"/>
    </row>
    <row r="745">
      <c r="A745" s="3"/>
      <c r="B745" s="595"/>
      <c r="C745" s="3"/>
      <c r="D745" s="542"/>
      <c r="E745" s="3"/>
      <c r="F745" s="3"/>
      <c r="G745" s="3"/>
      <c r="H745" s="3"/>
      <c r="I745" s="639"/>
      <c r="J745" s="100"/>
      <c r="K745" s="100"/>
      <c r="L745" s="100"/>
    </row>
    <row r="746">
      <c r="A746" s="3"/>
      <c r="B746" s="595"/>
      <c r="C746" s="3"/>
      <c r="D746" s="542"/>
      <c r="E746" s="3"/>
      <c r="F746" s="3"/>
      <c r="G746" s="3"/>
      <c r="H746" s="3"/>
      <c r="I746" s="639"/>
      <c r="J746" s="100"/>
      <c r="K746" s="100"/>
      <c r="L746" s="100"/>
    </row>
    <row r="747">
      <c r="A747" s="3"/>
      <c r="B747" s="595"/>
      <c r="C747" s="3"/>
      <c r="D747" s="542"/>
      <c r="E747" s="3"/>
      <c r="F747" s="3"/>
      <c r="G747" s="3"/>
      <c r="H747" s="3"/>
      <c r="I747" s="639"/>
      <c r="J747" s="100"/>
      <c r="K747" s="100"/>
      <c r="L747" s="100"/>
    </row>
    <row r="748">
      <c r="A748" s="3"/>
      <c r="B748" s="595"/>
      <c r="C748" s="3"/>
      <c r="D748" s="542"/>
      <c r="E748" s="3"/>
      <c r="F748" s="3"/>
      <c r="G748" s="3"/>
      <c r="H748" s="3"/>
      <c r="I748" s="639"/>
      <c r="J748" s="100"/>
      <c r="K748" s="100"/>
      <c r="L748" s="100"/>
    </row>
    <row r="749">
      <c r="A749" s="3"/>
      <c r="B749" s="595"/>
      <c r="C749" s="3"/>
      <c r="D749" s="542"/>
      <c r="E749" s="3"/>
      <c r="F749" s="3"/>
      <c r="G749" s="3"/>
      <c r="H749" s="3"/>
      <c r="I749" s="639"/>
      <c r="J749" s="100"/>
      <c r="K749" s="100"/>
      <c r="L749" s="100"/>
    </row>
    <row r="750">
      <c r="A750" s="3"/>
      <c r="B750" s="595"/>
      <c r="C750" s="3"/>
      <c r="D750" s="542"/>
      <c r="E750" s="3"/>
      <c r="F750" s="3"/>
      <c r="G750" s="3"/>
      <c r="H750" s="3"/>
      <c r="I750" s="639"/>
      <c r="J750" s="100"/>
      <c r="K750" s="100"/>
      <c r="L750" s="100"/>
    </row>
    <row r="751">
      <c r="A751" s="3"/>
      <c r="B751" s="595"/>
      <c r="C751" s="3"/>
      <c r="D751" s="542"/>
      <c r="E751" s="3"/>
      <c r="F751" s="3"/>
      <c r="G751" s="3"/>
      <c r="H751" s="3"/>
      <c r="I751" s="639"/>
      <c r="J751" s="100"/>
      <c r="K751" s="100"/>
      <c r="L751" s="100"/>
    </row>
    <row r="752">
      <c r="A752" s="3"/>
      <c r="B752" s="595"/>
      <c r="C752" s="3"/>
      <c r="D752" s="542"/>
      <c r="E752" s="3"/>
      <c r="F752" s="3"/>
      <c r="G752" s="3"/>
      <c r="H752" s="3"/>
      <c r="I752" s="639"/>
      <c r="J752" s="100"/>
      <c r="K752" s="100"/>
      <c r="L752" s="100"/>
    </row>
    <row r="753">
      <c r="A753" s="3"/>
      <c r="B753" s="595"/>
      <c r="C753" s="3"/>
      <c r="D753" s="542"/>
      <c r="E753" s="3"/>
      <c r="F753" s="3"/>
      <c r="G753" s="3"/>
      <c r="H753" s="3"/>
      <c r="I753" s="639"/>
      <c r="J753" s="100"/>
      <c r="K753" s="100"/>
      <c r="L753" s="100"/>
    </row>
    <row r="754">
      <c r="A754" s="3"/>
      <c r="B754" s="595"/>
      <c r="C754" s="3"/>
      <c r="D754" s="542"/>
      <c r="E754" s="3"/>
      <c r="F754" s="3"/>
      <c r="G754" s="3"/>
      <c r="H754" s="3"/>
      <c r="I754" s="639"/>
      <c r="J754" s="100"/>
      <c r="K754" s="100"/>
      <c r="L754" s="100"/>
    </row>
    <row r="755">
      <c r="A755" s="3"/>
      <c r="B755" s="595"/>
      <c r="C755" s="3"/>
      <c r="D755" s="542"/>
      <c r="E755" s="3"/>
      <c r="F755" s="3"/>
      <c r="G755" s="3"/>
      <c r="H755" s="3"/>
      <c r="I755" s="639"/>
      <c r="J755" s="100"/>
      <c r="K755" s="100"/>
      <c r="L755" s="100"/>
    </row>
    <row r="756">
      <c r="A756" s="3"/>
      <c r="B756" s="595"/>
      <c r="C756" s="3"/>
      <c r="D756" s="542"/>
      <c r="E756" s="3"/>
      <c r="F756" s="3"/>
      <c r="G756" s="3"/>
      <c r="H756" s="3"/>
      <c r="I756" s="639"/>
      <c r="J756" s="100"/>
      <c r="K756" s="100"/>
      <c r="L756" s="100"/>
    </row>
    <row r="757">
      <c r="A757" s="3"/>
      <c r="B757" s="595"/>
      <c r="C757" s="3"/>
      <c r="D757" s="542"/>
      <c r="E757" s="3"/>
      <c r="F757" s="3"/>
      <c r="G757" s="3"/>
      <c r="H757" s="3"/>
      <c r="I757" s="639"/>
      <c r="J757" s="100"/>
      <c r="K757" s="100"/>
      <c r="L757" s="100"/>
    </row>
    <row r="758">
      <c r="A758" s="3"/>
      <c r="B758" s="595"/>
      <c r="C758" s="3"/>
      <c r="D758" s="542"/>
      <c r="E758" s="3"/>
      <c r="F758" s="3"/>
      <c r="G758" s="3"/>
      <c r="H758" s="3"/>
      <c r="I758" s="639"/>
      <c r="J758" s="100"/>
      <c r="K758" s="100"/>
      <c r="L758" s="100"/>
    </row>
    <row r="759">
      <c r="A759" s="3"/>
      <c r="B759" s="595"/>
      <c r="C759" s="3"/>
      <c r="D759" s="542"/>
      <c r="E759" s="3"/>
      <c r="F759" s="3"/>
      <c r="G759" s="3"/>
      <c r="H759" s="3"/>
      <c r="I759" s="639"/>
      <c r="J759" s="100"/>
      <c r="K759" s="100"/>
      <c r="L759" s="100"/>
    </row>
    <row r="760">
      <c r="A760" s="3"/>
      <c r="B760" s="595"/>
      <c r="C760" s="3"/>
      <c r="D760" s="542"/>
      <c r="E760" s="3"/>
      <c r="F760" s="3"/>
      <c r="G760" s="3"/>
      <c r="H760" s="3"/>
      <c r="I760" s="639"/>
      <c r="J760" s="100"/>
      <c r="K760" s="100"/>
      <c r="L760" s="100"/>
    </row>
    <row r="761">
      <c r="A761" s="3"/>
      <c r="B761" s="595"/>
      <c r="C761" s="3"/>
      <c r="D761" s="542"/>
      <c r="E761" s="3"/>
      <c r="F761" s="3"/>
      <c r="G761" s="3"/>
      <c r="H761" s="3"/>
      <c r="I761" s="639"/>
      <c r="J761" s="100"/>
      <c r="K761" s="100"/>
      <c r="L761" s="100"/>
    </row>
    <row r="762">
      <c r="A762" s="3"/>
      <c r="B762" s="595"/>
      <c r="C762" s="3"/>
      <c r="D762" s="542"/>
      <c r="E762" s="3"/>
      <c r="F762" s="3"/>
      <c r="G762" s="3"/>
      <c r="H762" s="3"/>
      <c r="I762" s="639"/>
      <c r="J762" s="100"/>
      <c r="K762" s="100"/>
      <c r="L762" s="100"/>
    </row>
    <row r="763">
      <c r="A763" s="3"/>
      <c r="B763" s="595"/>
      <c r="C763" s="3"/>
      <c r="D763" s="542"/>
      <c r="E763" s="3"/>
      <c r="F763" s="3"/>
      <c r="G763" s="3"/>
      <c r="H763" s="3"/>
      <c r="I763" s="639"/>
      <c r="J763" s="100"/>
      <c r="K763" s="100"/>
      <c r="L763" s="100"/>
    </row>
    <row r="764">
      <c r="A764" s="3"/>
      <c r="B764" s="595"/>
      <c r="C764" s="3"/>
      <c r="D764" s="542"/>
      <c r="E764" s="3"/>
      <c r="F764" s="3"/>
      <c r="G764" s="3"/>
      <c r="H764" s="3"/>
      <c r="I764" s="639"/>
      <c r="J764" s="100"/>
      <c r="K764" s="100"/>
      <c r="L764" s="100"/>
    </row>
    <row r="765">
      <c r="A765" s="3"/>
      <c r="B765" s="595"/>
      <c r="C765" s="3"/>
      <c r="D765" s="542"/>
      <c r="E765" s="3"/>
      <c r="F765" s="3"/>
      <c r="G765" s="3"/>
      <c r="H765" s="3"/>
      <c r="I765" s="639"/>
      <c r="J765" s="100"/>
      <c r="K765" s="100"/>
      <c r="L765" s="100"/>
    </row>
    <row r="766">
      <c r="A766" s="3"/>
      <c r="B766" s="595"/>
      <c r="C766" s="3"/>
      <c r="D766" s="542"/>
      <c r="E766" s="3"/>
      <c r="F766" s="3"/>
      <c r="G766" s="3"/>
      <c r="H766" s="3"/>
      <c r="I766" s="639"/>
      <c r="J766" s="100"/>
      <c r="K766" s="100"/>
      <c r="L766" s="100"/>
    </row>
    <row r="767">
      <c r="A767" s="3"/>
      <c r="B767" s="595"/>
      <c r="C767" s="3"/>
      <c r="D767" s="542"/>
      <c r="E767" s="3"/>
      <c r="F767" s="3"/>
      <c r="G767" s="3"/>
      <c r="H767" s="3"/>
      <c r="I767" s="639"/>
      <c r="J767" s="100"/>
      <c r="K767" s="100"/>
      <c r="L767" s="100"/>
    </row>
    <row r="768">
      <c r="A768" s="3"/>
      <c r="B768" s="595"/>
      <c r="C768" s="3"/>
      <c r="D768" s="542"/>
      <c r="E768" s="3"/>
      <c r="F768" s="3"/>
      <c r="G768" s="3"/>
      <c r="H768" s="3"/>
      <c r="I768" s="639"/>
      <c r="J768" s="100"/>
      <c r="K768" s="100"/>
      <c r="L768" s="100"/>
    </row>
    <row r="769">
      <c r="A769" s="3"/>
      <c r="B769" s="595"/>
      <c r="C769" s="3"/>
      <c r="D769" s="542"/>
      <c r="E769" s="3"/>
      <c r="F769" s="3"/>
      <c r="G769" s="3"/>
      <c r="H769" s="3"/>
      <c r="I769" s="639"/>
      <c r="J769" s="100"/>
      <c r="K769" s="100"/>
      <c r="L769" s="100"/>
    </row>
    <row r="770">
      <c r="A770" s="3"/>
      <c r="B770" s="595"/>
      <c r="C770" s="3"/>
      <c r="D770" s="542"/>
      <c r="E770" s="3"/>
      <c r="F770" s="3"/>
      <c r="G770" s="3"/>
      <c r="H770" s="3"/>
      <c r="I770" s="639"/>
      <c r="J770" s="100"/>
      <c r="K770" s="100"/>
      <c r="L770" s="100"/>
    </row>
    <row r="771">
      <c r="A771" s="3"/>
      <c r="B771" s="595"/>
      <c r="C771" s="3"/>
      <c r="D771" s="542"/>
      <c r="E771" s="3"/>
      <c r="F771" s="3"/>
      <c r="G771" s="3"/>
      <c r="H771" s="3"/>
      <c r="I771" s="639"/>
      <c r="J771" s="100"/>
      <c r="K771" s="100"/>
      <c r="L771" s="100"/>
    </row>
    <row r="772">
      <c r="A772" s="3"/>
      <c r="B772" s="595"/>
      <c r="C772" s="3"/>
      <c r="D772" s="542"/>
      <c r="E772" s="3"/>
      <c r="F772" s="3"/>
      <c r="G772" s="3"/>
      <c r="H772" s="3"/>
      <c r="I772" s="639"/>
      <c r="J772" s="100"/>
      <c r="K772" s="100"/>
      <c r="L772" s="100"/>
    </row>
    <row r="773">
      <c r="A773" s="3"/>
      <c r="B773" s="595"/>
      <c r="C773" s="3"/>
      <c r="D773" s="542"/>
      <c r="E773" s="3"/>
      <c r="F773" s="3"/>
      <c r="G773" s="3"/>
      <c r="H773" s="3"/>
      <c r="I773" s="639"/>
      <c r="J773" s="100"/>
      <c r="K773" s="100"/>
      <c r="L773" s="100"/>
    </row>
    <row r="774">
      <c r="A774" s="3"/>
      <c r="B774" s="595"/>
      <c r="C774" s="3"/>
      <c r="D774" s="542"/>
      <c r="E774" s="3"/>
      <c r="F774" s="3"/>
      <c r="G774" s="3"/>
      <c r="H774" s="3"/>
      <c r="I774" s="639"/>
      <c r="J774" s="100"/>
      <c r="K774" s="100"/>
      <c r="L774" s="100"/>
    </row>
    <row r="775">
      <c r="A775" s="3"/>
      <c r="B775" s="595"/>
      <c r="C775" s="3"/>
      <c r="D775" s="542"/>
      <c r="E775" s="3"/>
      <c r="F775" s="3"/>
      <c r="G775" s="3"/>
      <c r="H775" s="3"/>
      <c r="I775" s="639"/>
      <c r="J775" s="100"/>
      <c r="K775" s="100"/>
      <c r="L775" s="100"/>
    </row>
    <row r="776">
      <c r="A776" s="3"/>
      <c r="B776" s="595"/>
      <c r="C776" s="3"/>
      <c r="D776" s="542"/>
      <c r="E776" s="3"/>
      <c r="F776" s="3"/>
      <c r="G776" s="3"/>
      <c r="H776" s="3"/>
      <c r="I776" s="639"/>
      <c r="J776" s="100"/>
      <c r="K776" s="100"/>
      <c r="L776" s="100"/>
    </row>
    <row r="777">
      <c r="A777" s="3"/>
      <c r="B777" s="595"/>
      <c r="C777" s="3"/>
      <c r="D777" s="542"/>
      <c r="E777" s="3"/>
      <c r="F777" s="3"/>
      <c r="G777" s="3"/>
      <c r="H777" s="3"/>
      <c r="I777" s="639"/>
      <c r="J777" s="100"/>
      <c r="K777" s="100"/>
      <c r="L777" s="100"/>
    </row>
    <row r="778">
      <c r="A778" s="3"/>
      <c r="B778" s="595"/>
      <c r="C778" s="3"/>
      <c r="D778" s="542"/>
      <c r="E778" s="3"/>
      <c r="F778" s="3"/>
      <c r="G778" s="3"/>
      <c r="H778" s="3"/>
      <c r="I778" s="639"/>
      <c r="J778" s="100"/>
      <c r="K778" s="100"/>
      <c r="L778" s="100"/>
    </row>
    <row r="779">
      <c r="A779" s="3"/>
      <c r="B779" s="595"/>
      <c r="C779" s="3"/>
      <c r="D779" s="542"/>
      <c r="E779" s="3"/>
      <c r="F779" s="3"/>
      <c r="G779" s="3"/>
      <c r="H779" s="3"/>
      <c r="I779" s="639"/>
      <c r="J779" s="100"/>
      <c r="K779" s="100"/>
      <c r="L779" s="100"/>
    </row>
    <row r="780">
      <c r="A780" s="3"/>
      <c r="B780" s="595"/>
      <c r="C780" s="3"/>
      <c r="D780" s="542"/>
      <c r="E780" s="3"/>
      <c r="F780" s="3"/>
      <c r="G780" s="3"/>
      <c r="H780" s="3"/>
      <c r="I780" s="639"/>
      <c r="J780" s="100"/>
      <c r="K780" s="100"/>
      <c r="L780" s="100"/>
    </row>
    <row r="781">
      <c r="A781" s="3"/>
      <c r="B781" s="595"/>
      <c r="C781" s="3"/>
      <c r="D781" s="542"/>
      <c r="E781" s="3"/>
      <c r="F781" s="3"/>
      <c r="G781" s="3"/>
      <c r="H781" s="3"/>
      <c r="I781" s="639"/>
      <c r="J781" s="100"/>
      <c r="K781" s="100"/>
      <c r="L781" s="100"/>
    </row>
    <row r="782">
      <c r="A782" s="3"/>
      <c r="B782" s="595"/>
      <c r="C782" s="3"/>
      <c r="D782" s="542"/>
      <c r="E782" s="3"/>
      <c r="F782" s="3"/>
      <c r="G782" s="3"/>
      <c r="H782" s="3"/>
      <c r="I782" s="639"/>
      <c r="J782" s="100"/>
      <c r="K782" s="100"/>
      <c r="L782" s="100"/>
    </row>
    <row r="783">
      <c r="A783" s="3"/>
      <c r="B783" s="595"/>
      <c r="C783" s="3"/>
      <c r="D783" s="542"/>
      <c r="E783" s="3"/>
      <c r="F783" s="3"/>
      <c r="G783" s="3"/>
      <c r="H783" s="3"/>
      <c r="I783" s="639"/>
      <c r="J783" s="100"/>
      <c r="K783" s="100"/>
      <c r="L783" s="100"/>
    </row>
    <row r="784">
      <c r="A784" s="3"/>
      <c r="B784" s="595"/>
      <c r="C784" s="3"/>
      <c r="D784" s="542"/>
      <c r="E784" s="3"/>
      <c r="F784" s="3"/>
      <c r="G784" s="3"/>
      <c r="H784" s="3"/>
      <c r="I784" s="639"/>
      <c r="J784" s="100"/>
      <c r="K784" s="100"/>
      <c r="L784" s="100"/>
    </row>
    <row r="785">
      <c r="A785" s="3"/>
      <c r="B785" s="595"/>
      <c r="C785" s="3"/>
      <c r="D785" s="542"/>
      <c r="E785" s="3"/>
      <c r="F785" s="3"/>
      <c r="G785" s="3"/>
      <c r="H785" s="3"/>
      <c r="I785" s="639"/>
      <c r="J785" s="100"/>
      <c r="K785" s="100"/>
      <c r="L785" s="100"/>
    </row>
    <row r="786">
      <c r="A786" s="3"/>
      <c r="B786" s="595"/>
      <c r="C786" s="3"/>
      <c r="D786" s="542"/>
      <c r="E786" s="3"/>
      <c r="F786" s="3"/>
      <c r="G786" s="3"/>
      <c r="H786" s="3"/>
      <c r="I786" s="639"/>
      <c r="J786" s="100"/>
      <c r="K786" s="100"/>
      <c r="L786" s="100"/>
    </row>
    <row r="787">
      <c r="A787" s="3"/>
      <c r="B787" s="595"/>
      <c r="C787" s="3"/>
      <c r="D787" s="542"/>
      <c r="E787" s="3"/>
      <c r="F787" s="3"/>
      <c r="G787" s="3"/>
      <c r="H787" s="3"/>
      <c r="I787" s="639"/>
      <c r="J787" s="100"/>
      <c r="K787" s="100"/>
      <c r="L787" s="100"/>
    </row>
    <row r="788">
      <c r="A788" s="3"/>
      <c r="B788" s="595"/>
      <c r="C788" s="3"/>
      <c r="D788" s="542"/>
      <c r="E788" s="3"/>
      <c r="F788" s="3"/>
      <c r="G788" s="3"/>
      <c r="H788" s="3"/>
      <c r="I788" s="639"/>
      <c r="J788" s="100"/>
      <c r="K788" s="100"/>
      <c r="L788" s="100"/>
    </row>
    <row r="789">
      <c r="A789" s="3"/>
      <c r="B789" s="595"/>
      <c r="C789" s="3"/>
      <c r="D789" s="542"/>
      <c r="E789" s="3"/>
      <c r="F789" s="3"/>
      <c r="G789" s="3"/>
      <c r="H789" s="3"/>
      <c r="I789" s="639"/>
      <c r="J789" s="100"/>
      <c r="K789" s="100"/>
      <c r="L789" s="100"/>
    </row>
    <row r="790">
      <c r="A790" s="3"/>
      <c r="B790" s="595"/>
      <c r="C790" s="3"/>
      <c r="D790" s="542"/>
      <c r="E790" s="3"/>
      <c r="F790" s="3"/>
      <c r="G790" s="3"/>
      <c r="H790" s="3"/>
      <c r="I790" s="639"/>
      <c r="J790" s="100"/>
      <c r="K790" s="100"/>
      <c r="L790" s="100"/>
    </row>
    <row r="791">
      <c r="A791" s="3"/>
      <c r="B791" s="595"/>
      <c r="C791" s="3"/>
      <c r="D791" s="542"/>
      <c r="E791" s="3"/>
      <c r="F791" s="3"/>
      <c r="G791" s="3"/>
      <c r="H791" s="3"/>
      <c r="I791" s="639"/>
      <c r="J791" s="100"/>
      <c r="K791" s="100"/>
      <c r="L791" s="100"/>
    </row>
    <row r="792">
      <c r="A792" s="3"/>
      <c r="B792" s="595"/>
      <c r="C792" s="3"/>
      <c r="D792" s="542"/>
      <c r="E792" s="3"/>
      <c r="F792" s="3"/>
      <c r="G792" s="3"/>
      <c r="H792" s="3"/>
      <c r="I792" s="639"/>
      <c r="J792" s="100"/>
      <c r="K792" s="100"/>
      <c r="L792" s="100"/>
    </row>
    <row r="793">
      <c r="A793" s="3"/>
      <c r="B793" s="595"/>
      <c r="C793" s="3"/>
      <c r="D793" s="542"/>
      <c r="E793" s="3"/>
      <c r="F793" s="3"/>
      <c r="G793" s="3"/>
      <c r="H793" s="3"/>
      <c r="I793" s="639"/>
      <c r="J793" s="100"/>
      <c r="K793" s="100"/>
      <c r="L793" s="100"/>
    </row>
    <row r="794">
      <c r="A794" s="3"/>
      <c r="B794" s="595"/>
      <c r="C794" s="3"/>
      <c r="D794" s="542"/>
      <c r="E794" s="3"/>
      <c r="F794" s="3"/>
      <c r="G794" s="3"/>
      <c r="H794" s="3"/>
      <c r="I794" s="639"/>
      <c r="J794" s="100"/>
      <c r="K794" s="100"/>
      <c r="L794" s="100"/>
    </row>
    <row r="795">
      <c r="A795" s="3"/>
      <c r="B795" s="595"/>
      <c r="C795" s="3"/>
      <c r="D795" s="542"/>
      <c r="E795" s="3"/>
      <c r="F795" s="3"/>
      <c r="G795" s="3"/>
      <c r="H795" s="3"/>
      <c r="I795" s="639"/>
      <c r="J795" s="100"/>
      <c r="K795" s="100"/>
      <c r="L795" s="100"/>
    </row>
    <row r="796">
      <c r="A796" s="3"/>
      <c r="B796" s="595"/>
      <c r="C796" s="3"/>
      <c r="D796" s="542"/>
      <c r="E796" s="3"/>
      <c r="F796" s="3"/>
      <c r="G796" s="3"/>
      <c r="H796" s="3"/>
      <c r="I796" s="639"/>
      <c r="J796" s="100"/>
      <c r="K796" s="100"/>
      <c r="L796" s="100"/>
    </row>
    <row r="797">
      <c r="A797" s="3"/>
      <c r="B797" s="595"/>
      <c r="C797" s="3"/>
      <c r="D797" s="542"/>
      <c r="E797" s="3"/>
      <c r="F797" s="3"/>
      <c r="G797" s="3"/>
      <c r="H797" s="3"/>
      <c r="I797" s="639"/>
      <c r="J797" s="100"/>
      <c r="K797" s="100"/>
      <c r="L797" s="100"/>
    </row>
    <row r="798">
      <c r="A798" s="3"/>
      <c r="B798" s="595"/>
      <c r="C798" s="3"/>
      <c r="D798" s="542"/>
      <c r="E798" s="3"/>
      <c r="F798" s="3"/>
      <c r="G798" s="3"/>
      <c r="H798" s="3"/>
      <c r="I798" s="639"/>
      <c r="J798" s="100"/>
      <c r="K798" s="100"/>
      <c r="L798" s="100"/>
    </row>
    <row r="799">
      <c r="A799" s="3"/>
      <c r="B799" s="595"/>
      <c r="C799" s="3"/>
      <c r="D799" s="542"/>
      <c r="E799" s="3"/>
      <c r="F799" s="3"/>
      <c r="G799" s="3"/>
      <c r="H799" s="3"/>
      <c r="I799" s="639"/>
      <c r="J799" s="100"/>
      <c r="K799" s="100"/>
      <c r="L799" s="100"/>
    </row>
    <row r="800">
      <c r="A800" s="3"/>
      <c r="B800" s="595"/>
      <c r="C800" s="3"/>
      <c r="D800" s="542"/>
      <c r="E800" s="3"/>
      <c r="F800" s="3"/>
      <c r="G800" s="3"/>
      <c r="H800" s="3"/>
      <c r="I800" s="639"/>
      <c r="J800" s="100"/>
      <c r="K800" s="100"/>
      <c r="L800" s="100"/>
    </row>
    <row r="801">
      <c r="A801" s="3"/>
      <c r="B801" s="595"/>
      <c r="C801" s="3"/>
      <c r="D801" s="542"/>
      <c r="E801" s="3"/>
      <c r="F801" s="3"/>
      <c r="G801" s="3"/>
      <c r="H801" s="3"/>
      <c r="I801" s="639"/>
      <c r="J801" s="100"/>
      <c r="K801" s="100"/>
      <c r="L801" s="100"/>
    </row>
    <row r="802">
      <c r="A802" s="3"/>
      <c r="B802" s="595"/>
      <c r="C802" s="3"/>
      <c r="D802" s="542"/>
      <c r="E802" s="3"/>
      <c r="F802" s="3"/>
      <c r="G802" s="3"/>
      <c r="H802" s="3"/>
      <c r="I802" s="639"/>
      <c r="J802" s="100"/>
      <c r="K802" s="100"/>
      <c r="L802" s="100"/>
    </row>
    <row r="803">
      <c r="A803" s="3"/>
      <c r="B803" s="595"/>
      <c r="C803" s="3"/>
      <c r="D803" s="542"/>
      <c r="E803" s="3"/>
      <c r="F803" s="3"/>
      <c r="G803" s="3"/>
      <c r="H803" s="3"/>
      <c r="I803" s="639"/>
      <c r="J803" s="100"/>
      <c r="K803" s="100"/>
      <c r="L803" s="100"/>
    </row>
    <row r="804">
      <c r="A804" s="3"/>
      <c r="B804" s="595"/>
      <c r="C804" s="3"/>
      <c r="D804" s="542"/>
      <c r="E804" s="3"/>
      <c r="F804" s="3"/>
      <c r="G804" s="3"/>
      <c r="H804" s="3"/>
      <c r="I804" s="639"/>
      <c r="J804" s="100"/>
      <c r="K804" s="100"/>
      <c r="L804" s="100"/>
    </row>
    <row r="805">
      <c r="A805" s="3"/>
      <c r="B805" s="595"/>
      <c r="C805" s="3"/>
      <c r="D805" s="542"/>
      <c r="E805" s="3"/>
      <c r="F805" s="3"/>
      <c r="G805" s="3"/>
      <c r="H805" s="3"/>
      <c r="I805" s="639"/>
      <c r="J805" s="100"/>
      <c r="K805" s="100"/>
      <c r="L805" s="100"/>
    </row>
    <row r="806">
      <c r="A806" s="3"/>
      <c r="B806" s="595"/>
      <c r="C806" s="3"/>
      <c r="D806" s="542"/>
      <c r="E806" s="3"/>
      <c r="F806" s="3"/>
      <c r="G806" s="3"/>
      <c r="H806" s="3"/>
      <c r="I806" s="639"/>
      <c r="J806" s="100"/>
      <c r="K806" s="100"/>
      <c r="L806" s="100"/>
    </row>
    <row r="807">
      <c r="A807" s="3"/>
      <c r="B807" s="595"/>
      <c r="C807" s="3"/>
      <c r="D807" s="542"/>
      <c r="E807" s="3"/>
      <c r="F807" s="3"/>
      <c r="G807" s="3"/>
      <c r="H807" s="3"/>
      <c r="I807" s="639"/>
      <c r="J807" s="100"/>
      <c r="K807" s="100"/>
      <c r="L807" s="100"/>
    </row>
    <row r="808">
      <c r="A808" s="3"/>
      <c r="B808" s="595"/>
      <c r="C808" s="3"/>
      <c r="D808" s="542"/>
      <c r="E808" s="3"/>
      <c r="F808" s="3"/>
      <c r="G808" s="3"/>
      <c r="H808" s="3"/>
      <c r="I808" s="639"/>
      <c r="J808" s="100"/>
      <c r="K808" s="100"/>
      <c r="L808" s="100"/>
    </row>
    <row r="809">
      <c r="A809" s="3"/>
      <c r="B809" s="595"/>
      <c r="C809" s="3"/>
      <c r="D809" s="542"/>
      <c r="E809" s="3"/>
      <c r="F809" s="3"/>
      <c r="G809" s="3"/>
      <c r="H809" s="3"/>
      <c r="I809" s="639"/>
      <c r="J809" s="100"/>
      <c r="K809" s="100"/>
      <c r="L809" s="100"/>
    </row>
    <row r="810">
      <c r="A810" s="3"/>
      <c r="B810" s="595"/>
      <c r="C810" s="3"/>
      <c r="D810" s="542"/>
      <c r="E810" s="3"/>
      <c r="F810" s="3"/>
      <c r="G810" s="3"/>
      <c r="H810" s="3"/>
      <c r="I810" s="639"/>
      <c r="J810" s="100"/>
      <c r="K810" s="100"/>
      <c r="L810" s="100"/>
    </row>
    <row r="811">
      <c r="A811" s="3"/>
      <c r="B811" s="595"/>
      <c r="C811" s="3"/>
      <c r="D811" s="542"/>
      <c r="E811" s="3"/>
      <c r="F811" s="3"/>
      <c r="G811" s="3"/>
      <c r="H811" s="3"/>
      <c r="I811" s="639"/>
      <c r="J811" s="100"/>
      <c r="K811" s="100"/>
      <c r="L811" s="100"/>
    </row>
    <row r="812">
      <c r="A812" s="3"/>
      <c r="B812" s="595"/>
      <c r="C812" s="3"/>
      <c r="D812" s="542"/>
      <c r="E812" s="3"/>
      <c r="F812" s="3"/>
      <c r="G812" s="3"/>
      <c r="H812" s="3"/>
      <c r="I812" s="639"/>
      <c r="J812" s="100"/>
      <c r="K812" s="100"/>
      <c r="L812" s="100"/>
    </row>
    <row r="813">
      <c r="A813" s="3"/>
      <c r="B813" s="595"/>
      <c r="C813" s="3"/>
      <c r="D813" s="542"/>
      <c r="E813" s="3"/>
      <c r="F813" s="3"/>
      <c r="G813" s="3"/>
      <c r="H813" s="3"/>
      <c r="I813" s="639"/>
      <c r="J813" s="100"/>
      <c r="K813" s="100"/>
      <c r="L813" s="100"/>
    </row>
    <row r="814">
      <c r="A814" s="3"/>
      <c r="B814" s="595"/>
      <c r="C814" s="3"/>
      <c r="D814" s="542"/>
      <c r="E814" s="3"/>
      <c r="F814" s="3"/>
      <c r="G814" s="3"/>
      <c r="H814" s="3"/>
      <c r="I814" s="639"/>
      <c r="J814" s="100"/>
      <c r="K814" s="100"/>
      <c r="L814" s="100"/>
    </row>
    <row r="815">
      <c r="A815" s="3"/>
      <c r="B815" s="595"/>
      <c r="C815" s="3"/>
      <c r="D815" s="542"/>
      <c r="E815" s="3"/>
      <c r="F815" s="3"/>
      <c r="G815" s="3"/>
      <c r="H815" s="3"/>
      <c r="I815" s="639"/>
      <c r="J815" s="100"/>
      <c r="K815" s="100"/>
      <c r="L815" s="100"/>
    </row>
    <row r="816">
      <c r="A816" s="3"/>
      <c r="B816" s="595"/>
      <c r="C816" s="3"/>
      <c r="D816" s="542"/>
      <c r="E816" s="3"/>
      <c r="F816" s="3"/>
      <c r="G816" s="3"/>
      <c r="H816" s="3"/>
      <c r="I816" s="639"/>
      <c r="J816" s="100"/>
      <c r="K816" s="100"/>
      <c r="L816" s="100"/>
    </row>
    <row r="817">
      <c r="A817" s="3"/>
      <c r="B817" s="595"/>
      <c r="C817" s="3"/>
      <c r="D817" s="542"/>
      <c r="E817" s="3"/>
      <c r="F817" s="3"/>
      <c r="G817" s="3"/>
      <c r="H817" s="3"/>
      <c r="I817" s="639"/>
      <c r="J817" s="100"/>
      <c r="K817" s="100"/>
      <c r="L817" s="100"/>
    </row>
    <row r="818">
      <c r="A818" s="3"/>
      <c r="B818" s="595"/>
      <c r="C818" s="3"/>
      <c r="D818" s="542"/>
      <c r="E818" s="3"/>
      <c r="F818" s="3"/>
      <c r="G818" s="3"/>
      <c r="H818" s="3"/>
      <c r="I818" s="639"/>
      <c r="J818" s="100"/>
      <c r="K818" s="100"/>
      <c r="L818" s="100"/>
    </row>
    <row r="819">
      <c r="A819" s="3"/>
      <c r="B819" s="595"/>
      <c r="C819" s="3"/>
      <c r="D819" s="542"/>
      <c r="E819" s="3"/>
      <c r="F819" s="3"/>
      <c r="G819" s="3"/>
      <c r="H819" s="3"/>
      <c r="I819" s="639"/>
      <c r="J819" s="100"/>
      <c r="K819" s="100"/>
      <c r="L819" s="100"/>
    </row>
    <row r="820">
      <c r="A820" s="3"/>
      <c r="B820" s="595"/>
      <c r="C820" s="3"/>
      <c r="D820" s="542"/>
      <c r="E820" s="3"/>
      <c r="F820" s="3"/>
      <c r="G820" s="3"/>
      <c r="H820" s="3"/>
      <c r="I820" s="639"/>
      <c r="J820" s="100"/>
      <c r="K820" s="100"/>
      <c r="L820" s="100"/>
    </row>
    <row r="821">
      <c r="A821" s="3"/>
      <c r="B821" s="595"/>
      <c r="C821" s="3"/>
      <c r="D821" s="542"/>
      <c r="E821" s="3"/>
      <c r="F821" s="3"/>
      <c r="G821" s="3"/>
      <c r="H821" s="3"/>
      <c r="I821" s="639"/>
      <c r="J821" s="100"/>
      <c r="K821" s="100"/>
      <c r="L821" s="100"/>
    </row>
    <row r="822">
      <c r="A822" s="3"/>
      <c r="B822" s="595"/>
      <c r="C822" s="3"/>
      <c r="D822" s="542"/>
      <c r="E822" s="3"/>
      <c r="F822" s="3"/>
      <c r="G822" s="3"/>
      <c r="H822" s="3"/>
      <c r="I822" s="639"/>
      <c r="J822" s="100"/>
      <c r="K822" s="100"/>
      <c r="L822" s="100"/>
    </row>
    <row r="823">
      <c r="A823" s="3"/>
      <c r="B823" s="595"/>
      <c r="C823" s="3"/>
      <c r="D823" s="542"/>
      <c r="E823" s="3"/>
      <c r="F823" s="3"/>
      <c r="G823" s="3"/>
      <c r="H823" s="3"/>
      <c r="I823" s="639"/>
      <c r="J823" s="100"/>
      <c r="K823" s="100"/>
      <c r="L823" s="100"/>
    </row>
    <row r="824">
      <c r="A824" s="3"/>
      <c r="B824" s="595"/>
      <c r="C824" s="3"/>
      <c r="D824" s="542"/>
      <c r="E824" s="3"/>
      <c r="F824" s="3"/>
      <c r="G824" s="3"/>
      <c r="H824" s="3"/>
      <c r="I824" s="639"/>
      <c r="J824" s="100"/>
      <c r="K824" s="100"/>
      <c r="L824" s="100"/>
    </row>
    <row r="825">
      <c r="A825" s="3"/>
      <c r="B825" s="595"/>
      <c r="C825" s="3"/>
      <c r="D825" s="542"/>
      <c r="E825" s="3"/>
      <c r="F825" s="3"/>
      <c r="G825" s="3"/>
      <c r="H825" s="3"/>
      <c r="I825" s="639"/>
      <c r="J825" s="100"/>
      <c r="K825" s="100"/>
      <c r="L825" s="100"/>
    </row>
    <row r="826">
      <c r="A826" s="3"/>
      <c r="B826" s="595"/>
      <c r="C826" s="3"/>
      <c r="D826" s="542"/>
      <c r="E826" s="3"/>
      <c r="F826" s="3"/>
      <c r="G826" s="3"/>
      <c r="H826" s="3"/>
      <c r="I826" s="639"/>
      <c r="J826" s="100"/>
      <c r="K826" s="100"/>
      <c r="L826" s="100"/>
    </row>
    <row r="827">
      <c r="A827" s="3"/>
      <c r="B827" s="595"/>
      <c r="C827" s="3"/>
      <c r="D827" s="542"/>
      <c r="E827" s="3"/>
      <c r="F827" s="3"/>
      <c r="G827" s="3"/>
      <c r="H827" s="3"/>
      <c r="I827" s="639"/>
      <c r="J827" s="100"/>
      <c r="K827" s="100"/>
      <c r="L827" s="100"/>
    </row>
    <row r="828">
      <c r="A828" s="3"/>
      <c r="B828" s="595"/>
      <c r="C828" s="3"/>
      <c r="D828" s="542"/>
      <c r="E828" s="3"/>
      <c r="F828" s="3"/>
      <c r="G828" s="3"/>
      <c r="H828" s="3"/>
      <c r="I828" s="639"/>
      <c r="J828" s="100"/>
      <c r="K828" s="100"/>
      <c r="L828" s="100"/>
    </row>
    <row r="829">
      <c r="A829" s="3"/>
      <c r="B829" s="595"/>
      <c r="C829" s="3"/>
      <c r="D829" s="542"/>
      <c r="E829" s="3"/>
      <c r="F829" s="3"/>
      <c r="G829" s="3"/>
      <c r="H829" s="3"/>
      <c r="I829" s="639"/>
      <c r="J829" s="100"/>
      <c r="K829" s="100"/>
      <c r="L829" s="100"/>
    </row>
    <row r="830">
      <c r="A830" s="3"/>
      <c r="B830" s="595"/>
      <c r="C830" s="3"/>
      <c r="D830" s="542"/>
      <c r="E830" s="3"/>
      <c r="F830" s="3"/>
      <c r="G830" s="3"/>
      <c r="H830" s="3"/>
      <c r="I830" s="639"/>
      <c r="J830" s="100"/>
      <c r="K830" s="100"/>
      <c r="L830" s="100"/>
    </row>
    <row r="831">
      <c r="A831" s="3"/>
      <c r="B831" s="595"/>
      <c r="C831" s="3"/>
      <c r="D831" s="542"/>
      <c r="E831" s="3"/>
      <c r="F831" s="3"/>
      <c r="G831" s="3"/>
      <c r="H831" s="3"/>
      <c r="I831" s="639"/>
      <c r="J831" s="100"/>
      <c r="K831" s="100"/>
      <c r="L831" s="100"/>
    </row>
    <row r="832">
      <c r="A832" s="3"/>
      <c r="B832" s="595"/>
      <c r="C832" s="3"/>
      <c r="D832" s="542"/>
      <c r="E832" s="3"/>
      <c r="F832" s="3"/>
      <c r="G832" s="3"/>
      <c r="H832" s="3"/>
      <c r="I832" s="639"/>
      <c r="J832" s="100"/>
      <c r="K832" s="100"/>
      <c r="L832" s="100"/>
    </row>
    <row r="833">
      <c r="A833" s="3"/>
      <c r="B833" s="595"/>
      <c r="C833" s="3"/>
      <c r="D833" s="542"/>
      <c r="E833" s="3"/>
      <c r="F833" s="3"/>
      <c r="G833" s="3"/>
      <c r="H833" s="3"/>
      <c r="I833" s="639"/>
      <c r="J833" s="100"/>
      <c r="K833" s="100"/>
      <c r="L833" s="100"/>
    </row>
    <row r="834">
      <c r="A834" s="3"/>
      <c r="B834" s="595"/>
      <c r="C834" s="3"/>
      <c r="D834" s="542"/>
      <c r="E834" s="3"/>
      <c r="F834" s="3"/>
      <c r="G834" s="3"/>
      <c r="H834" s="3"/>
      <c r="I834" s="639"/>
      <c r="J834" s="100"/>
      <c r="K834" s="100"/>
      <c r="L834" s="100"/>
    </row>
    <row r="835">
      <c r="A835" s="3"/>
      <c r="B835" s="595"/>
      <c r="C835" s="3"/>
      <c r="D835" s="542"/>
      <c r="E835" s="3"/>
      <c r="F835" s="3"/>
      <c r="G835" s="3"/>
      <c r="H835" s="3"/>
      <c r="I835" s="639"/>
      <c r="J835" s="100"/>
      <c r="K835" s="100"/>
      <c r="L835" s="100"/>
    </row>
    <row r="836">
      <c r="A836" s="3"/>
      <c r="B836" s="595"/>
      <c r="C836" s="3"/>
      <c r="D836" s="542"/>
      <c r="E836" s="3"/>
      <c r="F836" s="3"/>
      <c r="G836" s="3"/>
      <c r="H836" s="3"/>
      <c r="I836" s="639"/>
      <c r="J836" s="100"/>
      <c r="K836" s="100"/>
      <c r="L836" s="100"/>
    </row>
    <row r="837">
      <c r="A837" s="3"/>
      <c r="B837" s="595"/>
      <c r="C837" s="3"/>
      <c r="D837" s="542"/>
      <c r="E837" s="3"/>
      <c r="F837" s="3"/>
      <c r="G837" s="3"/>
      <c r="H837" s="3"/>
      <c r="I837" s="639"/>
      <c r="J837" s="100"/>
      <c r="K837" s="100"/>
      <c r="L837" s="100"/>
    </row>
    <row r="838">
      <c r="A838" s="3"/>
      <c r="B838" s="595"/>
      <c r="C838" s="3"/>
      <c r="D838" s="542"/>
      <c r="E838" s="3"/>
      <c r="F838" s="3"/>
      <c r="G838" s="3"/>
      <c r="H838" s="3"/>
      <c r="I838" s="639"/>
      <c r="J838" s="100"/>
      <c r="K838" s="100"/>
      <c r="L838" s="100"/>
    </row>
    <row r="839">
      <c r="A839" s="3"/>
      <c r="B839" s="595"/>
      <c r="C839" s="3"/>
      <c r="D839" s="542"/>
      <c r="E839" s="3"/>
      <c r="F839" s="3"/>
      <c r="G839" s="3"/>
      <c r="H839" s="3"/>
      <c r="I839" s="639"/>
      <c r="J839" s="100"/>
      <c r="K839" s="100"/>
      <c r="L839" s="100"/>
    </row>
    <row r="840">
      <c r="A840" s="3"/>
      <c r="B840" s="595"/>
      <c r="C840" s="3"/>
      <c r="D840" s="542"/>
      <c r="E840" s="3"/>
      <c r="F840" s="3"/>
      <c r="G840" s="3"/>
      <c r="H840" s="3"/>
      <c r="I840" s="639"/>
      <c r="J840" s="100"/>
      <c r="K840" s="100"/>
      <c r="L840" s="100"/>
    </row>
    <row r="841">
      <c r="A841" s="3"/>
      <c r="B841" s="595"/>
      <c r="C841" s="3"/>
      <c r="D841" s="542"/>
      <c r="E841" s="3"/>
      <c r="F841" s="3"/>
      <c r="G841" s="3"/>
      <c r="H841" s="3"/>
      <c r="I841" s="639"/>
      <c r="J841" s="100"/>
      <c r="K841" s="100"/>
      <c r="L841" s="100"/>
    </row>
    <row r="842">
      <c r="A842" s="3"/>
      <c r="B842" s="595"/>
      <c r="C842" s="3"/>
      <c r="D842" s="542"/>
      <c r="E842" s="3"/>
      <c r="F842" s="3"/>
      <c r="G842" s="3"/>
      <c r="H842" s="3"/>
      <c r="I842" s="639"/>
      <c r="J842" s="100"/>
      <c r="K842" s="100"/>
      <c r="L842" s="100"/>
    </row>
    <row r="843">
      <c r="A843" s="3"/>
      <c r="B843" s="595"/>
      <c r="C843" s="3"/>
      <c r="D843" s="542"/>
      <c r="E843" s="3"/>
      <c r="F843" s="3"/>
      <c r="G843" s="3"/>
      <c r="H843" s="3"/>
      <c r="I843" s="639"/>
      <c r="J843" s="100"/>
      <c r="K843" s="100"/>
      <c r="L843" s="100"/>
    </row>
    <row r="844">
      <c r="A844" s="3"/>
      <c r="B844" s="595"/>
      <c r="C844" s="3"/>
      <c r="D844" s="542"/>
      <c r="E844" s="3"/>
      <c r="F844" s="3"/>
      <c r="G844" s="3"/>
      <c r="H844" s="3"/>
      <c r="I844" s="639"/>
      <c r="J844" s="100"/>
      <c r="K844" s="100"/>
      <c r="L844" s="100"/>
    </row>
    <row r="845">
      <c r="A845" s="3"/>
      <c r="B845" s="595"/>
      <c r="C845" s="3"/>
      <c r="D845" s="542"/>
      <c r="E845" s="3"/>
      <c r="F845" s="3"/>
      <c r="G845" s="3"/>
      <c r="H845" s="3"/>
      <c r="I845" s="639"/>
      <c r="J845" s="100"/>
      <c r="K845" s="100"/>
      <c r="L845" s="100"/>
    </row>
    <row r="846">
      <c r="A846" s="3"/>
      <c r="B846" s="595"/>
      <c r="C846" s="3"/>
      <c r="D846" s="542"/>
      <c r="E846" s="3"/>
      <c r="F846" s="3"/>
      <c r="G846" s="3"/>
      <c r="H846" s="3"/>
      <c r="I846" s="639"/>
      <c r="J846" s="100"/>
      <c r="K846" s="100"/>
      <c r="L846" s="100"/>
    </row>
    <row r="847">
      <c r="A847" s="3"/>
      <c r="B847" s="595"/>
      <c r="C847" s="3"/>
      <c r="D847" s="542"/>
      <c r="E847" s="3"/>
      <c r="F847" s="3"/>
      <c r="G847" s="3"/>
      <c r="H847" s="3"/>
      <c r="I847" s="639"/>
      <c r="J847" s="100"/>
      <c r="K847" s="100"/>
      <c r="L847" s="100"/>
    </row>
    <row r="848">
      <c r="A848" s="3"/>
      <c r="B848" s="595"/>
      <c r="C848" s="3"/>
      <c r="D848" s="542"/>
      <c r="E848" s="3"/>
      <c r="F848" s="3"/>
      <c r="G848" s="3"/>
      <c r="H848" s="3"/>
      <c r="I848" s="639"/>
      <c r="J848" s="100"/>
      <c r="K848" s="100"/>
      <c r="L848" s="100"/>
    </row>
    <row r="849">
      <c r="A849" s="3"/>
      <c r="B849" s="595"/>
      <c r="C849" s="3"/>
      <c r="D849" s="542"/>
      <c r="E849" s="3"/>
      <c r="F849" s="3"/>
      <c r="G849" s="3"/>
      <c r="H849" s="3"/>
      <c r="I849" s="639"/>
      <c r="J849" s="100"/>
      <c r="K849" s="100"/>
      <c r="L849" s="100"/>
    </row>
    <row r="850">
      <c r="A850" s="3"/>
      <c r="B850" s="595"/>
      <c r="C850" s="3"/>
      <c r="D850" s="542"/>
      <c r="E850" s="3"/>
      <c r="F850" s="3"/>
      <c r="G850" s="3"/>
      <c r="H850" s="3"/>
      <c r="I850" s="639"/>
      <c r="J850" s="100"/>
      <c r="K850" s="100"/>
      <c r="L850" s="100"/>
    </row>
    <row r="851">
      <c r="A851" s="3"/>
      <c r="B851" s="595"/>
      <c r="C851" s="3"/>
      <c r="D851" s="542"/>
      <c r="E851" s="3"/>
      <c r="F851" s="3"/>
      <c r="G851" s="3"/>
      <c r="H851" s="3"/>
      <c r="I851" s="639"/>
      <c r="J851" s="100"/>
      <c r="K851" s="100"/>
      <c r="L851" s="100"/>
    </row>
    <row r="852">
      <c r="A852" s="3"/>
      <c r="B852" s="595"/>
      <c r="C852" s="3"/>
      <c r="D852" s="542"/>
      <c r="E852" s="3"/>
      <c r="F852" s="3"/>
      <c r="G852" s="3"/>
      <c r="H852" s="3"/>
      <c r="I852" s="639"/>
      <c r="J852" s="100"/>
      <c r="K852" s="100"/>
      <c r="L852" s="100"/>
    </row>
    <row r="853">
      <c r="A853" s="3"/>
      <c r="B853" s="595"/>
      <c r="C853" s="3"/>
      <c r="D853" s="542"/>
      <c r="E853" s="3"/>
      <c r="F853" s="3"/>
      <c r="G853" s="3"/>
      <c r="H853" s="3"/>
      <c r="I853" s="639"/>
      <c r="J853" s="100"/>
      <c r="K853" s="100"/>
      <c r="L853" s="100"/>
    </row>
    <row r="854">
      <c r="A854" s="3"/>
      <c r="B854" s="595"/>
      <c r="C854" s="3"/>
      <c r="D854" s="542"/>
      <c r="E854" s="3"/>
      <c r="F854" s="3"/>
      <c r="G854" s="3"/>
      <c r="H854" s="3"/>
      <c r="I854" s="639"/>
      <c r="J854" s="100"/>
      <c r="K854" s="100"/>
      <c r="L854" s="100"/>
    </row>
    <row r="855">
      <c r="A855" s="3"/>
      <c r="B855" s="595"/>
      <c r="C855" s="3"/>
      <c r="D855" s="542"/>
      <c r="E855" s="3"/>
      <c r="F855" s="3"/>
      <c r="G855" s="3"/>
      <c r="H855" s="3"/>
      <c r="I855" s="639"/>
      <c r="J855" s="100"/>
      <c r="K855" s="100"/>
      <c r="L855" s="100"/>
    </row>
    <row r="856">
      <c r="A856" s="3"/>
      <c r="B856" s="595"/>
      <c r="C856" s="3"/>
      <c r="D856" s="542"/>
      <c r="E856" s="3"/>
      <c r="F856" s="3"/>
      <c r="G856" s="3"/>
      <c r="H856" s="3"/>
      <c r="I856" s="639"/>
      <c r="J856" s="100"/>
      <c r="K856" s="100"/>
      <c r="L856" s="100"/>
    </row>
    <row r="857">
      <c r="A857" s="3"/>
      <c r="B857" s="595"/>
      <c r="C857" s="3"/>
      <c r="D857" s="542"/>
      <c r="E857" s="3"/>
      <c r="F857" s="3"/>
      <c r="G857" s="3"/>
      <c r="H857" s="3"/>
      <c r="I857" s="639"/>
      <c r="J857" s="100"/>
      <c r="K857" s="100"/>
      <c r="L857" s="100"/>
    </row>
    <row r="858">
      <c r="A858" s="3"/>
      <c r="B858" s="595"/>
      <c r="C858" s="3"/>
      <c r="D858" s="542"/>
      <c r="E858" s="3"/>
      <c r="F858" s="3"/>
      <c r="G858" s="3"/>
      <c r="H858" s="3"/>
      <c r="I858" s="639"/>
      <c r="J858" s="100"/>
      <c r="K858" s="100"/>
      <c r="L858" s="100"/>
    </row>
    <row r="859">
      <c r="A859" s="3"/>
      <c r="B859" s="595"/>
      <c r="C859" s="3"/>
      <c r="D859" s="542"/>
      <c r="E859" s="3"/>
      <c r="F859" s="3"/>
      <c r="G859" s="3"/>
      <c r="H859" s="3"/>
      <c r="I859" s="639"/>
      <c r="J859" s="100"/>
      <c r="K859" s="100"/>
      <c r="L859" s="100"/>
    </row>
    <row r="860">
      <c r="A860" s="3"/>
      <c r="B860" s="595"/>
      <c r="C860" s="3"/>
      <c r="D860" s="542"/>
      <c r="E860" s="3"/>
      <c r="F860" s="3"/>
      <c r="G860" s="3"/>
      <c r="H860" s="3"/>
      <c r="I860" s="639"/>
      <c r="J860" s="100"/>
      <c r="K860" s="100"/>
      <c r="L860" s="100"/>
    </row>
    <row r="861">
      <c r="A861" s="3"/>
      <c r="B861" s="595"/>
      <c r="C861" s="3"/>
      <c r="D861" s="542"/>
      <c r="E861" s="3"/>
      <c r="F861" s="3"/>
      <c r="G861" s="3"/>
      <c r="H861" s="3"/>
      <c r="I861" s="639"/>
      <c r="J861" s="100"/>
      <c r="K861" s="100"/>
      <c r="L861" s="100"/>
    </row>
    <row r="862">
      <c r="A862" s="3"/>
      <c r="B862" s="595"/>
      <c r="C862" s="3"/>
      <c r="D862" s="542"/>
      <c r="E862" s="3"/>
      <c r="F862" s="3"/>
      <c r="G862" s="3"/>
      <c r="H862" s="3"/>
      <c r="I862" s="639"/>
      <c r="J862" s="100"/>
      <c r="K862" s="100"/>
      <c r="L862" s="100"/>
    </row>
    <row r="863">
      <c r="A863" s="3"/>
      <c r="B863" s="595"/>
      <c r="C863" s="3"/>
      <c r="D863" s="542"/>
      <c r="E863" s="3"/>
      <c r="F863" s="3"/>
      <c r="G863" s="3"/>
      <c r="H863" s="3"/>
      <c r="I863" s="639"/>
      <c r="J863" s="100"/>
      <c r="K863" s="100"/>
      <c r="L863" s="100"/>
    </row>
    <row r="864">
      <c r="A864" s="3"/>
      <c r="B864" s="595"/>
      <c r="C864" s="3"/>
      <c r="D864" s="542"/>
      <c r="E864" s="3"/>
      <c r="F864" s="3"/>
      <c r="G864" s="3"/>
      <c r="H864" s="3"/>
      <c r="I864" s="639"/>
      <c r="J864" s="100"/>
      <c r="K864" s="100"/>
      <c r="L864" s="100"/>
    </row>
    <row r="865">
      <c r="A865" s="3"/>
      <c r="B865" s="595"/>
      <c r="C865" s="3"/>
      <c r="D865" s="542"/>
      <c r="E865" s="3"/>
      <c r="F865" s="3"/>
      <c r="G865" s="3"/>
      <c r="H865" s="3"/>
      <c r="I865" s="639"/>
      <c r="J865" s="100"/>
      <c r="K865" s="100"/>
      <c r="L865" s="100"/>
    </row>
    <row r="866">
      <c r="A866" s="3"/>
      <c r="B866" s="595"/>
      <c r="C866" s="3"/>
      <c r="D866" s="542"/>
      <c r="E866" s="3"/>
      <c r="F866" s="3"/>
      <c r="G866" s="3"/>
      <c r="H866" s="3"/>
      <c r="I866" s="639"/>
      <c r="J866" s="100"/>
      <c r="K866" s="100"/>
      <c r="L866" s="100"/>
    </row>
    <row r="867">
      <c r="A867" s="3"/>
      <c r="B867" s="595"/>
      <c r="C867" s="3"/>
      <c r="D867" s="542"/>
      <c r="E867" s="3"/>
      <c r="F867" s="3"/>
      <c r="G867" s="3"/>
      <c r="H867" s="3"/>
      <c r="I867" s="639"/>
      <c r="J867" s="100"/>
      <c r="K867" s="100"/>
      <c r="L867" s="100"/>
    </row>
    <row r="868">
      <c r="A868" s="3"/>
      <c r="B868" s="595"/>
      <c r="C868" s="3"/>
      <c r="D868" s="542"/>
      <c r="E868" s="3"/>
      <c r="F868" s="3"/>
      <c r="G868" s="3"/>
      <c r="H868" s="3"/>
      <c r="I868" s="639"/>
      <c r="J868" s="100"/>
      <c r="K868" s="100"/>
      <c r="L868" s="100"/>
    </row>
    <row r="869">
      <c r="A869" s="3"/>
      <c r="B869" s="595"/>
      <c r="C869" s="3"/>
      <c r="D869" s="542"/>
      <c r="E869" s="3"/>
      <c r="F869" s="3"/>
      <c r="G869" s="3"/>
      <c r="H869" s="3"/>
      <c r="I869" s="639"/>
      <c r="J869" s="100"/>
      <c r="K869" s="100"/>
      <c r="L869" s="100"/>
    </row>
    <row r="870">
      <c r="A870" s="3"/>
      <c r="B870" s="595"/>
      <c r="C870" s="3"/>
      <c r="D870" s="542"/>
      <c r="E870" s="3"/>
      <c r="F870" s="3"/>
      <c r="G870" s="3"/>
      <c r="H870" s="3"/>
      <c r="I870" s="639"/>
      <c r="J870" s="100"/>
      <c r="K870" s="100"/>
      <c r="L870" s="100"/>
    </row>
    <row r="871">
      <c r="A871" s="3"/>
      <c r="B871" s="595"/>
      <c r="C871" s="3"/>
      <c r="D871" s="542"/>
      <c r="E871" s="3"/>
      <c r="F871" s="3"/>
      <c r="G871" s="3"/>
      <c r="H871" s="3"/>
      <c r="I871" s="639"/>
      <c r="J871" s="100"/>
      <c r="K871" s="100"/>
      <c r="L871" s="100"/>
    </row>
    <row r="872">
      <c r="A872" s="3"/>
      <c r="B872" s="595"/>
      <c r="C872" s="3"/>
      <c r="D872" s="542"/>
      <c r="E872" s="3"/>
      <c r="F872" s="3"/>
      <c r="G872" s="3"/>
      <c r="H872" s="3"/>
      <c r="I872" s="639"/>
      <c r="J872" s="100"/>
      <c r="K872" s="100"/>
      <c r="L872" s="100"/>
    </row>
    <row r="873">
      <c r="A873" s="3"/>
      <c r="B873" s="595"/>
      <c r="C873" s="3"/>
      <c r="D873" s="542"/>
      <c r="E873" s="3"/>
      <c r="F873" s="3"/>
      <c r="G873" s="3"/>
      <c r="H873" s="3"/>
      <c r="I873" s="639"/>
      <c r="J873" s="100"/>
      <c r="K873" s="100"/>
      <c r="L873" s="100"/>
    </row>
    <row r="874">
      <c r="A874" s="3"/>
      <c r="B874" s="595"/>
      <c r="C874" s="3"/>
      <c r="D874" s="542"/>
      <c r="E874" s="3"/>
      <c r="F874" s="3"/>
      <c r="G874" s="3"/>
      <c r="H874" s="3"/>
      <c r="I874" s="639"/>
      <c r="J874" s="100"/>
      <c r="K874" s="100"/>
      <c r="L874" s="100"/>
    </row>
    <row r="875">
      <c r="A875" s="3"/>
      <c r="B875" s="595"/>
      <c r="C875" s="3"/>
      <c r="D875" s="542"/>
      <c r="E875" s="3"/>
      <c r="F875" s="3"/>
      <c r="G875" s="3"/>
      <c r="H875" s="3"/>
      <c r="I875" s="639"/>
      <c r="J875" s="100"/>
      <c r="K875" s="100"/>
      <c r="L875" s="100"/>
    </row>
    <row r="876">
      <c r="A876" s="3"/>
      <c r="B876" s="595"/>
      <c r="C876" s="3"/>
      <c r="D876" s="542"/>
      <c r="E876" s="3"/>
      <c r="F876" s="3"/>
      <c r="G876" s="3"/>
      <c r="H876" s="3"/>
      <c r="I876" s="639"/>
      <c r="J876" s="100"/>
      <c r="K876" s="100"/>
      <c r="L876" s="100"/>
    </row>
    <row r="877">
      <c r="A877" s="3"/>
      <c r="B877" s="595"/>
      <c r="C877" s="3"/>
      <c r="D877" s="542"/>
      <c r="E877" s="3"/>
      <c r="F877" s="3"/>
      <c r="G877" s="3"/>
      <c r="H877" s="3"/>
      <c r="I877" s="639"/>
      <c r="J877" s="100"/>
      <c r="K877" s="100"/>
      <c r="L877" s="100"/>
    </row>
    <row r="878">
      <c r="A878" s="3"/>
      <c r="B878" s="595"/>
      <c r="C878" s="3"/>
      <c r="D878" s="542"/>
      <c r="E878" s="3"/>
      <c r="F878" s="3"/>
      <c r="G878" s="3"/>
      <c r="H878" s="3"/>
      <c r="I878" s="639"/>
      <c r="J878" s="100"/>
      <c r="K878" s="100"/>
      <c r="L878" s="100"/>
    </row>
    <row r="879">
      <c r="A879" s="3"/>
      <c r="B879" s="595"/>
      <c r="C879" s="3"/>
      <c r="D879" s="542"/>
      <c r="E879" s="3"/>
      <c r="F879" s="3"/>
      <c r="G879" s="3"/>
      <c r="H879" s="3"/>
      <c r="I879" s="639"/>
      <c r="J879" s="100"/>
      <c r="K879" s="100"/>
      <c r="L879" s="100"/>
    </row>
    <row r="880">
      <c r="A880" s="3"/>
      <c r="B880" s="595"/>
      <c r="C880" s="3"/>
      <c r="D880" s="542"/>
      <c r="E880" s="3"/>
      <c r="F880" s="3"/>
      <c r="G880" s="3"/>
      <c r="H880" s="3"/>
      <c r="I880" s="639"/>
      <c r="J880" s="100"/>
      <c r="K880" s="100"/>
      <c r="L880" s="100"/>
    </row>
    <row r="881">
      <c r="A881" s="3"/>
      <c r="B881" s="595"/>
      <c r="C881" s="3"/>
      <c r="D881" s="542"/>
      <c r="E881" s="3"/>
      <c r="F881" s="3"/>
      <c r="G881" s="3"/>
      <c r="H881" s="3"/>
      <c r="I881" s="639"/>
      <c r="J881" s="100"/>
      <c r="K881" s="100"/>
      <c r="L881" s="100"/>
    </row>
    <row r="882">
      <c r="A882" s="3"/>
      <c r="B882" s="595"/>
      <c r="C882" s="3"/>
      <c r="D882" s="542"/>
      <c r="E882" s="3"/>
      <c r="F882" s="3"/>
      <c r="G882" s="3"/>
      <c r="H882" s="3"/>
      <c r="I882" s="639"/>
      <c r="J882" s="100"/>
      <c r="K882" s="100"/>
      <c r="L882" s="100"/>
    </row>
    <row r="883">
      <c r="A883" s="3"/>
      <c r="B883" s="595"/>
      <c r="C883" s="3"/>
      <c r="D883" s="542"/>
      <c r="E883" s="3"/>
      <c r="F883" s="3"/>
      <c r="G883" s="3"/>
      <c r="H883" s="3"/>
      <c r="I883" s="639"/>
      <c r="J883" s="100"/>
      <c r="K883" s="100"/>
      <c r="L883" s="100"/>
    </row>
    <row r="884">
      <c r="A884" s="3"/>
      <c r="B884" s="595"/>
      <c r="C884" s="3"/>
      <c r="D884" s="542"/>
      <c r="E884" s="3"/>
      <c r="F884" s="3"/>
      <c r="G884" s="3"/>
      <c r="H884" s="3"/>
      <c r="I884" s="639"/>
      <c r="J884" s="100"/>
      <c r="K884" s="100"/>
      <c r="L884" s="100"/>
    </row>
    <row r="885">
      <c r="A885" s="3"/>
      <c r="B885" s="595"/>
      <c r="C885" s="3"/>
      <c r="D885" s="542"/>
      <c r="E885" s="3"/>
      <c r="F885" s="3"/>
      <c r="G885" s="3"/>
      <c r="H885" s="3"/>
      <c r="I885" s="639"/>
      <c r="J885" s="100"/>
      <c r="K885" s="100"/>
      <c r="L885" s="100"/>
    </row>
    <row r="886">
      <c r="A886" s="3"/>
      <c r="B886" s="595"/>
      <c r="C886" s="3"/>
      <c r="D886" s="542"/>
      <c r="E886" s="3"/>
      <c r="F886" s="3"/>
      <c r="G886" s="3"/>
      <c r="H886" s="3"/>
      <c r="I886" s="639"/>
      <c r="J886" s="100"/>
      <c r="K886" s="100"/>
      <c r="L886" s="100"/>
    </row>
    <row r="887">
      <c r="A887" s="3"/>
      <c r="B887" s="595"/>
      <c r="C887" s="3"/>
      <c r="D887" s="542"/>
      <c r="E887" s="3"/>
      <c r="F887" s="3"/>
      <c r="G887" s="3"/>
      <c r="H887" s="3"/>
      <c r="I887" s="639"/>
      <c r="J887" s="100"/>
      <c r="K887" s="100"/>
      <c r="L887" s="100"/>
    </row>
    <row r="888">
      <c r="A888" s="3"/>
      <c r="B888" s="595"/>
      <c r="C888" s="3"/>
      <c r="D888" s="542"/>
      <c r="E888" s="3"/>
      <c r="F888" s="3"/>
      <c r="G888" s="3"/>
      <c r="H888" s="3"/>
      <c r="I888" s="639"/>
      <c r="J888" s="100"/>
      <c r="K888" s="100"/>
      <c r="L888" s="100"/>
    </row>
    <row r="889">
      <c r="A889" s="3"/>
      <c r="B889" s="595"/>
      <c r="C889" s="3"/>
      <c r="D889" s="542"/>
      <c r="E889" s="3"/>
      <c r="F889" s="3"/>
      <c r="G889" s="3"/>
      <c r="H889" s="3"/>
      <c r="I889" s="639"/>
      <c r="J889" s="100"/>
      <c r="K889" s="100"/>
      <c r="L889" s="100"/>
    </row>
    <row r="890">
      <c r="A890" s="3"/>
      <c r="B890" s="595"/>
      <c r="C890" s="3"/>
      <c r="D890" s="542"/>
      <c r="E890" s="3"/>
      <c r="F890" s="3"/>
      <c r="G890" s="3"/>
      <c r="H890" s="3"/>
      <c r="I890" s="639"/>
      <c r="J890" s="100"/>
      <c r="K890" s="100"/>
      <c r="L890" s="100"/>
    </row>
    <row r="891">
      <c r="A891" s="3"/>
      <c r="B891" s="595"/>
      <c r="C891" s="3"/>
      <c r="D891" s="542"/>
      <c r="E891" s="3"/>
      <c r="F891" s="3"/>
      <c r="G891" s="3"/>
      <c r="H891" s="3"/>
      <c r="I891" s="639"/>
      <c r="J891" s="100"/>
      <c r="K891" s="100"/>
      <c r="L891" s="100"/>
    </row>
    <row r="892">
      <c r="A892" s="3"/>
      <c r="B892" s="595"/>
      <c r="C892" s="3"/>
      <c r="D892" s="542"/>
      <c r="E892" s="3"/>
      <c r="F892" s="3"/>
      <c r="G892" s="3"/>
      <c r="H892" s="3"/>
      <c r="I892" s="639"/>
      <c r="J892" s="100"/>
      <c r="K892" s="100"/>
      <c r="L892" s="100"/>
    </row>
    <row r="893">
      <c r="A893" s="3"/>
      <c r="B893" s="595"/>
      <c r="C893" s="3"/>
      <c r="D893" s="542"/>
      <c r="E893" s="3"/>
      <c r="F893" s="3"/>
      <c r="G893" s="3"/>
      <c r="H893" s="3"/>
      <c r="I893" s="639"/>
      <c r="J893" s="100"/>
      <c r="K893" s="100"/>
      <c r="L893" s="100"/>
    </row>
    <row r="894">
      <c r="A894" s="3"/>
      <c r="B894" s="595"/>
      <c r="C894" s="3"/>
      <c r="D894" s="542"/>
      <c r="E894" s="3"/>
      <c r="F894" s="3"/>
      <c r="G894" s="3"/>
      <c r="H894" s="3"/>
      <c r="I894" s="639"/>
      <c r="J894" s="100"/>
      <c r="K894" s="100"/>
      <c r="L894" s="100"/>
    </row>
    <row r="895">
      <c r="A895" s="3"/>
      <c r="B895" s="595"/>
      <c r="C895" s="3"/>
      <c r="D895" s="542"/>
      <c r="E895" s="3"/>
      <c r="F895" s="3"/>
      <c r="G895" s="3"/>
      <c r="H895" s="3"/>
      <c r="I895" s="639"/>
      <c r="J895" s="100"/>
      <c r="K895" s="100"/>
      <c r="L895" s="100"/>
    </row>
    <row r="896">
      <c r="A896" s="3"/>
      <c r="B896" s="595"/>
      <c r="C896" s="3"/>
      <c r="D896" s="542"/>
      <c r="E896" s="3"/>
      <c r="F896" s="3"/>
      <c r="G896" s="3"/>
      <c r="H896" s="3"/>
      <c r="I896" s="639"/>
      <c r="J896" s="100"/>
      <c r="K896" s="100"/>
      <c r="L896" s="100"/>
    </row>
    <row r="897">
      <c r="A897" s="3"/>
      <c r="B897" s="595"/>
      <c r="C897" s="3"/>
      <c r="D897" s="542"/>
      <c r="E897" s="3"/>
      <c r="F897" s="3"/>
      <c r="G897" s="3"/>
      <c r="H897" s="3"/>
      <c r="I897" s="639"/>
      <c r="J897" s="100"/>
      <c r="K897" s="100"/>
      <c r="L897" s="100"/>
    </row>
    <row r="898">
      <c r="A898" s="3"/>
      <c r="B898" s="595"/>
      <c r="C898" s="3"/>
      <c r="D898" s="542"/>
      <c r="E898" s="3"/>
      <c r="F898" s="3"/>
      <c r="G898" s="3"/>
      <c r="H898" s="3"/>
      <c r="I898" s="639"/>
      <c r="J898" s="100"/>
      <c r="K898" s="100"/>
      <c r="L898" s="100"/>
    </row>
    <row r="899">
      <c r="A899" s="3"/>
      <c r="B899" s="595"/>
      <c r="C899" s="3"/>
      <c r="D899" s="542"/>
      <c r="E899" s="3"/>
      <c r="F899" s="3"/>
      <c r="G899" s="3"/>
      <c r="H899" s="3"/>
      <c r="I899" s="639"/>
      <c r="J899" s="100"/>
      <c r="K899" s="100"/>
      <c r="L899" s="100"/>
    </row>
    <row r="900">
      <c r="A900" s="3"/>
      <c r="B900" s="595"/>
      <c r="C900" s="3"/>
      <c r="D900" s="542"/>
      <c r="E900" s="3"/>
      <c r="F900" s="3"/>
      <c r="G900" s="3"/>
      <c r="H900" s="3"/>
      <c r="I900" s="639"/>
      <c r="J900" s="100"/>
      <c r="K900" s="100"/>
      <c r="L900" s="100"/>
    </row>
    <row r="901">
      <c r="A901" s="3"/>
      <c r="B901" s="595"/>
      <c r="C901" s="3"/>
      <c r="D901" s="542"/>
      <c r="E901" s="3"/>
      <c r="F901" s="3"/>
      <c r="G901" s="3"/>
      <c r="H901" s="3"/>
      <c r="I901" s="639"/>
      <c r="J901" s="100"/>
      <c r="K901" s="100"/>
      <c r="L901" s="100"/>
    </row>
    <row r="902">
      <c r="A902" s="3"/>
      <c r="B902" s="595"/>
      <c r="C902" s="3"/>
      <c r="D902" s="542"/>
      <c r="E902" s="3"/>
      <c r="F902" s="3"/>
      <c r="G902" s="3"/>
      <c r="H902" s="3"/>
      <c r="I902" s="639"/>
      <c r="J902" s="100"/>
      <c r="K902" s="100"/>
      <c r="L902" s="100"/>
    </row>
    <row r="903">
      <c r="A903" s="3"/>
      <c r="B903" s="595"/>
      <c r="C903" s="3"/>
      <c r="D903" s="542"/>
      <c r="E903" s="3"/>
      <c r="F903" s="3"/>
      <c r="G903" s="3"/>
      <c r="H903" s="3"/>
      <c r="I903" s="639"/>
      <c r="J903" s="100"/>
      <c r="K903" s="100"/>
      <c r="L903" s="100"/>
    </row>
    <row r="904">
      <c r="A904" s="3"/>
      <c r="B904" s="595"/>
      <c r="C904" s="3"/>
      <c r="D904" s="542"/>
      <c r="E904" s="3"/>
      <c r="F904" s="3"/>
      <c r="G904" s="3"/>
      <c r="H904" s="3"/>
      <c r="I904" s="639"/>
      <c r="J904" s="100"/>
      <c r="K904" s="100"/>
      <c r="L904" s="100"/>
    </row>
    <row r="905">
      <c r="A905" s="3"/>
      <c r="B905" s="595"/>
      <c r="C905" s="3"/>
      <c r="D905" s="542"/>
      <c r="E905" s="3"/>
      <c r="F905" s="3"/>
      <c r="G905" s="3"/>
      <c r="H905" s="3"/>
      <c r="I905" s="639"/>
      <c r="J905" s="100"/>
      <c r="K905" s="100"/>
      <c r="L905" s="100"/>
    </row>
    <row r="906">
      <c r="A906" s="3"/>
      <c r="B906" s="595"/>
      <c r="C906" s="3"/>
      <c r="D906" s="542"/>
      <c r="E906" s="3"/>
      <c r="F906" s="3"/>
      <c r="G906" s="3"/>
      <c r="H906" s="3"/>
      <c r="I906" s="639"/>
      <c r="J906" s="100"/>
      <c r="K906" s="100"/>
      <c r="L906" s="100"/>
    </row>
    <row r="907">
      <c r="A907" s="3"/>
      <c r="B907" s="595"/>
      <c r="C907" s="3"/>
      <c r="D907" s="542"/>
      <c r="E907" s="3"/>
      <c r="F907" s="3"/>
      <c r="G907" s="3"/>
      <c r="H907" s="3"/>
      <c r="I907" s="639"/>
      <c r="J907" s="100"/>
      <c r="K907" s="100"/>
      <c r="L907" s="100"/>
    </row>
    <row r="908">
      <c r="A908" s="3"/>
      <c r="B908" s="595"/>
      <c r="C908" s="3"/>
      <c r="D908" s="542"/>
      <c r="E908" s="3"/>
      <c r="F908" s="3"/>
      <c r="G908" s="3"/>
      <c r="H908" s="3"/>
      <c r="I908" s="639"/>
      <c r="J908" s="100"/>
      <c r="K908" s="100"/>
      <c r="L908" s="100"/>
    </row>
    <row r="909">
      <c r="A909" s="3"/>
      <c r="B909" s="595"/>
      <c r="C909" s="3"/>
      <c r="D909" s="542"/>
      <c r="E909" s="3"/>
      <c r="F909" s="3"/>
      <c r="G909" s="3"/>
      <c r="H909" s="3"/>
      <c r="I909" s="639"/>
      <c r="J909" s="100"/>
      <c r="K909" s="100"/>
      <c r="L909" s="100"/>
    </row>
    <row r="910">
      <c r="A910" s="3"/>
      <c r="B910" s="595"/>
      <c r="C910" s="3"/>
      <c r="D910" s="542"/>
      <c r="E910" s="3"/>
      <c r="F910" s="3"/>
      <c r="G910" s="3"/>
      <c r="H910" s="3"/>
      <c r="I910" s="639"/>
      <c r="J910" s="100"/>
      <c r="K910" s="100"/>
      <c r="L910" s="100"/>
    </row>
    <row r="911">
      <c r="A911" s="3"/>
      <c r="B911" s="595"/>
      <c r="C911" s="3"/>
      <c r="D911" s="542"/>
      <c r="E911" s="3"/>
      <c r="F911" s="3"/>
      <c r="G911" s="3"/>
      <c r="H911" s="3"/>
      <c r="I911" s="639"/>
      <c r="J911" s="100"/>
      <c r="K911" s="100"/>
      <c r="L911" s="100"/>
    </row>
    <row r="912">
      <c r="A912" s="3"/>
      <c r="B912" s="595"/>
      <c r="C912" s="3"/>
      <c r="D912" s="542"/>
      <c r="E912" s="3"/>
      <c r="F912" s="3"/>
      <c r="G912" s="3"/>
      <c r="H912" s="3"/>
      <c r="I912" s="639"/>
      <c r="J912" s="100"/>
      <c r="K912" s="100"/>
      <c r="L912" s="100"/>
    </row>
    <row r="913">
      <c r="A913" s="3"/>
      <c r="B913" s="595"/>
      <c r="C913" s="3"/>
      <c r="D913" s="542"/>
      <c r="E913" s="3"/>
      <c r="F913" s="3"/>
      <c r="G913" s="3"/>
      <c r="H913" s="3"/>
      <c r="I913" s="639"/>
      <c r="J913" s="100"/>
      <c r="K913" s="100"/>
      <c r="L913" s="100"/>
    </row>
    <row r="914">
      <c r="A914" s="3"/>
      <c r="B914" s="595"/>
      <c r="C914" s="3"/>
      <c r="D914" s="542"/>
      <c r="E914" s="3"/>
      <c r="F914" s="3"/>
      <c r="G914" s="3"/>
      <c r="H914" s="3"/>
      <c r="I914" s="639"/>
      <c r="J914" s="100"/>
      <c r="K914" s="100"/>
      <c r="L914" s="100"/>
    </row>
    <row r="915">
      <c r="A915" s="3"/>
      <c r="B915" s="595"/>
      <c r="C915" s="3"/>
      <c r="D915" s="542"/>
      <c r="E915" s="3"/>
      <c r="F915" s="3"/>
      <c r="G915" s="3"/>
      <c r="H915" s="3"/>
      <c r="I915" s="639"/>
      <c r="J915" s="100"/>
      <c r="K915" s="100"/>
      <c r="L915" s="100"/>
    </row>
    <row r="916">
      <c r="A916" s="3"/>
      <c r="B916" s="595"/>
      <c r="C916" s="3"/>
      <c r="D916" s="542"/>
      <c r="E916" s="3"/>
      <c r="F916" s="3"/>
      <c r="G916" s="3"/>
      <c r="H916" s="3"/>
      <c r="I916" s="639"/>
      <c r="J916" s="100"/>
      <c r="K916" s="100"/>
      <c r="L916" s="100"/>
    </row>
    <row r="917">
      <c r="A917" s="3"/>
      <c r="B917" s="595"/>
      <c r="C917" s="3"/>
      <c r="D917" s="542"/>
      <c r="E917" s="3"/>
      <c r="F917" s="3"/>
      <c r="G917" s="3"/>
      <c r="H917" s="3"/>
      <c r="I917" s="639"/>
      <c r="J917" s="100"/>
      <c r="K917" s="100"/>
      <c r="L917" s="100"/>
    </row>
    <row r="918">
      <c r="A918" s="3"/>
      <c r="B918" s="595"/>
      <c r="C918" s="3"/>
      <c r="D918" s="542"/>
      <c r="E918" s="3"/>
      <c r="F918" s="3"/>
      <c r="G918" s="3"/>
      <c r="H918" s="3"/>
      <c r="I918" s="639"/>
      <c r="J918" s="100"/>
      <c r="K918" s="100"/>
      <c r="L918" s="100"/>
    </row>
    <row r="919">
      <c r="A919" s="3"/>
      <c r="B919" s="595"/>
      <c r="C919" s="3"/>
      <c r="D919" s="542"/>
      <c r="E919" s="3"/>
      <c r="F919" s="3"/>
      <c r="G919" s="3"/>
      <c r="H919" s="3"/>
      <c r="I919" s="639"/>
      <c r="J919" s="100"/>
      <c r="K919" s="100"/>
      <c r="L919" s="100"/>
    </row>
    <row r="920">
      <c r="A920" s="3"/>
      <c r="B920" s="595"/>
      <c r="C920" s="3"/>
      <c r="D920" s="542"/>
      <c r="E920" s="3"/>
      <c r="F920" s="3"/>
      <c r="G920" s="3"/>
      <c r="H920" s="3"/>
      <c r="I920" s="639"/>
      <c r="J920" s="100"/>
      <c r="K920" s="100"/>
      <c r="L920" s="100"/>
    </row>
    <row r="921">
      <c r="A921" s="3"/>
      <c r="B921" s="595"/>
      <c r="C921" s="3"/>
      <c r="D921" s="542"/>
      <c r="E921" s="3"/>
      <c r="F921" s="3"/>
      <c r="G921" s="3"/>
      <c r="H921" s="3"/>
      <c r="I921" s="639"/>
      <c r="J921" s="100"/>
      <c r="K921" s="100"/>
      <c r="L921" s="100"/>
    </row>
    <row r="922">
      <c r="A922" s="3"/>
      <c r="B922" s="595"/>
      <c r="C922" s="3"/>
      <c r="D922" s="542"/>
      <c r="E922" s="3"/>
      <c r="F922" s="3"/>
      <c r="G922" s="3"/>
      <c r="H922" s="3"/>
      <c r="I922" s="639"/>
      <c r="J922" s="100"/>
      <c r="K922" s="100"/>
      <c r="L922" s="100"/>
    </row>
    <row r="923">
      <c r="A923" s="3"/>
      <c r="B923" s="595"/>
      <c r="C923" s="3"/>
      <c r="D923" s="542"/>
      <c r="E923" s="3"/>
      <c r="F923" s="3"/>
      <c r="G923" s="3"/>
      <c r="H923" s="3"/>
      <c r="I923" s="639"/>
      <c r="J923" s="100"/>
      <c r="K923" s="100"/>
      <c r="L923" s="100"/>
    </row>
    <row r="924">
      <c r="A924" s="3"/>
      <c r="B924" s="595"/>
      <c r="C924" s="3"/>
      <c r="D924" s="542"/>
      <c r="E924" s="3"/>
      <c r="F924" s="3"/>
      <c r="G924" s="3"/>
      <c r="H924" s="3"/>
      <c r="I924" s="639"/>
      <c r="J924" s="100"/>
      <c r="K924" s="100"/>
      <c r="L924" s="100"/>
    </row>
    <row r="925">
      <c r="A925" s="3"/>
      <c r="B925" s="595"/>
      <c r="C925" s="3"/>
      <c r="D925" s="542"/>
      <c r="E925" s="3"/>
      <c r="F925" s="3"/>
      <c r="G925" s="3"/>
      <c r="H925" s="3"/>
      <c r="I925" s="639"/>
      <c r="J925" s="100"/>
      <c r="K925" s="100"/>
      <c r="L925" s="100"/>
    </row>
    <row r="926">
      <c r="A926" s="3"/>
      <c r="B926" s="595"/>
      <c r="C926" s="3"/>
      <c r="D926" s="542"/>
      <c r="E926" s="3"/>
      <c r="F926" s="3"/>
      <c r="G926" s="3"/>
      <c r="H926" s="3"/>
      <c r="I926" s="639"/>
      <c r="J926" s="100"/>
      <c r="K926" s="100"/>
      <c r="L926" s="100"/>
    </row>
    <row r="927">
      <c r="A927" s="3"/>
      <c r="B927" s="595"/>
      <c r="C927" s="3"/>
      <c r="D927" s="542"/>
      <c r="E927" s="3"/>
      <c r="F927" s="3"/>
      <c r="G927" s="3"/>
      <c r="H927" s="3"/>
      <c r="I927" s="639"/>
      <c r="J927" s="100"/>
      <c r="K927" s="100"/>
      <c r="L927" s="100"/>
    </row>
    <row r="928">
      <c r="A928" s="3"/>
      <c r="B928" s="595"/>
      <c r="C928" s="3"/>
      <c r="D928" s="542"/>
      <c r="E928" s="3"/>
      <c r="F928" s="3"/>
      <c r="G928" s="3"/>
      <c r="H928" s="3"/>
      <c r="I928" s="639"/>
      <c r="J928" s="100"/>
      <c r="K928" s="100"/>
      <c r="L928" s="100"/>
    </row>
    <row r="929">
      <c r="A929" s="3"/>
      <c r="B929" s="595"/>
      <c r="C929" s="3"/>
      <c r="D929" s="542"/>
      <c r="E929" s="3"/>
      <c r="F929" s="3"/>
      <c r="G929" s="3"/>
      <c r="H929" s="3"/>
      <c r="I929" s="639"/>
      <c r="J929" s="100"/>
      <c r="K929" s="100"/>
      <c r="L929" s="100"/>
    </row>
    <row r="930">
      <c r="A930" s="3"/>
      <c r="B930" s="595"/>
      <c r="C930" s="3"/>
      <c r="D930" s="542"/>
      <c r="E930" s="3"/>
      <c r="F930" s="3"/>
      <c r="G930" s="3"/>
      <c r="H930" s="3"/>
      <c r="I930" s="639"/>
      <c r="J930" s="100"/>
      <c r="K930" s="100"/>
      <c r="L930" s="100"/>
    </row>
    <row r="931">
      <c r="A931" s="3"/>
      <c r="B931" s="595"/>
      <c r="C931" s="3"/>
      <c r="D931" s="542"/>
      <c r="E931" s="3"/>
      <c r="F931" s="3"/>
      <c r="G931" s="3"/>
      <c r="H931" s="3"/>
      <c r="I931" s="639"/>
      <c r="J931" s="100"/>
      <c r="K931" s="100"/>
      <c r="L931" s="100"/>
    </row>
    <row r="932">
      <c r="A932" s="3"/>
      <c r="B932" s="595"/>
      <c r="C932" s="3"/>
      <c r="D932" s="542"/>
      <c r="E932" s="3"/>
      <c r="F932" s="3"/>
      <c r="G932" s="3"/>
      <c r="H932" s="3"/>
      <c r="I932" s="639"/>
      <c r="J932" s="100"/>
      <c r="K932" s="100"/>
      <c r="L932" s="100"/>
    </row>
    <row r="933">
      <c r="A933" s="3"/>
      <c r="B933" s="595"/>
      <c r="C933" s="3"/>
      <c r="D933" s="542"/>
      <c r="E933" s="3"/>
      <c r="F933" s="3"/>
      <c r="G933" s="3"/>
      <c r="H933" s="3"/>
      <c r="I933" s="639"/>
      <c r="J933" s="100"/>
      <c r="K933" s="100"/>
      <c r="L933" s="100"/>
    </row>
    <row r="934">
      <c r="A934" s="3"/>
      <c r="B934" s="595"/>
      <c r="C934" s="3"/>
      <c r="D934" s="542"/>
      <c r="E934" s="3"/>
      <c r="F934" s="3"/>
      <c r="G934" s="3"/>
      <c r="H934" s="3"/>
      <c r="I934" s="639"/>
      <c r="J934" s="100"/>
      <c r="K934" s="100"/>
      <c r="L934" s="100"/>
    </row>
    <row r="935">
      <c r="A935" s="3"/>
      <c r="B935" s="595"/>
      <c r="C935" s="3"/>
      <c r="D935" s="542"/>
      <c r="E935" s="3"/>
      <c r="F935" s="3"/>
      <c r="G935" s="3"/>
      <c r="H935" s="3"/>
      <c r="I935" s="639"/>
      <c r="J935" s="100"/>
      <c r="K935" s="100"/>
      <c r="L935" s="100"/>
    </row>
    <row r="936">
      <c r="A936" s="3"/>
      <c r="B936" s="595"/>
      <c r="C936" s="3"/>
      <c r="D936" s="542"/>
      <c r="E936" s="3"/>
      <c r="F936" s="3"/>
      <c r="G936" s="3"/>
      <c r="H936" s="3"/>
      <c r="I936" s="639"/>
      <c r="J936" s="100"/>
      <c r="K936" s="100"/>
      <c r="L936" s="100"/>
    </row>
    <row r="937">
      <c r="A937" s="3"/>
      <c r="B937" s="595"/>
      <c r="C937" s="3"/>
      <c r="D937" s="542"/>
      <c r="E937" s="3"/>
      <c r="F937" s="3"/>
      <c r="G937" s="3"/>
      <c r="H937" s="3"/>
      <c r="I937" s="639"/>
      <c r="J937" s="100"/>
      <c r="K937" s="100"/>
      <c r="L937" s="100"/>
    </row>
    <row r="938">
      <c r="A938" s="3"/>
      <c r="B938" s="595"/>
      <c r="C938" s="3"/>
      <c r="D938" s="542"/>
      <c r="E938" s="3"/>
      <c r="F938" s="3"/>
      <c r="G938" s="3"/>
      <c r="H938" s="3"/>
      <c r="I938" s="639"/>
      <c r="J938" s="100"/>
      <c r="K938" s="100"/>
      <c r="L938" s="100"/>
    </row>
    <row r="939">
      <c r="A939" s="3"/>
      <c r="B939" s="595"/>
      <c r="C939" s="3"/>
      <c r="D939" s="542"/>
      <c r="E939" s="3"/>
      <c r="F939" s="3"/>
      <c r="G939" s="3"/>
      <c r="H939" s="3"/>
      <c r="I939" s="639"/>
      <c r="J939" s="100"/>
      <c r="K939" s="100"/>
      <c r="L939" s="100"/>
    </row>
    <row r="940">
      <c r="A940" s="3"/>
      <c r="B940" s="595"/>
      <c r="C940" s="3"/>
      <c r="D940" s="542"/>
      <c r="E940" s="3"/>
      <c r="F940" s="3"/>
      <c r="G940" s="3"/>
      <c r="H940" s="3"/>
      <c r="I940" s="639"/>
      <c r="J940" s="100"/>
      <c r="K940" s="100"/>
      <c r="L940" s="100"/>
    </row>
    <row r="941">
      <c r="A941" s="3"/>
      <c r="B941" s="595"/>
      <c r="C941" s="3"/>
      <c r="D941" s="542"/>
      <c r="E941" s="3"/>
      <c r="F941" s="3"/>
      <c r="G941" s="3"/>
      <c r="H941" s="3"/>
      <c r="I941" s="639"/>
      <c r="J941" s="100"/>
      <c r="K941" s="100"/>
      <c r="L941" s="100"/>
    </row>
    <row r="942">
      <c r="A942" s="3"/>
      <c r="B942" s="595"/>
      <c r="C942" s="3"/>
      <c r="D942" s="542"/>
      <c r="E942" s="3"/>
      <c r="F942" s="3"/>
      <c r="G942" s="3"/>
      <c r="H942" s="3"/>
      <c r="I942" s="639"/>
      <c r="J942" s="100"/>
      <c r="K942" s="100"/>
      <c r="L942" s="100"/>
    </row>
    <row r="943">
      <c r="A943" s="3"/>
      <c r="B943" s="595"/>
      <c r="C943" s="3"/>
      <c r="D943" s="542"/>
      <c r="E943" s="3"/>
      <c r="F943" s="3"/>
      <c r="G943" s="3"/>
      <c r="H943" s="3"/>
      <c r="I943" s="639"/>
      <c r="J943" s="100"/>
      <c r="K943" s="100"/>
      <c r="L943" s="100"/>
    </row>
    <row r="944">
      <c r="A944" s="3"/>
      <c r="B944" s="595"/>
      <c r="C944" s="3"/>
      <c r="D944" s="542"/>
      <c r="E944" s="3"/>
      <c r="F944" s="3"/>
      <c r="G944" s="3"/>
      <c r="H944" s="3"/>
      <c r="I944" s="639"/>
      <c r="J944" s="100"/>
      <c r="K944" s="100"/>
      <c r="L944" s="100"/>
    </row>
    <row r="945">
      <c r="A945" s="3"/>
      <c r="B945" s="595"/>
      <c r="C945" s="3"/>
      <c r="D945" s="542"/>
      <c r="E945" s="3"/>
      <c r="F945" s="3"/>
      <c r="G945" s="3"/>
      <c r="H945" s="3"/>
      <c r="I945" s="639"/>
      <c r="J945" s="100"/>
      <c r="K945" s="100"/>
      <c r="L945" s="100"/>
    </row>
    <row r="946">
      <c r="A946" s="3"/>
      <c r="B946" s="595"/>
      <c r="C946" s="3"/>
      <c r="D946" s="542"/>
      <c r="E946" s="3"/>
      <c r="F946" s="3"/>
      <c r="G946" s="3"/>
      <c r="H946" s="3"/>
      <c r="I946" s="639"/>
      <c r="J946" s="100"/>
      <c r="K946" s="100"/>
      <c r="L946" s="100"/>
    </row>
    <row r="947">
      <c r="A947" s="3"/>
      <c r="B947" s="595"/>
      <c r="C947" s="3"/>
      <c r="D947" s="542"/>
      <c r="E947" s="3"/>
      <c r="F947" s="3"/>
      <c r="G947" s="3"/>
      <c r="H947" s="3"/>
      <c r="I947" s="639"/>
      <c r="J947" s="100"/>
      <c r="K947" s="100"/>
      <c r="L947" s="100"/>
    </row>
    <row r="948">
      <c r="A948" s="3"/>
      <c r="B948" s="595"/>
      <c r="C948" s="3"/>
      <c r="D948" s="542"/>
      <c r="E948" s="3"/>
      <c r="F948" s="3"/>
      <c r="G948" s="3"/>
      <c r="H948" s="3"/>
      <c r="I948" s="639"/>
      <c r="J948" s="100"/>
      <c r="K948" s="100"/>
      <c r="L948" s="100"/>
    </row>
    <row r="949">
      <c r="A949" s="3"/>
      <c r="B949" s="595"/>
      <c r="C949" s="3"/>
      <c r="D949" s="542"/>
      <c r="E949" s="3"/>
      <c r="F949" s="3"/>
      <c r="G949" s="3"/>
      <c r="H949" s="3"/>
      <c r="I949" s="639"/>
      <c r="J949" s="100"/>
      <c r="K949" s="100"/>
      <c r="L949" s="100"/>
    </row>
    <row r="950">
      <c r="A950" s="3"/>
      <c r="B950" s="595"/>
      <c r="C950" s="3"/>
      <c r="D950" s="542"/>
      <c r="E950" s="3"/>
      <c r="F950" s="3"/>
      <c r="G950" s="3"/>
      <c r="H950" s="3"/>
      <c r="I950" s="639"/>
      <c r="J950" s="100"/>
      <c r="K950" s="100"/>
      <c r="L950" s="100"/>
    </row>
    <row r="951">
      <c r="A951" s="3"/>
      <c r="B951" s="595"/>
      <c r="C951" s="3"/>
      <c r="D951" s="542"/>
      <c r="E951" s="3"/>
      <c r="F951" s="3"/>
      <c r="G951" s="3"/>
      <c r="H951" s="3"/>
      <c r="I951" s="639"/>
      <c r="J951" s="100"/>
      <c r="K951" s="100"/>
      <c r="L951" s="100"/>
    </row>
    <row r="952">
      <c r="A952" s="3"/>
      <c r="B952" s="595"/>
      <c r="C952" s="3"/>
      <c r="D952" s="542"/>
      <c r="E952" s="3"/>
      <c r="F952" s="3"/>
      <c r="G952" s="3"/>
      <c r="H952" s="3"/>
      <c r="I952" s="639"/>
      <c r="J952" s="100"/>
      <c r="K952" s="100"/>
      <c r="L952" s="100"/>
    </row>
    <row r="953">
      <c r="A953" s="3"/>
      <c r="B953" s="595"/>
      <c r="C953" s="3"/>
      <c r="D953" s="542"/>
      <c r="E953" s="3"/>
      <c r="F953" s="3"/>
      <c r="G953" s="3"/>
      <c r="H953" s="3"/>
      <c r="I953" s="639"/>
      <c r="J953" s="100"/>
      <c r="K953" s="100"/>
      <c r="L953" s="100"/>
    </row>
    <row r="954">
      <c r="A954" s="3"/>
      <c r="B954" s="595"/>
      <c r="C954" s="3"/>
      <c r="D954" s="542"/>
      <c r="E954" s="3"/>
      <c r="F954" s="3"/>
      <c r="G954" s="3"/>
      <c r="H954" s="3"/>
      <c r="I954" s="639"/>
      <c r="J954" s="100"/>
      <c r="K954" s="100"/>
      <c r="L954" s="100"/>
    </row>
    <row r="955">
      <c r="A955" s="3"/>
      <c r="B955" s="595"/>
      <c r="C955" s="3"/>
      <c r="D955" s="542"/>
      <c r="E955" s="3"/>
      <c r="F955" s="3"/>
      <c r="G955" s="3"/>
      <c r="H955" s="3"/>
      <c r="I955" s="639"/>
      <c r="J955" s="100"/>
      <c r="K955" s="100"/>
      <c r="L955" s="100"/>
    </row>
    <row r="956">
      <c r="A956" s="3"/>
      <c r="B956" s="595"/>
      <c r="C956" s="3"/>
      <c r="D956" s="542"/>
      <c r="E956" s="3"/>
      <c r="F956" s="3"/>
      <c r="G956" s="3"/>
      <c r="H956" s="3"/>
      <c r="I956" s="639"/>
      <c r="J956" s="100"/>
      <c r="K956" s="100"/>
      <c r="L956" s="100"/>
    </row>
    <row r="957">
      <c r="A957" s="3"/>
      <c r="B957" s="595"/>
      <c r="C957" s="3"/>
      <c r="D957" s="542"/>
      <c r="E957" s="3"/>
      <c r="F957" s="3"/>
      <c r="G957" s="3"/>
      <c r="H957" s="3"/>
      <c r="I957" s="639"/>
      <c r="J957" s="100"/>
      <c r="K957" s="100"/>
      <c r="L957" s="100"/>
    </row>
    <row r="958">
      <c r="A958" s="3"/>
      <c r="B958" s="595"/>
      <c r="C958" s="3"/>
      <c r="D958" s="542"/>
      <c r="E958" s="3"/>
      <c r="F958" s="3"/>
      <c r="G958" s="3"/>
      <c r="H958" s="3"/>
      <c r="I958" s="639"/>
      <c r="J958" s="100"/>
      <c r="K958" s="100"/>
      <c r="L958" s="100"/>
    </row>
    <row r="959">
      <c r="A959" s="3"/>
      <c r="B959" s="595"/>
      <c r="C959" s="3"/>
      <c r="D959" s="542"/>
      <c r="E959" s="3"/>
      <c r="F959" s="3"/>
      <c r="G959" s="3"/>
      <c r="H959" s="3"/>
      <c r="I959" s="639"/>
      <c r="J959" s="100"/>
      <c r="K959" s="100"/>
      <c r="L959" s="100"/>
    </row>
    <row r="960">
      <c r="A960" s="3"/>
      <c r="B960" s="595"/>
      <c r="C960" s="3"/>
      <c r="D960" s="542"/>
      <c r="E960" s="3"/>
      <c r="F960" s="3"/>
      <c r="G960" s="3"/>
      <c r="H960" s="3"/>
      <c r="I960" s="639"/>
      <c r="J960" s="100"/>
      <c r="K960" s="100"/>
      <c r="L960" s="100"/>
    </row>
    <row r="961">
      <c r="A961" s="3"/>
      <c r="B961" s="595"/>
      <c r="C961" s="3"/>
      <c r="D961" s="542"/>
      <c r="E961" s="3"/>
      <c r="F961" s="3"/>
      <c r="G961" s="3"/>
      <c r="H961" s="3"/>
      <c r="I961" s="639"/>
      <c r="J961" s="100"/>
      <c r="K961" s="100"/>
      <c r="L961" s="100"/>
    </row>
    <row r="962">
      <c r="A962" s="3"/>
      <c r="B962" s="595"/>
      <c r="C962" s="3"/>
      <c r="D962" s="542"/>
      <c r="E962" s="3"/>
      <c r="F962" s="3"/>
      <c r="G962" s="3"/>
      <c r="H962" s="3"/>
      <c r="I962" s="639"/>
      <c r="J962" s="100"/>
      <c r="K962" s="100"/>
      <c r="L962" s="100"/>
    </row>
    <row r="963">
      <c r="A963" s="3"/>
      <c r="B963" s="595"/>
      <c r="C963" s="3"/>
      <c r="D963" s="542"/>
      <c r="E963" s="3"/>
      <c r="F963" s="3"/>
      <c r="G963" s="3"/>
      <c r="H963" s="3"/>
      <c r="I963" s="639"/>
      <c r="J963" s="100"/>
      <c r="K963" s="100"/>
      <c r="L963" s="100"/>
    </row>
    <row r="964">
      <c r="A964" s="3"/>
      <c r="B964" s="595"/>
      <c r="C964" s="3"/>
      <c r="D964" s="542"/>
      <c r="E964" s="3"/>
      <c r="F964" s="3"/>
      <c r="G964" s="3"/>
      <c r="H964" s="3"/>
      <c r="I964" s="639"/>
      <c r="J964" s="100"/>
      <c r="K964" s="100"/>
      <c r="L964" s="100"/>
    </row>
    <row r="965">
      <c r="A965" s="3"/>
      <c r="B965" s="595"/>
      <c r="C965" s="3"/>
      <c r="D965" s="542"/>
      <c r="E965" s="3"/>
      <c r="F965" s="3"/>
      <c r="G965" s="3"/>
      <c r="H965" s="3"/>
      <c r="I965" s="639"/>
      <c r="J965" s="100"/>
      <c r="K965" s="100"/>
      <c r="L965" s="100"/>
    </row>
    <row r="966">
      <c r="A966" s="3"/>
      <c r="B966" s="595"/>
      <c r="C966" s="3"/>
      <c r="D966" s="542"/>
      <c r="E966" s="3"/>
      <c r="F966" s="3"/>
      <c r="G966" s="3"/>
      <c r="H966" s="3"/>
      <c r="I966" s="639"/>
      <c r="J966" s="100"/>
      <c r="K966" s="100"/>
      <c r="L966" s="100"/>
    </row>
    <row r="967">
      <c r="A967" s="3"/>
      <c r="B967" s="595"/>
      <c r="C967" s="3"/>
      <c r="D967" s="542"/>
      <c r="E967" s="3"/>
      <c r="F967" s="3"/>
      <c r="G967" s="3"/>
      <c r="H967" s="3"/>
      <c r="I967" s="639"/>
      <c r="J967" s="100"/>
      <c r="K967" s="100"/>
      <c r="L967" s="100"/>
    </row>
    <row r="968">
      <c r="A968" s="3"/>
      <c r="B968" s="595"/>
      <c r="C968" s="3"/>
      <c r="D968" s="542"/>
      <c r="E968" s="3"/>
      <c r="F968" s="3"/>
      <c r="G968" s="3"/>
      <c r="H968" s="3"/>
      <c r="I968" s="639"/>
      <c r="J968" s="100"/>
      <c r="K968" s="100"/>
      <c r="L968" s="100"/>
    </row>
    <row r="969">
      <c r="A969" s="3"/>
      <c r="B969" s="595"/>
      <c r="C969" s="3"/>
      <c r="D969" s="542"/>
      <c r="E969" s="3"/>
      <c r="F969" s="3"/>
      <c r="G969" s="3"/>
      <c r="H969" s="3"/>
      <c r="I969" s="639"/>
      <c r="J969" s="100"/>
      <c r="K969" s="100"/>
      <c r="L969" s="100"/>
    </row>
    <row r="970">
      <c r="A970" s="3"/>
      <c r="B970" s="595"/>
      <c r="C970" s="3"/>
      <c r="D970" s="542"/>
      <c r="E970" s="3"/>
      <c r="F970" s="3"/>
      <c r="G970" s="3"/>
      <c r="H970" s="3"/>
      <c r="I970" s="639"/>
      <c r="J970" s="100"/>
      <c r="K970" s="100"/>
      <c r="L970" s="100"/>
    </row>
    <row r="971">
      <c r="A971" s="3"/>
      <c r="B971" s="595"/>
      <c r="C971" s="3"/>
      <c r="D971" s="542"/>
      <c r="E971" s="3"/>
      <c r="F971" s="3"/>
      <c r="G971" s="3"/>
      <c r="H971" s="3"/>
      <c r="I971" s="639"/>
      <c r="J971" s="100"/>
      <c r="K971" s="100"/>
      <c r="L971" s="100"/>
    </row>
    <row r="972">
      <c r="A972" s="3"/>
      <c r="B972" s="595"/>
      <c r="C972" s="3"/>
      <c r="D972" s="542"/>
      <c r="E972" s="3"/>
      <c r="F972" s="3"/>
      <c r="G972" s="3"/>
      <c r="H972" s="3"/>
      <c r="I972" s="639"/>
      <c r="J972" s="100"/>
      <c r="K972" s="100"/>
      <c r="L972" s="100"/>
    </row>
    <row r="973">
      <c r="A973" s="3"/>
      <c r="B973" s="595"/>
      <c r="C973" s="3"/>
      <c r="D973" s="542"/>
      <c r="E973" s="3"/>
      <c r="F973" s="3"/>
      <c r="G973" s="3"/>
      <c r="H973" s="3"/>
      <c r="I973" s="639"/>
      <c r="J973" s="100"/>
      <c r="K973" s="100"/>
      <c r="L973" s="100"/>
    </row>
    <row r="974">
      <c r="A974" s="3"/>
      <c r="B974" s="595"/>
      <c r="C974" s="3"/>
      <c r="D974" s="542"/>
      <c r="E974" s="3"/>
      <c r="F974" s="3"/>
      <c r="G974" s="3"/>
      <c r="H974" s="3"/>
      <c r="I974" s="639"/>
      <c r="J974" s="100"/>
      <c r="K974" s="100"/>
      <c r="L974" s="100"/>
    </row>
    <row r="975">
      <c r="A975" s="3"/>
      <c r="B975" s="595"/>
      <c r="C975" s="3"/>
      <c r="D975" s="542"/>
      <c r="E975" s="3"/>
      <c r="F975" s="3"/>
      <c r="G975" s="3"/>
      <c r="H975" s="3"/>
      <c r="I975" s="639"/>
      <c r="J975" s="100"/>
      <c r="K975" s="100"/>
      <c r="L975" s="100"/>
    </row>
    <row r="976">
      <c r="A976" s="3"/>
      <c r="B976" s="595"/>
      <c r="C976" s="3"/>
      <c r="D976" s="542"/>
      <c r="E976" s="3"/>
      <c r="F976" s="3"/>
      <c r="G976" s="3"/>
      <c r="H976" s="3"/>
      <c r="I976" s="639"/>
      <c r="J976" s="100"/>
      <c r="K976" s="100"/>
      <c r="L976" s="100"/>
    </row>
    <row r="977">
      <c r="A977" s="3"/>
      <c r="B977" s="595"/>
      <c r="C977" s="3"/>
      <c r="D977" s="542"/>
      <c r="E977" s="3"/>
      <c r="F977" s="3"/>
      <c r="G977" s="3"/>
      <c r="H977" s="3"/>
      <c r="I977" s="639"/>
      <c r="J977" s="100"/>
      <c r="K977" s="100"/>
      <c r="L977" s="100"/>
    </row>
    <row r="978">
      <c r="A978" s="3"/>
      <c r="B978" s="595"/>
      <c r="C978" s="3"/>
      <c r="D978" s="542"/>
      <c r="E978" s="3"/>
      <c r="F978" s="3"/>
      <c r="G978" s="3"/>
      <c r="H978" s="3"/>
      <c r="I978" s="639"/>
      <c r="J978" s="100"/>
      <c r="K978" s="100"/>
      <c r="L978" s="100"/>
    </row>
    <row r="979">
      <c r="A979" s="3"/>
      <c r="B979" s="595"/>
      <c r="C979" s="3"/>
      <c r="D979" s="542"/>
      <c r="E979" s="3"/>
      <c r="F979" s="3"/>
      <c r="G979" s="3"/>
      <c r="H979" s="3"/>
      <c r="I979" s="639"/>
      <c r="J979" s="100"/>
      <c r="K979" s="100"/>
      <c r="L979" s="100"/>
    </row>
    <row r="980">
      <c r="A980" s="3"/>
      <c r="B980" s="595"/>
      <c r="C980" s="3"/>
      <c r="D980" s="542"/>
      <c r="E980" s="3"/>
      <c r="F980" s="3"/>
      <c r="G980" s="3"/>
      <c r="H980" s="3"/>
      <c r="I980" s="639"/>
      <c r="J980" s="100"/>
      <c r="K980" s="100"/>
      <c r="L980" s="100"/>
    </row>
    <row r="981">
      <c r="A981" s="3"/>
      <c r="B981" s="595"/>
      <c r="C981" s="3"/>
      <c r="D981" s="542"/>
      <c r="E981" s="3"/>
      <c r="F981" s="3"/>
      <c r="G981" s="3"/>
      <c r="H981" s="3"/>
      <c r="I981" s="639"/>
      <c r="J981" s="100"/>
      <c r="K981" s="100"/>
      <c r="L981" s="100"/>
    </row>
    <row r="982">
      <c r="A982" s="3"/>
      <c r="B982" s="595"/>
      <c r="C982" s="3"/>
      <c r="D982" s="542"/>
      <c r="E982" s="3"/>
      <c r="F982" s="3"/>
      <c r="G982" s="3"/>
      <c r="H982" s="3"/>
      <c r="I982" s="639"/>
      <c r="J982" s="100"/>
      <c r="K982" s="100"/>
      <c r="L982" s="100"/>
    </row>
    <row r="983">
      <c r="A983" s="3"/>
      <c r="B983" s="595"/>
      <c r="C983" s="3"/>
      <c r="D983" s="542"/>
      <c r="E983" s="3"/>
      <c r="F983" s="3"/>
      <c r="G983" s="3"/>
      <c r="H983" s="3"/>
      <c r="I983" s="639"/>
      <c r="J983" s="100"/>
      <c r="K983" s="100"/>
      <c r="L983" s="100"/>
    </row>
    <row r="984">
      <c r="A984" s="3"/>
      <c r="B984" s="595"/>
      <c r="C984" s="3"/>
      <c r="D984" s="542"/>
      <c r="E984" s="3"/>
      <c r="F984" s="3"/>
      <c r="G984" s="3"/>
      <c r="H984" s="3"/>
      <c r="I984" s="639"/>
      <c r="J984" s="100"/>
      <c r="K984" s="100"/>
      <c r="L984" s="100"/>
    </row>
    <row r="985">
      <c r="A985" s="3"/>
      <c r="B985" s="595"/>
      <c r="C985" s="3"/>
      <c r="D985" s="542"/>
      <c r="E985" s="3"/>
      <c r="F985" s="3"/>
      <c r="G985" s="3"/>
      <c r="H985" s="3"/>
      <c r="I985" s="639"/>
      <c r="J985" s="100"/>
      <c r="K985" s="100"/>
      <c r="L985" s="100"/>
    </row>
    <row r="986">
      <c r="A986" s="3"/>
      <c r="B986" s="595"/>
      <c r="C986" s="3"/>
      <c r="D986" s="542"/>
      <c r="E986" s="3"/>
      <c r="F986" s="3"/>
      <c r="G986" s="3"/>
      <c r="H986" s="3"/>
      <c r="I986" s="639"/>
      <c r="J986" s="100"/>
      <c r="K986" s="100"/>
      <c r="L986" s="100"/>
    </row>
    <row r="987">
      <c r="A987" s="3"/>
      <c r="B987" s="595"/>
      <c r="C987" s="3"/>
      <c r="D987" s="542"/>
      <c r="E987" s="3"/>
      <c r="F987" s="3"/>
      <c r="G987" s="3"/>
      <c r="H987" s="3"/>
      <c r="I987" s="639"/>
      <c r="J987" s="100"/>
      <c r="K987" s="100"/>
      <c r="L987" s="100"/>
    </row>
    <row r="988">
      <c r="A988" s="3"/>
      <c r="B988" s="595"/>
      <c r="C988" s="3"/>
      <c r="D988" s="542"/>
      <c r="E988" s="3"/>
      <c r="F988" s="3"/>
      <c r="G988" s="3"/>
      <c r="H988" s="3"/>
      <c r="I988" s="639"/>
      <c r="J988" s="100"/>
      <c r="K988" s="100"/>
      <c r="L988" s="100"/>
    </row>
    <row r="989">
      <c r="A989" s="3"/>
      <c r="B989" s="595"/>
      <c r="C989" s="3"/>
      <c r="D989" s="542"/>
      <c r="E989" s="3"/>
      <c r="F989" s="3"/>
      <c r="G989" s="3"/>
      <c r="H989" s="3"/>
      <c r="I989" s="639"/>
      <c r="J989" s="100"/>
      <c r="K989" s="100"/>
      <c r="L989" s="100"/>
    </row>
    <row r="990">
      <c r="A990" s="3"/>
      <c r="B990" s="595"/>
      <c r="C990" s="3"/>
      <c r="D990" s="542"/>
      <c r="E990" s="3"/>
      <c r="F990" s="3"/>
      <c r="G990" s="3"/>
      <c r="H990" s="3"/>
      <c r="I990" s="639"/>
      <c r="J990" s="100"/>
      <c r="K990" s="100"/>
      <c r="L990" s="100"/>
    </row>
    <row r="991">
      <c r="A991" s="3"/>
      <c r="B991" s="595"/>
      <c r="C991" s="3"/>
      <c r="D991" s="542"/>
      <c r="E991" s="3"/>
      <c r="F991" s="3"/>
      <c r="G991" s="3"/>
      <c r="H991" s="3"/>
      <c r="I991" s="639"/>
      <c r="J991" s="100"/>
      <c r="K991" s="100"/>
      <c r="L991" s="100"/>
    </row>
    <row r="992">
      <c r="A992" s="3"/>
      <c r="B992" s="595"/>
      <c r="C992" s="3"/>
      <c r="D992" s="542"/>
      <c r="E992" s="3"/>
      <c r="F992" s="3"/>
      <c r="G992" s="3"/>
      <c r="H992" s="3"/>
      <c r="I992" s="639"/>
      <c r="J992" s="100"/>
      <c r="K992" s="100"/>
      <c r="L992" s="100"/>
    </row>
    <row r="993">
      <c r="A993" s="3"/>
      <c r="B993" s="595"/>
      <c r="C993" s="3"/>
      <c r="D993" s="542"/>
      <c r="E993" s="3"/>
      <c r="F993" s="3"/>
      <c r="G993" s="3"/>
      <c r="H993" s="3"/>
      <c r="I993" s="639"/>
      <c r="J993" s="100"/>
      <c r="K993" s="100"/>
      <c r="L993" s="100"/>
    </row>
    <row r="994">
      <c r="A994" s="3"/>
      <c r="B994" s="595"/>
      <c r="C994" s="3"/>
      <c r="D994" s="542"/>
      <c r="E994" s="3"/>
      <c r="F994" s="3"/>
      <c r="G994" s="3"/>
      <c r="H994" s="3"/>
      <c r="I994" s="639"/>
      <c r="J994" s="100"/>
      <c r="K994" s="100"/>
      <c r="L994" s="100"/>
    </row>
    <row r="995">
      <c r="A995" s="3"/>
      <c r="B995" s="595"/>
      <c r="C995" s="3"/>
      <c r="D995" s="542"/>
      <c r="E995" s="3"/>
      <c r="F995" s="3"/>
      <c r="G995" s="3"/>
      <c r="H995" s="3"/>
      <c r="I995" s="639"/>
      <c r="J995" s="100"/>
      <c r="K995" s="100"/>
      <c r="L995" s="100"/>
    </row>
    <row r="996">
      <c r="A996" s="3"/>
      <c r="B996" s="595"/>
      <c r="C996" s="3"/>
      <c r="D996" s="542"/>
      <c r="E996" s="3"/>
      <c r="F996" s="3"/>
      <c r="G996" s="3"/>
      <c r="H996" s="3"/>
      <c r="I996" s="639"/>
      <c r="J996" s="100"/>
      <c r="K996" s="100"/>
      <c r="L996" s="100"/>
    </row>
    <row r="997">
      <c r="A997" s="3"/>
      <c r="B997" s="595"/>
      <c r="C997" s="3"/>
      <c r="D997" s="542"/>
      <c r="E997" s="3"/>
      <c r="F997" s="3"/>
      <c r="G997" s="3"/>
      <c r="H997" s="3"/>
      <c r="I997" s="639"/>
      <c r="J997" s="100"/>
      <c r="K997" s="100"/>
      <c r="L997" s="100"/>
    </row>
    <row r="998">
      <c r="A998" s="3"/>
      <c r="B998" s="595"/>
      <c r="C998" s="3"/>
      <c r="D998" s="542"/>
      <c r="E998" s="3"/>
      <c r="F998" s="3"/>
      <c r="G998" s="3"/>
      <c r="H998" s="3"/>
      <c r="I998" s="639"/>
      <c r="J998" s="100"/>
      <c r="K998" s="100"/>
      <c r="L998" s="100"/>
    </row>
    <row r="999">
      <c r="A999" s="3"/>
      <c r="B999" s="595"/>
      <c r="C999" s="3"/>
      <c r="D999" s="542"/>
      <c r="E999" s="3"/>
      <c r="F999" s="3"/>
      <c r="G999" s="3"/>
      <c r="H999" s="3"/>
      <c r="I999" s="639"/>
      <c r="J999" s="100"/>
      <c r="K999" s="100"/>
      <c r="L999" s="100"/>
    </row>
    <row r="1000">
      <c r="A1000" s="3"/>
      <c r="B1000" s="595"/>
      <c r="C1000" s="3"/>
      <c r="D1000" s="542"/>
      <c r="E1000" s="3"/>
      <c r="F1000" s="3"/>
      <c r="G1000" s="3"/>
      <c r="H1000" s="3"/>
      <c r="I1000" s="639"/>
      <c r="J1000" s="100"/>
      <c r="K1000" s="100"/>
      <c r="L1000" s="100"/>
    </row>
    <row r="1001">
      <c r="A1001" s="3"/>
      <c r="B1001" s="595"/>
      <c r="C1001" s="3"/>
      <c r="D1001" s="542"/>
      <c r="E1001" s="3"/>
      <c r="F1001" s="3"/>
      <c r="G1001" s="3"/>
      <c r="H1001" s="3"/>
      <c r="I1001" s="639"/>
      <c r="J1001" s="100"/>
      <c r="K1001" s="100"/>
      <c r="L1001" s="100"/>
    </row>
    <row r="1002">
      <c r="A1002" s="3"/>
      <c r="B1002" s="595"/>
      <c r="C1002" s="3"/>
      <c r="D1002" s="542"/>
      <c r="E1002" s="3"/>
      <c r="F1002" s="3"/>
      <c r="G1002" s="3"/>
      <c r="H1002" s="3"/>
      <c r="I1002" s="639"/>
      <c r="J1002" s="100"/>
      <c r="K1002" s="100"/>
      <c r="L1002" s="100"/>
    </row>
    <row r="1003">
      <c r="A1003" s="3"/>
      <c r="B1003" s="595"/>
      <c r="C1003" s="3"/>
      <c r="D1003" s="542"/>
      <c r="E1003" s="3"/>
      <c r="F1003" s="3"/>
      <c r="G1003" s="3"/>
      <c r="H1003" s="3"/>
      <c r="I1003" s="639"/>
      <c r="J1003" s="100"/>
      <c r="K1003" s="100"/>
      <c r="L1003" s="100"/>
    </row>
    <row r="1004">
      <c r="A1004" s="3"/>
      <c r="B1004" s="595"/>
      <c r="C1004" s="3"/>
      <c r="D1004" s="542"/>
      <c r="E1004" s="3"/>
      <c r="F1004" s="3"/>
      <c r="G1004" s="3"/>
      <c r="H1004" s="3"/>
      <c r="I1004" s="639"/>
      <c r="J1004" s="100"/>
      <c r="K1004" s="100"/>
      <c r="L1004" s="100"/>
    </row>
    <row r="1005">
      <c r="A1005" s="3"/>
      <c r="B1005" s="595"/>
      <c r="C1005" s="3"/>
      <c r="D1005" s="542"/>
      <c r="E1005" s="3"/>
      <c r="F1005" s="3"/>
      <c r="G1005" s="3"/>
      <c r="H1005" s="3"/>
      <c r="I1005" s="639"/>
      <c r="J1005" s="100"/>
      <c r="K1005" s="100"/>
      <c r="L1005" s="100"/>
    </row>
    <row r="1006">
      <c r="A1006" s="3"/>
      <c r="B1006" s="595"/>
      <c r="C1006" s="3"/>
      <c r="D1006" s="542"/>
      <c r="E1006" s="3"/>
      <c r="F1006" s="3"/>
      <c r="G1006" s="3"/>
      <c r="H1006" s="3"/>
      <c r="I1006" s="639"/>
      <c r="J1006" s="100"/>
      <c r="K1006" s="100"/>
      <c r="L1006" s="100"/>
    </row>
    <row r="1007">
      <c r="A1007" s="3"/>
      <c r="B1007" s="595"/>
      <c r="C1007" s="3"/>
      <c r="D1007" s="542"/>
      <c r="E1007" s="3"/>
      <c r="F1007" s="3"/>
      <c r="G1007" s="3"/>
      <c r="H1007" s="3"/>
      <c r="I1007" s="639"/>
      <c r="J1007" s="100"/>
      <c r="K1007" s="100"/>
      <c r="L1007" s="100"/>
    </row>
    <row r="1008">
      <c r="A1008" s="3"/>
      <c r="B1008" s="595"/>
      <c r="C1008" s="3"/>
      <c r="D1008" s="542"/>
      <c r="E1008" s="3"/>
      <c r="F1008" s="3"/>
      <c r="G1008" s="3"/>
      <c r="H1008" s="3"/>
      <c r="I1008" s="639"/>
      <c r="J1008" s="100"/>
      <c r="K1008" s="100"/>
      <c r="L1008" s="100"/>
    </row>
    <row r="1009">
      <c r="A1009" s="3"/>
      <c r="B1009" s="595"/>
      <c r="C1009" s="3"/>
      <c r="D1009" s="542"/>
      <c r="E1009" s="3"/>
      <c r="F1009" s="3"/>
      <c r="G1009" s="3"/>
      <c r="H1009" s="3"/>
      <c r="I1009" s="639"/>
      <c r="J1009" s="100"/>
      <c r="K1009" s="100"/>
      <c r="L1009" s="100"/>
    </row>
    <row r="1010">
      <c r="A1010" s="3"/>
      <c r="B1010" s="595"/>
      <c r="C1010" s="3"/>
      <c r="D1010" s="542"/>
      <c r="E1010" s="3"/>
      <c r="F1010" s="3"/>
      <c r="G1010" s="3"/>
      <c r="H1010" s="3"/>
      <c r="I1010" s="639"/>
      <c r="J1010" s="100"/>
      <c r="K1010" s="100"/>
      <c r="L1010" s="100"/>
    </row>
    <row r="1011">
      <c r="A1011" s="3"/>
      <c r="B1011" s="595"/>
      <c r="C1011" s="3"/>
      <c r="D1011" s="542"/>
      <c r="E1011" s="3"/>
      <c r="F1011" s="3"/>
      <c r="G1011" s="3"/>
      <c r="H1011" s="3"/>
      <c r="I1011" s="639"/>
      <c r="J1011" s="100"/>
      <c r="K1011" s="100"/>
      <c r="L1011" s="100"/>
    </row>
    <row r="1012">
      <c r="A1012" s="3"/>
      <c r="B1012" s="595"/>
      <c r="C1012" s="3"/>
      <c r="D1012" s="542"/>
      <c r="E1012" s="3"/>
      <c r="F1012" s="3"/>
      <c r="G1012" s="3"/>
      <c r="H1012" s="3"/>
      <c r="I1012" s="639"/>
      <c r="J1012" s="100"/>
      <c r="K1012" s="100"/>
      <c r="L1012" s="100"/>
    </row>
    <row r="1013">
      <c r="A1013" s="3"/>
      <c r="B1013" s="595"/>
      <c r="C1013" s="3"/>
      <c r="D1013" s="542"/>
      <c r="E1013" s="3"/>
      <c r="F1013" s="3"/>
      <c r="G1013" s="3"/>
      <c r="H1013" s="3"/>
      <c r="I1013" s="639"/>
      <c r="J1013" s="100"/>
      <c r="K1013" s="100"/>
      <c r="L1013" s="100"/>
    </row>
    <row r="1014">
      <c r="A1014" s="3"/>
      <c r="B1014" s="595"/>
      <c r="C1014" s="3"/>
      <c r="D1014" s="542"/>
      <c r="E1014" s="3"/>
      <c r="F1014" s="3"/>
      <c r="G1014" s="3"/>
      <c r="H1014" s="3"/>
      <c r="I1014" s="639"/>
      <c r="J1014" s="100"/>
      <c r="K1014" s="100"/>
      <c r="L1014" s="100"/>
    </row>
    <row r="1015">
      <c r="A1015" s="3"/>
      <c r="B1015" s="595"/>
      <c r="C1015" s="3"/>
      <c r="D1015" s="542"/>
      <c r="E1015" s="3"/>
      <c r="F1015" s="3"/>
      <c r="G1015" s="3"/>
      <c r="H1015" s="3"/>
      <c r="I1015" s="639"/>
      <c r="J1015" s="100"/>
      <c r="K1015" s="100"/>
      <c r="L1015" s="100"/>
    </row>
    <row r="1016">
      <c r="A1016" s="3"/>
      <c r="B1016" s="595"/>
      <c r="C1016" s="3"/>
      <c r="D1016" s="542"/>
      <c r="E1016" s="3"/>
      <c r="F1016" s="3"/>
      <c r="G1016" s="3"/>
      <c r="H1016" s="3"/>
      <c r="I1016" s="639"/>
      <c r="J1016" s="100"/>
      <c r="K1016" s="100"/>
      <c r="L1016" s="100"/>
    </row>
    <row r="1017">
      <c r="A1017" s="3"/>
      <c r="B1017" s="595"/>
      <c r="C1017" s="3"/>
      <c r="D1017" s="542"/>
      <c r="E1017" s="3"/>
      <c r="F1017" s="3"/>
      <c r="G1017" s="3"/>
      <c r="H1017" s="3"/>
      <c r="I1017" s="639"/>
      <c r="J1017" s="100"/>
      <c r="K1017" s="100"/>
      <c r="L1017" s="100"/>
    </row>
    <row r="1018">
      <c r="A1018" s="3"/>
      <c r="B1018" s="595"/>
      <c r="C1018" s="3"/>
      <c r="D1018" s="542"/>
      <c r="E1018" s="3"/>
      <c r="F1018" s="3"/>
      <c r="G1018" s="3"/>
      <c r="H1018" s="3"/>
      <c r="I1018" s="639"/>
      <c r="J1018" s="100"/>
      <c r="K1018" s="100"/>
      <c r="L1018" s="100"/>
    </row>
    <row r="1019">
      <c r="A1019" s="3"/>
      <c r="B1019" s="595"/>
      <c r="C1019" s="3"/>
      <c r="D1019" s="542"/>
      <c r="E1019" s="3"/>
      <c r="F1019" s="3"/>
      <c r="G1019" s="3"/>
      <c r="H1019" s="3"/>
      <c r="I1019" s="639"/>
      <c r="J1019" s="100"/>
      <c r="K1019" s="100"/>
      <c r="L1019" s="100"/>
    </row>
    <row r="1020">
      <c r="A1020" s="3"/>
      <c r="B1020" s="595"/>
      <c r="C1020" s="3"/>
      <c r="D1020" s="542"/>
      <c r="E1020" s="3"/>
      <c r="F1020" s="3"/>
      <c r="G1020" s="3"/>
      <c r="H1020" s="3"/>
      <c r="I1020" s="639"/>
      <c r="J1020" s="100"/>
      <c r="K1020" s="100"/>
      <c r="L1020" s="100"/>
    </row>
    <row r="1021">
      <c r="A1021" s="3"/>
      <c r="B1021" s="595"/>
      <c r="C1021" s="3"/>
      <c r="D1021" s="542"/>
      <c r="E1021" s="3"/>
      <c r="F1021" s="3"/>
      <c r="G1021" s="3"/>
      <c r="H1021" s="3"/>
      <c r="I1021" s="639"/>
      <c r="J1021" s="100"/>
      <c r="K1021" s="100"/>
      <c r="L1021" s="100"/>
    </row>
    <row r="1022">
      <c r="A1022" s="3"/>
      <c r="B1022" s="595"/>
      <c r="C1022" s="3"/>
      <c r="D1022" s="542"/>
      <c r="E1022" s="3"/>
      <c r="F1022" s="3"/>
      <c r="G1022" s="3"/>
      <c r="H1022" s="3"/>
      <c r="I1022" s="639"/>
      <c r="J1022" s="100"/>
      <c r="K1022" s="100"/>
      <c r="L1022" s="100"/>
    </row>
    <row r="1023">
      <c r="A1023" s="3"/>
      <c r="B1023" s="595"/>
      <c r="C1023" s="3"/>
      <c r="D1023" s="542"/>
      <c r="E1023" s="3"/>
      <c r="F1023" s="3"/>
      <c r="G1023" s="3"/>
      <c r="H1023" s="3"/>
      <c r="I1023" s="639"/>
      <c r="J1023" s="100"/>
      <c r="K1023" s="100"/>
      <c r="L1023" s="100"/>
    </row>
    <row r="1024">
      <c r="A1024" s="3"/>
      <c r="B1024" s="595"/>
      <c r="C1024" s="3"/>
      <c r="D1024" s="542"/>
      <c r="E1024" s="3"/>
      <c r="F1024" s="3"/>
      <c r="G1024" s="3"/>
      <c r="H1024" s="3"/>
      <c r="I1024" s="639"/>
      <c r="J1024" s="100"/>
      <c r="K1024" s="100"/>
      <c r="L1024" s="100"/>
    </row>
    <row r="1025">
      <c r="A1025" s="3"/>
      <c r="B1025" s="595"/>
      <c r="C1025" s="3"/>
      <c r="D1025" s="542"/>
      <c r="E1025" s="3"/>
      <c r="F1025" s="3"/>
      <c r="G1025" s="3"/>
      <c r="H1025" s="3"/>
      <c r="I1025" s="639"/>
      <c r="J1025" s="100"/>
      <c r="K1025" s="100"/>
      <c r="L1025" s="100"/>
    </row>
    <row r="1026">
      <c r="A1026" s="3"/>
      <c r="B1026" s="595"/>
      <c r="C1026" s="3"/>
      <c r="D1026" s="542"/>
      <c r="E1026" s="3"/>
      <c r="F1026" s="3"/>
      <c r="G1026" s="3"/>
      <c r="H1026" s="3"/>
      <c r="I1026" s="639"/>
      <c r="J1026" s="100"/>
      <c r="K1026" s="100"/>
      <c r="L1026" s="100"/>
    </row>
    <row r="1027">
      <c r="A1027" s="3"/>
      <c r="B1027" s="595"/>
      <c r="C1027" s="3"/>
      <c r="D1027" s="542"/>
      <c r="E1027" s="3"/>
      <c r="F1027" s="3"/>
      <c r="G1027" s="3"/>
      <c r="H1027" s="3"/>
      <c r="I1027" s="639"/>
      <c r="J1027" s="100"/>
      <c r="K1027" s="100"/>
      <c r="L1027" s="100"/>
    </row>
    <row r="1028">
      <c r="A1028" s="3"/>
      <c r="B1028" s="595"/>
      <c r="C1028" s="3"/>
      <c r="D1028" s="542"/>
      <c r="E1028" s="3"/>
      <c r="F1028" s="3"/>
      <c r="G1028" s="3"/>
      <c r="H1028" s="3"/>
      <c r="I1028" s="639"/>
      <c r="J1028" s="100"/>
      <c r="K1028" s="100"/>
      <c r="L1028" s="100"/>
    </row>
    <row r="1029">
      <c r="A1029" s="3"/>
      <c r="B1029" s="595"/>
      <c r="C1029" s="3"/>
      <c r="D1029" s="542"/>
      <c r="E1029" s="3"/>
      <c r="F1029" s="3"/>
      <c r="G1029" s="3"/>
      <c r="H1029" s="3"/>
      <c r="I1029" s="639"/>
      <c r="J1029" s="100"/>
      <c r="K1029" s="100"/>
      <c r="L1029" s="100"/>
    </row>
    <row r="1030">
      <c r="A1030" s="3"/>
      <c r="B1030" s="595"/>
      <c r="C1030" s="3"/>
      <c r="D1030" s="542"/>
      <c r="E1030" s="3"/>
      <c r="F1030" s="3"/>
      <c r="G1030" s="3"/>
      <c r="H1030" s="3"/>
      <c r="I1030" s="639"/>
      <c r="J1030" s="100"/>
      <c r="K1030" s="100"/>
      <c r="L1030" s="100"/>
    </row>
    <row r="1031">
      <c r="A1031" s="3"/>
      <c r="B1031" s="595"/>
      <c r="C1031" s="3"/>
      <c r="D1031" s="542"/>
      <c r="E1031" s="3"/>
      <c r="F1031" s="3"/>
      <c r="G1031" s="3"/>
      <c r="H1031" s="3"/>
      <c r="I1031" s="639"/>
      <c r="J1031" s="100"/>
      <c r="K1031" s="100"/>
      <c r="L1031" s="100"/>
    </row>
    <row r="1032">
      <c r="A1032" s="3"/>
      <c r="B1032" s="595"/>
      <c r="C1032" s="3"/>
      <c r="D1032" s="542"/>
      <c r="E1032" s="3"/>
      <c r="F1032" s="3"/>
      <c r="G1032" s="3"/>
      <c r="H1032" s="3"/>
      <c r="I1032" s="639"/>
      <c r="J1032" s="100"/>
      <c r="K1032" s="100"/>
      <c r="L1032" s="100"/>
    </row>
    <row r="1033">
      <c r="A1033" s="3"/>
      <c r="B1033" s="595"/>
      <c r="C1033" s="3"/>
      <c r="D1033" s="542"/>
      <c r="E1033" s="3"/>
      <c r="F1033" s="3"/>
      <c r="G1033" s="3"/>
      <c r="H1033" s="3"/>
      <c r="I1033" s="639"/>
      <c r="J1033" s="100"/>
      <c r="K1033" s="100"/>
      <c r="L1033" s="100"/>
    </row>
    <row r="1034">
      <c r="A1034" s="3"/>
      <c r="B1034" s="595"/>
      <c r="C1034" s="3"/>
      <c r="D1034" s="542"/>
      <c r="E1034" s="3"/>
      <c r="F1034" s="3"/>
      <c r="G1034" s="3"/>
      <c r="H1034" s="3"/>
      <c r="I1034" s="639"/>
      <c r="J1034" s="100"/>
      <c r="K1034" s="100"/>
      <c r="L1034" s="100"/>
    </row>
    <row r="1035">
      <c r="A1035" s="3"/>
      <c r="B1035" s="595"/>
      <c r="C1035" s="3"/>
      <c r="D1035" s="542"/>
      <c r="E1035" s="3"/>
      <c r="F1035" s="3"/>
      <c r="G1035" s="3"/>
      <c r="H1035" s="3"/>
      <c r="I1035" s="639"/>
      <c r="J1035" s="100"/>
      <c r="K1035" s="100"/>
      <c r="L1035" s="100"/>
    </row>
    <row r="1036">
      <c r="A1036" s="3"/>
      <c r="B1036" s="595"/>
      <c r="C1036" s="3"/>
      <c r="D1036" s="542"/>
      <c r="E1036" s="3"/>
      <c r="F1036" s="3"/>
      <c r="G1036" s="3"/>
      <c r="H1036" s="3"/>
      <c r="I1036" s="639"/>
      <c r="J1036" s="100"/>
      <c r="K1036" s="100"/>
      <c r="L1036" s="100"/>
    </row>
    <row r="1037">
      <c r="A1037" s="3"/>
      <c r="B1037" s="595"/>
      <c r="C1037" s="3"/>
      <c r="D1037" s="542"/>
      <c r="E1037" s="3"/>
      <c r="F1037" s="3"/>
      <c r="G1037" s="3"/>
      <c r="H1037" s="3"/>
      <c r="I1037" s="639"/>
      <c r="J1037" s="100"/>
      <c r="K1037" s="100"/>
      <c r="L1037" s="100"/>
    </row>
    <row r="1038">
      <c r="A1038" s="3"/>
      <c r="B1038" s="595"/>
      <c r="C1038" s="3"/>
      <c r="D1038" s="542"/>
      <c r="E1038" s="3"/>
      <c r="F1038" s="3"/>
      <c r="G1038" s="3"/>
      <c r="H1038" s="3"/>
      <c r="I1038" s="639"/>
      <c r="J1038" s="100"/>
      <c r="K1038" s="100"/>
      <c r="L1038" s="100"/>
    </row>
    <row r="1039">
      <c r="A1039" s="3"/>
      <c r="B1039" s="595"/>
      <c r="C1039" s="3"/>
      <c r="D1039" s="542"/>
      <c r="E1039" s="3"/>
      <c r="F1039" s="3"/>
      <c r="G1039" s="3"/>
      <c r="H1039" s="3"/>
      <c r="I1039" s="639"/>
      <c r="J1039" s="100"/>
      <c r="K1039" s="100"/>
      <c r="L1039" s="100"/>
    </row>
    <row r="1040">
      <c r="A1040" s="3"/>
      <c r="B1040" s="595"/>
      <c r="C1040" s="3"/>
      <c r="D1040" s="542"/>
      <c r="E1040" s="3"/>
      <c r="F1040" s="3"/>
      <c r="G1040" s="3"/>
      <c r="H1040" s="3"/>
      <c r="I1040" s="639"/>
      <c r="J1040" s="100"/>
      <c r="K1040" s="100"/>
      <c r="L1040" s="100"/>
    </row>
    <row r="1041">
      <c r="A1041" s="3"/>
      <c r="B1041" s="595"/>
      <c r="C1041" s="3"/>
      <c r="D1041" s="542"/>
      <c r="E1041" s="3"/>
      <c r="F1041" s="3"/>
      <c r="G1041" s="3"/>
      <c r="H1041" s="3"/>
      <c r="I1041" s="639"/>
      <c r="J1041" s="100"/>
      <c r="K1041" s="100"/>
      <c r="L1041" s="100"/>
    </row>
    <row r="1042">
      <c r="A1042" s="3"/>
      <c r="B1042" s="595"/>
      <c r="C1042" s="3"/>
      <c r="D1042" s="542"/>
      <c r="E1042" s="3"/>
      <c r="F1042" s="3"/>
      <c r="G1042" s="3"/>
      <c r="H1042" s="3"/>
      <c r="I1042" s="639"/>
      <c r="J1042" s="100"/>
      <c r="K1042" s="100"/>
      <c r="L1042" s="100"/>
    </row>
    <row r="1043">
      <c r="A1043" s="3"/>
      <c r="B1043" s="595"/>
      <c r="C1043" s="3"/>
      <c r="D1043" s="542"/>
      <c r="E1043" s="3"/>
      <c r="F1043" s="3"/>
      <c r="G1043" s="3"/>
      <c r="H1043" s="3"/>
      <c r="I1043" s="639"/>
      <c r="J1043" s="100"/>
      <c r="K1043" s="100"/>
      <c r="L1043" s="100"/>
    </row>
    <row r="1044">
      <c r="A1044" s="3"/>
      <c r="B1044" s="595"/>
      <c r="C1044" s="3"/>
      <c r="D1044" s="542"/>
      <c r="E1044" s="3"/>
      <c r="F1044" s="3"/>
      <c r="G1044" s="3"/>
      <c r="H1044" s="3"/>
      <c r="I1044" s="639"/>
      <c r="J1044" s="100"/>
      <c r="K1044" s="100"/>
      <c r="L1044" s="100"/>
    </row>
    <row r="1045">
      <c r="A1045" s="3"/>
      <c r="B1045" s="595"/>
      <c r="C1045" s="3"/>
      <c r="D1045" s="542"/>
      <c r="E1045" s="3"/>
      <c r="F1045" s="3"/>
      <c r="G1045" s="3"/>
      <c r="H1045" s="3"/>
      <c r="I1045" s="639"/>
      <c r="J1045" s="100"/>
      <c r="K1045" s="100"/>
      <c r="L1045" s="100"/>
    </row>
    <row r="1046">
      <c r="A1046" s="3"/>
      <c r="B1046" s="595"/>
      <c r="C1046" s="3"/>
      <c r="D1046" s="542"/>
      <c r="E1046" s="3"/>
      <c r="F1046" s="3"/>
      <c r="G1046" s="3"/>
      <c r="H1046" s="3"/>
      <c r="I1046" s="639"/>
      <c r="J1046" s="100"/>
      <c r="K1046" s="100"/>
      <c r="L1046" s="100"/>
    </row>
    <row r="1047">
      <c r="A1047" s="3"/>
      <c r="B1047" s="595"/>
      <c r="C1047" s="3"/>
      <c r="D1047" s="542"/>
      <c r="E1047" s="3"/>
      <c r="F1047" s="3"/>
      <c r="G1047" s="3"/>
      <c r="H1047" s="3"/>
      <c r="I1047" s="639"/>
      <c r="J1047" s="100"/>
      <c r="K1047" s="100"/>
      <c r="L1047" s="100"/>
    </row>
    <row r="1048">
      <c r="A1048" s="3"/>
      <c r="B1048" s="595"/>
      <c r="C1048" s="3"/>
      <c r="D1048" s="542"/>
      <c r="E1048" s="3"/>
      <c r="F1048" s="3"/>
      <c r="G1048" s="3"/>
      <c r="H1048" s="3"/>
      <c r="I1048" s="639"/>
      <c r="J1048" s="100"/>
      <c r="K1048" s="100"/>
      <c r="L1048" s="100"/>
    </row>
    <row r="1049">
      <c r="A1049" s="3"/>
      <c r="B1049" s="595"/>
      <c r="C1049" s="3"/>
      <c r="D1049" s="542"/>
      <c r="E1049" s="3"/>
      <c r="F1049" s="3"/>
      <c r="G1049" s="3"/>
      <c r="H1049" s="3"/>
      <c r="I1049" s="639"/>
      <c r="J1049" s="100"/>
      <c r="K1049" s="100"/>
      <c r="L1049" s="100"/>
    </row>
    <row r="1050">
      <c r="A1050" s="3"/>
      <c r="B1050" s="595"/>
      <c r="C1050" s="3"/>
      <c r="D1050" s="542"/>
      <c r="E1050" s="3"/>
      <c r="F1050" s="3"/>
      <c r="G1050" s="3"/>
      <c r="H1050" s="3"/>
      <c r="I1050" s="639"/>
      <c r="J1050" s="100"/>
      <c r="K1050" s="100"/>
      <c r="L1050" s="100"/>
    </row>
    <row r="1051">
      <c r="A1051" s="3"/>
      <c r="B1051" s="595"/>
      <c r="C1051" s="3"/>
      <c r="D1051" s="542"/>
      <c r="E1051" s="3"/>
      <c r="F1051" s="3"/>
      <c r="G1051" s="3"/>
      <c r="H1051" s="3"/>
      <c r="I1051" s="639"/>
      <c r="J1051" s="100"/>
      <c r="K1051" s="100"/>
      <c r="L1051" s="100"/>
    </row>
    <row r="1052">
      <c r="A1052" s="3"/>
      <c r="B1052" s="595"/>
      <c r="C1052" s="3"/>
      <c r="D1052" s="542"/>
      <c r="E1052" s="3"/>
      <c r="F1052" s="3"/>
      <c r="G1052" s="3"/>
      <c r="H1052" s="3"/>
      <c r="I1052" s="639"/>
      <c r="J1052" s="100"/>
      <c r="K1052" s="100"/>
      <c r="L1052" s="100"/>
    </row>
    <row r="1053">
      <c r="A1053" s="3"/>
      <c r="B1053" s="595"/>
      <c r="C1053" s="3"/>
      <c r="D1053" s="542"/>
      <c r="E1053" s="3"/>
      <c r="F1053" s="3"/>
      <c r="G1053" s="3"/>
      <c r="H1053" s="3"/>
      <c r="I1053" s="639"/>
      <c r="J1053" s="100"/>
      <c r="K1053" s="100"/>
      <c r="L1053" s="100"/>
    </row>
    <row r="1054">
      <c r="A1054" s="3"/>
      <c r="B1054" s="595"/>
      <c r="C1054" s="3"/>
      <c r="D1054" s="542"/>
      <c r="E1054" s="3"/>
      <c r="F1054" s="3"/>
      <c r="G1054" s="3"/>
      <c r="H1054" s="3"/>
      <c r="I1054" s="639"/>
      <c r="J1054" s="100"/>
      <c r="K1054" s="100"/>
      <c r="L1054" s="100"/>
    </row>
    <row r="1055">
      <c r="A1055" s="3"/>
      <c r="B1055" s="595"/>
      <c r="C1055" s="3"/>
      <c r="D1055" s="542"/>
      <c r="E1055" s="3"/>
      <c r="F1055" s="3"/>
      <c r="G1055" s="3"/>
      <c r="H1055" s="3"/>
      <c r="I1055" s="639"/>
      <c r="J1055" s="100"/>
      <c r="K1055" s="100"/>
      <c r="L1055" s="100"/>
    </row>
    <row r="1056">
      <c r="A1056" s="3"/>
      <c r="B1056" s="595"/>
      <c r="C1056" s="3"/>
      <c r="D1056" s="542"/>
      <c r="E1056" s="3"/>
      <c r="F1056" s="3"/>
      <c r="G1056" s="3"/>
      <c r="H1056" s="3"/>
      <c r="I1056" s="639"/>
      <c r="J1056" s="100"/>
      <c r="K1056" s="100"/>
      <c r="L1056" s="100"/>
    </row>
    <row r="1057">
      <c r="A1057" s="3"/>
      <c r="B1057" s="595"/>
      <c r="C1057" s="3"/>
      <c r="D1057" s="542"/>
      <c r="E1057" s="3"/>
      <c r="F1057" s="3"/>
      <c r="G1057" s="3"/>
      <c r="H1057" s="3"/>
      <c r="I1057" s="639"/>
      <c r="J1057" s="100"/>
      <c r="K1057" s="100"/>
      <c r="L1057" s="100"/>
    </row>
    <row r="1058">
      <c r="A1058" s="3"/>
      <c r="B1058" s="595"/>
      <c r="C1058" s="3"/>
      <c r="D1058" s="542"/>
      <c r="E1058" s="3"/>
      <c r="F1058" s="3"/>
      <c r="G1058" s="3"/>
      <c r="H1058" s="3"/>
      <c r="I1058" s="639"/>
      <c r="J1058" s="100"/>
      <c r="K1058" s="100"/>
      <c r="L1058" s="100"/>
    </row>
    <row r="1059">
      <c r="A1059" s="3"/>
      <c r="B1059" s="595"/>
      <c r="C1059" s="3"/>
      <c r="D1059" s="542"/>
      <c r="E1059" s="3"/>
      <c r="F1059" s="3"/>
      <c r="G1059" s="3"/>
      <c r="H1059" s="3"/>
      <c r="I1059" s="639"/>
      <c r="J1059" s="100"/>
      <c r="K1059" s="100"/>
      <c r="L1059" s="100"/>
    </row>
    <row r="1060">
      <c r="A1060" s="3"/>
      <c r="B1060" s="595"/>
      <c r="C1060" s="3"/>
      <c r="D1060" s="542"/>
      <c r="E1060" s="3"/>
      <c r="F1060" s="3"/>
      <c r="G1060" s="3"/>
      <c r="H1060" s="3"/>
      <c r="I1060" s="639"/>
      <c r="J1060" s="100"/>
      <c r="K1060" s="100"/>
      <c r="L1060" s="100"/>
    </row>
    <row r="1061">
      <c r="A1061" s="3"/>
      <c r="B1061" s="595"/>
      <c r="C1061" s="3"/>
      <c r="D1061" s="542"/>
      <c r="E1061" s="3"/>
      <c r="F1061" s="3"/>
      <c r="G1061" s="3"/>
      <c r="H1061" s="3"/>
      <c r="I1061" s="639"/>
      <c r="J1061" s="100"/>
      <c r="K1061" s="100"/>
      <c r="L1061" s="100"/>
    </row>
    <row r="1062">
      <c r="A1062" s="3"/>
      <c r="B1062" s="595"/>
      <c r="C1062" s="3"/>
      <c r="D1062" s="542"/>
      <c r="E1062" s="3"/>
      <c r="F1062" s="3"/>
      <c r="G1062" s="3"/>
      <c r="H1062" s="3"/>
      <c r="I1062" s="639"/>
      <c r="J1062" s="100"/>
      <c r="K1062" s="100"/>
      <c r="L1062" s="100"/>
    </row>
    <row r="1063">
      <c r="A1063" s="3"/>
      <c r="B1063" s="595"/>
      <c r="C1063" s="3"/>
      <c r="D1063" s="542"/>
      <c r="E1063" s="3"/>
      <c r="F1063" s="3"/>
      <c r="G1063" s="3"/>
      <c r="H1063" s="3"/>
      <c r="I1063" s="639"/>
      <c r="J1063" s="100"/>
      <c r="K1063" s="100"/>
      <c r="L1063" s="100"/>
    </row>
    <row r="1064">
      <c r="A1064" s="3"/>
      <c r="B1064" s="595"/>
      <c r="C1064" s="3"/>
      <c r="D1064" s="542"/>
      <c r="E1064" s="3"/>
      <c r="F1064" s="3"/>
      <c r="G1064" s="3"/>
      <c r="H1064" s="3"/>
      <c r="I1064" s="639"/>
      <c r="J1064" s="100"/>
      <c r="K1064" s="100"/>
      <c r="L1064" s="100"/>
    </row>
    <row r="1065">
      <c r="A1065" s="3"/>
      <c r="B1065" s="595"/>
      <c r="C1065" s="3"/>
      <c r="D1065" s="542"/>
      <c r="E1065" s="3"/>
      <c r="F1065" s="3"/>
      <c r="G1065" s="3"/>
      <c r="H1065" s="3"/>
      <c r="I1065" s="639"/>
      <c r="J1065" s="100"/>
      <c r="K1065" s="100"/>
      <c r="L1065" s="100"/>
    </row>
    <row r="1066">
      <c r="A1066" s="3"/>
      <c r="B1066" s="595"/>
      <c r="C1066" s="3"/>
      <c r="D1066" s="542"/>
      <c r="E1066" s="3"/>
      <c r="F1066" s="3"/>
      <c r="G1066" s="3"/>
      <c r="H1066" s="3"/>
      <c r="I1066" s="639"/>
      <c r="J1066" s="100"/>
      <c r="K1066" s="100"/>
      <c r="L1066" s="100"/>
    </row>
    <row r="1067">
      <c r="A1067" s="3"/>
      <c r="B1067" s="595"/>
      <c r="C1067" s="3"/>
      <c r="D1067" s="542"/>
      <c r="E1067" s="3"/>
      <c r="F1067" s="3"/>
      <c r="G1067" s="3"/>
      <c r="H1067" s="3"/>
      <c r="I1067" s="639"/>
      <c r="J1067" s="100"/>
      <c r="K1067" s="100"/>
      <c r="L1067" s="100"/>
    </row>
    <row r="1068">
      <c r="A1068" s="3"/>
      <c r="B1068" s="595"/>
      <c r="C1068" s="3"/>
      <c r="D1068" s="542"/>
      <c r="E1068" s="3"/>
      <c r="F1068" s="3"/>
      <c r="G1068" s="3"/>
      <c r="H1068" s="3"/>
      <c r="I1068" s="639"/>
      <c r="J1068" s="100"/>
      <c r="K1068" s="100"/>
      <c r="L1068" s="100"/>
    </row>
    <row r="1069">
      <c r="A1069" s="3"/>
      <c r="B1069" s="595"/>
      <c r="C1069" s="3"/>
      <c r="D1069" s="542"/>
      <c r="E1069" s="3"/>
      <c r="F1069" s="3"/>
      <c r="G1069" s="3"/>
      <c r="H1069" s="3"/>
      <c r="I1069" s="639"/>
      <c r="J1069" s="100"/>
      <c r="K1069" s="100"/>
      <c r="L1069" s="100"/>
    </row>
    <row r="1070">
      <c r="A1070" s="3"/>
      <c r="B1070" s="595"/>
      <c r="C1070" s="3"/>
      <c r="D1070" s="542"/>
      <c r="E1070" s="3"/>
      <c r="F1070" s="3"/>
      <c r="G1070" s="3"/>
      <c r="H1070" s="3"/>
      <c r="I1070" s="639"/>
      <c r="J1070" s="100"/>
      <c r="K1070" s="100"/>
      <c r="L1070" s="100"/>
    </row>
    <row r="1071">
      <c r="A1071" s="3"/>
      <c r="B1071" s="595"/>
      <c r="C1071" s="3"/>
      <c r="D1071" s="542"/>
      <c r="E1071" s="3"/>
      <c r="F1071" s="3"/>
      <c r="G1071" s="3"/>
      <c r="H1071" s="3"/>
      <c r="I1071" s="639"/>
      <c r="J1071" s="100"/>
      <c r="K1071" s="100"/>
      <c r="L1071" s="100"/>
    </row>
    <row r="1072">
      <c r="A1072" s="3"/>
      <c r="B1072" s="595"/>
      <c r="C1072" s="3"/>
      <c r="D1072" s="542"/>
      <c r="E1072" s="3"/>
      <c r="F1072" s="3"/>
      <c r="G1072" s="3"/>
      <c r="H1072" s="3"/>
      <c r="I1072" s="639"/>
      <c r="J1072" s="100"/>
      <c r="K1072" s="100"/>
      <c r="L1072" s="100"/>
    </row>
    <row r="1073">
      <c r="A1073" s="3"/>
      <c r="B1073" s="595"/>
      <c r="C1073" s="3"/>
      <c r="D1073" s="542"/>
      <c r="E1073" s="3"/>
      <c r="F1073" s="3"/>
      <c r="G1073" s="3"/>
      <c r="H1073" s="3"/>
      <c r="I1073" s="639"/>
      <c r="J1073" s="100"/>
      <c r="K1073" s="100"/>
      <c r="L1073" s="100"/>
    </row>
    <row r="1074">
      <c r="A1074" s="3"/>
      <c r="B1074" s="595"/>
      <c r="C1074" s="3"/>
      <c r="D1074" s="542"/>
      <c r="E1074" s="3"/>
      <c r="F1074" s="3"/>
      <c r="G1074" s="3"/>
      <c r="H1074" s="3"/>
      <c r="I1074" s="639"/>
      <c r="J1074" s="100"/>
      <c r="K1074" s="100"/>
      <c r="L1074" s="100"/>
    </row>
    <row r="1075">
      <c r="A1075" s="3"/>
      <c r="B1075" s="595"/>
      <c r="C1075" s="3"/>
      <c r="D1075" s="542"/>
      <c r="E1075" s="3"/>
      <c r="F1075" s="3"/>
      <c r="G1075" s="3"/>
      <c r="H1075" s="3"/>
      <c r="I1075" s="639"/>
      <c r="J1075" s="100"/>
      <c r="K1075" s="100"/>
      <c r="L1075" s="100"/>
    </row>
    <row r="1076">
      <c r="A1076" s="3"/>
      <c r="B1076" s="595"/>
      <c r="C1076" s="3"/>
      <c r="D1076" s="542"/>
      <c r="E1076" s="3"/>
      <c r="F1076" s="3"/>
      <c r="G1076" s="3"/>
      <c r="H1076" s="3"/>
      <c r="I1076" s="639"/>
      <c r="J1076" s="100"/>
      <c r="K1076" s="100"/>
      <c r="L1076" s="100"/>
    </row>
    <row r="1077">
      <c r="A1077" s="3"/>
      <c r="B1077" s="595"/>
      <c r="C1077" s="3"/>
      <c r="D1077" s="542"/>
      <c r="E1077" s="3"/>
      <c r="F1077" s="3"/>
      <c r="G1077" s="3"/>
      <c r="H1077" s="3"/>
      <c r="I1077" s="639"/>
      <c r="J1077" s="100"/>
      <c r="K1077" s="100"/>
      <c r="L1077" s="100"/>
    </row>
    <row r="1078">
      <c r="A1078" s="3"/>
      <c r="B1078" s="595"/>
      <c r="C1078" s="3"/>
      <c r="D1078" s="542"/>
      <c r="E1078" s="3"/>
      <c r="F1078" s="3"/>
      <c r="G1078" s="3"/>
      <c r="H1078" s="3"/>
      <c r="I1078" s="639"/>
      <c r="J1078" s="100"/>
      <c r="K1078" s="100"/>
      <c r="L1078" s="100"/>
    </row>
    <row r="1079">
      <c r="A1079" s="3"/>
      <c r="B1079" s="595"/>
      <c r="C1079" s="3"/>
      <c r="D1079" s="542"/>
      <c r="E1079" s="3"/>
      <c r="F1079" s="3"/>
      <c r="G1079" s="3"/>
      <c r="H1079" s="3"/>
      <c r="I1079" s="639"/>
      <c r="J1079" s="100"/>
      <c r="K1079" s="100"/>
      <c r="L1079" s="100"/>
    </row>
    <row r="1080">
      <c r="A1080" s="3"/>
      <c r="B1080" s="595"/>
      <c r="C1080" s="3"/>
      <c r="D1080" s="542"/>
      <c r="E1080" s="3"/>
      <c r="F1080" s="3"/>
      <c r="G1080" s="3"/>
      <c r="H1080" s="3"/>
      <c r="I1080" s="639"/>
      <c r="J1080" s="100"/>
      <c r="K1080" s="100"/>
      <c r="L1080" s="100"/>
    </row>
    <row r="1081">
      <c r="A1081" s="3"/>
      <c r="B1081" s="595"/>
      <c r="C1081" s="3"/>
      <c r="D1081" s="542"/>
      <c r="E1081" s="3"/>
      <c r="F1081" s="3"/>
      <c r="G1081" s="3"/>
      <c r="H1081" s="3"/>
      <c r="I1081" s="639"/>
      <c r="J1081" s="100"/>
      <c r="K1081" s="100"/>
      <c r="L1081" s="100"/>
    </row>
    <row r="1082">
      <c r="A1082" s="3"/>
      <c r="B1082" s="595"/>
      <c r="C1082" s="3"/>
      <c r="D1082" s="542"/>
      <c r="E1082" s="3"/>
      <c r="F1082" s="3"/>
      <c r="G1082" s="3"/>
      <c r="H1082" s="3"/>
      <c r="I1082" s="639"/>
      <c r="J1082" s="100"/>
      <c r="K1082" s="100"/>
      <c r="L1082" s="100"/>
    </row>
    <row r="1083">
      <c r="A1083" s="3"/>
      <c r="B1083" s="595"/>
      <c r="C1083" s="3"/>
      <c r="D1083" s="542"/>
      <c r="E1083" s="3"/>
      <c r="F1083" s="3"/>
      <c r="G1083" s="3"/>
      <c r="H1083" s="3"/>
      <c r="I1083" s="639"/>
      <c r="J1083" s="100"/>
      <c r="K1083" s="100"/>
      <c r="L1083" s="100"/>
    </row>
    <row r="1084">
      <c r="A1084" s="3"/>
      <c r="B1084" s="595"/>
      <c r="C1084" s="3"/>
      <c r="D1084" s="542"/>
      <c r="E1084" s="3"/>
      <c r="F1084" s="3"/>
      <c r="G1084" s="3"/>
      <c r="H1084" s="3"/>
      <c r="I1084" s="639"/>
      <c r="J1084" s="100"/>
      <c r="K1084" s="100"/>
      <c r="L1084" s="100"/>
    </row>
    <row r="1085">
      <c r="A1085" s="3"/>
      <c r="B1085" s="595"/>
      <c r="C1085" s="3"/>
      <c r="D1085" s="542"/>
      <c r="E1085" s="3"/>
      <c r="F1085" s="3"/>
      <c r="G1085" s="3"/>
      <c r="H1085" s="3"/>
      <c r="I1085" s="639"/>
      <c r="J1085" s="100"/>
      <c r="K1085" s="100"/>
      <c r="L1085" s="100"/>
    </row>
    <row r="1086">
      <c r="A1086" s="3"/>
      <c r="B1086" s="595"/>
      <c r="C1086" s="3"/>
      <c r="D1086" s="542"/>
      <c r="E1086" s="3"/>
      <c r="F1086" s="3"/>
      <c r="G1086" s="3"/>
      <c r="H1086" s="3"/>
      <c r="I1086" s="639"/>
      <c r="J1086" s="100"/>
      <c r="K1086" s="100"/>
      <c r="L1086" s="100"/>
    </row>
    <row r="1087">
      <c r="A1087" s="3"/>
      <c r="B1087" s="595"/>
      <c r="C1087" s="3"/>
      <c r="D1087" s="542"/>
      <c r="E1087" s="3"/>
      <c r="F1087" s="3"/>
      <c r="G1087" s="3"/>
      <c r="H1087" s="3"/>
      <c r="I1087" s="639"/>
      <c r="J1087" s="100"/>
      <c r="K1087" s="100"/>
      <c r="L1087" s="100"/>
    </row>
    <row r="1088">
      <c r="A1088" s="3"/>
      <c r="B1088" s="595"/>
      <c r="C1088" s="3"/>
      <c r="D1088" s="542"/>
      <c r="E1088" s="3"/>
      <c r="F1088" s="3"/>
      <c r="G1088" s="3"/>
      <c r="H1088" s="3"/>
      <c r="I1088" s="639"/>
      <c r="J1088" s="100"/>
      <c r="K1088" s="100"/>
      <c r="L1088" s="100"/>
    </row>
    <row r="1089">
      <c r="A1089" s="3"/>
      <c r="B1089" s="595"/>
      <c r="C1089" s="3"/>
      <c r="D1089" s="542"/>
      <c r="E1089" s="3"/>
      <c r="F1089" s="3"/>
      <c r="G1089" s="3"/>
      <c r="H1089" s="3"/>
      <c r="I1089" s="639"/>
      <c r="J1089" s="100"/>
      <c r="K1089" s="100"/>
      <c r="L1089" s="100"/>
    </row>
    <row r="1090">
      <c r="A1090" s="3"/>
      <c r="B1090" s="595"/>
      <c r="C1090" s="3"/>
      <c r="D1090" s="542"/>
      <c r="E1090" s="3"/>
      <c r="F1090" s="3"/>
      <c r="G1090" s="3"/>
      <c r="H1090" s="3"/>
      <c r="I1090" s="639"/>
      <c r="J1090" s="100"/>
      <c r="K1090" s="100"/>
      <c r="L1090" s="100"/>
    </row>
    <row r="1091">
      <c r="A1091" s="3"/>
      <c r="B1091" s="595"/>
      <c r="C1091" s="3"/>
      <c r="D1091" s="542"/>
      <c r="E1091" s="3"/>
      <c r="F1091" s="3"/>
      <c r="G1091" s="3"/>
      <c r="H1091" s="3"/>
      <c r="I1091" s="639"/>
      <c r="J1091" s="100"/>
      <c r="K1091" s="100"/>
      <c r="L1091" s="100"/>
    </row>
    <row r="1092">
      <c r="A1092" s="3"/>
      <c r="B1092" s="595"/>
      <c r="C1092" s="3"/>
      <c r="D1092" s="542"/>
      <c r="E1092" s="3"/>
      <c r="F1092" s="3"/>
      <c r="G1092" s="3"/>
      <c r="H1092" s="3"/>
      <c r="I1092" s="639"/>
      <c r="J1092" s="100"/>
      <c r="K1092" s="100"/>
      <c r="L1092" s="100"/>
    </row>
    <row r="1093">
      <c r="A1093" s="3"/>
      <c r="B1093" s="595"/>
      <c r="C1093" s="3"/>
      <c r="D1093" s="542"/>
      <c r="E1093" s="3"/>
      <c r="F1093" s="3"/>
      <c r="G1093" s="3"/>
      <c r="H1093" s="3"/>
      <c r="I1093" s="639"/>
      <c r="J1093" s="100"/>
      <c r="K1093" s="100"/>
      <c r="L1093" s="100"/>
    </row>
    <row r="1094">
      <c r="A1094" s="3"/>
      <c r="B1094" s="595"/>
      <c r="C1094" s="3"/>
      <c r="D1094" s="542"/>
      <c r="E1094" s="3"/>
      <c r="F1094" s="3"/>
      <c r="G1094" s="3"/>
      <c r="H1094" s="3"/>
      <c r="I1094" s="639"/>
      <c r="J1094" s="100"/>
      <c r="K1094" s="100"/>
      <c r="L1094" s="100"/>
    </row>
    <row r="1095">
      <c r="A1095" s="3"/>
      <c r="B1095" s="595"/>
      <c r="C1095" s="3"/>
      <c r="D1095" s="542"/>
      <c r="E1095" s="3"/>
      <c r="F1095" s="3"/>
      <c r="G1095" s="3"/>
      <c r="H1095" s="3"/>
      <c r="I1095" s="639"/>
      <c r="J1095" s="100"/>
      <c r="K1095" s="100"/>
      <c r="L1095" s="100"/>
    </row>
    <row r="1096">
      <c r="A1096" s="3"/>
      <c r="B1096" s="595"/>
      <c r="C1096" s="3"/>
      <c r="D1096" s="542"/>
      <c r="E1096" s="3"/>
      <c r="F1096" s="3"/>
      <c r="G1096" s="3"/>
      <c r="H1096" s="3"/>
      <c r="I1096" s="639"/>
      <c r="J1096" s="100"/>
      <c r="K1096" s="100"/>
      <c r="L1096" s="100"/>
    </row>
    <row r="1097">
      <c r="A1097" s="3"/>
      <c r="B1097" s="595"/>
      <c r="C1097" s="3"/>
      <c r="D1097" s="542"/>
      <c r="E1097" s="3"/>
      <c r="F1097" s="3"/>
      <c r="G1097" s="3"/>
      <c r="H1097" s="3"/>
      <c r="I1097" s="639"/>
      <c r="J1097" s="100"/>
      <c r="K1097" s="100"/>
      <c r="L1097" s="100"/>
    </row>
    <row r="1098">
      <c r="A1098" s="3"/>
      <c r="B1098" s="595"/>
      <c r="C1098" s="3"/>
      <c r="D1098" s="542"/>
      <c r="E1098" s="3"/>
      <c r="F1098" s="3"/>
      <c r="G1098" s="3"/>
      <c r="H1098" s="3"/>
      <c r="I1098" s="639"/>
      <c r="J1098" s="100"/>
      <c r="K1098" s="100"/>
      <c r="L1098" s="100"/>
    </row>
    <row r="1099">
      <c r="A1099" s="3"/>
      <c r="B1099" s="595"/>
      <c r="C1099" s="3"/>
      <c r="D1099" s="542"/>
      <c r="E1099" s="3"/>
      <c r="F1099" s="3"/>
      <c r="G1099" s="3"/>
      <c r="H1099" s="3"/>
      <c r="I1099" s="639"/>
      <c r="J1099" s="100"/>
      <c r="K1099" s="100"/>
      <c r="L1099" s="100"/>
    </row>
    <row r="1100">
      <c r="A1100" s="3"/>
      <c r="B1100" s="595"/>
      <c r="C1100" s="3"/>
      <c r="D1100" s="542"/>
      <c r="E1100" s="3"/>
      <c r="F1100" s="3"/>
      <c r="G1100" s="3"/>
      <c r="H1100" s="3"/>
      <c r="I1100" s="639"/>
      <c r="J1100" s="100"/>
      <c r="K1100" s="100"/>
      <c r="L1100" s="100"/>
    </row>
    <row r="1101">
      <c r="A1101" s="3"/>
      <c r="B1101" s="595"/>
      <c r="C1101" s="3"/>
      <c r="D1101" s="542"/>
      <c r="E1101" s="3"/>
      <c r="F1101" s="3"/>
      <c r="G1101" s="3"/>
      <c r="H1101" s="3"/>
      <c r="I1101" s="639"/>
      <c r="J1101" s="100"/>
      <c r="K1101" s="100"/>
      <c r="L1101" s="100"/>
    </row>
    <row r="1102">
      <c r="A1102" s="3"/>
      <c r="B1102" s="595"/>
      <c r="C1102" s="3"/>
      <c r="D1102" s="542"/>
      <c r="E1102" s="3"/>
      <c r="F1102" s="3"/>
      <c r="G1102" s="3"/>
      <c r="H1102" s="3"/>
      <c r="I1102" s="639"/>
      <c r="J1102" s="100"/>
      <c r="K1102" s="100"/>
      <c r="L1102" s="100"/>
    </row>
    <row r="1103">
      <c r="A1103" s="3"/>
      <c r="B1103" s="595"/>
      <c r="C1103" s="3"/>
      <c r="D1103" s="542"/>
      <c r="E1103" s="3"/>
      <c r="F1103" s="3"/>
      <c r="G1103" s="3"/>
      <c r="H1103" s="3"/>
      <c r="I1103" s="639"/>
      <c r="J1103" s="100"/>
      <c r="K1103" s="100"/>
      <c r="L1103" s="100"/>
    </row>
    <row r="1104">
      <c r="A1104" s="3"/>
      <c r="B1104" s="595"/>
      <c r="C1104" s="3"/>
      <c r="D1104" s="542"/>
      <c r="E1104" s="3"/>
      <c r="F1104" s="3"/>
      <c r="G1104" s="3"/>
      <c r="H1104" s="3"/>
      <c r="I1104" s="639"/>
      <c r="J1104" s="100"/>
      <c r="K1104" s="100"/>
      <c r="L1104" s="100"/>
    </row>
    <row r="1105">
      <c r="A1105" s="3"/>
      <c r="B1105" s="595"/>
      <c r="C1105" s="3"/>
      <c r="D1105" s="542"/>
      <c r="E1105" s="3"/>
      <c r="F1105" s="3"/>
      <c r="G1105" s="3"/>
      <c r="H1105" s="3"/>
      <c r="I1105" s="639"/>
      <c r="J1105" s="100"/>
      <c r="K1105" s="100"/>
      <c r="L1105" s="100"/>
    </row>
    <row r="1106">
      <c r="A1106" s="3"/>
      <c r="B1106" s="595"/>
      <c r="C1106" s="3"/>
      <c r="D1106" s="542"/>
      <c r="E1106" s="3"/>
      <c r="F1106" s="3"/>
      <c r="G1106" s="3"/>
      <c r="H1106" s="3"/>
      <c r="I1106" s="639"/>
      <c r="J1106" s="100"/>
      <c r="K1106" s="100"/>
      <c r="L1106" s="100"/>
    </row>
    <row r="1107">
      <c r="A1107" s="3"/>
      <c r="B1107" s="595"/>
      <c r="C1107" s="3"/>
      <c r="D1107" s="542"/>
      <c r="E1107" s="3"/>
      <c r="F1107" s="3"/>
      <c r="G1107" s="3"/>
      <c r="H1107" s="3"/>
      <c r="I1107" s="639"/>
      <c r="J1107" s="100"/>
      <c r="K1107" s="100"/>
      <c r="L1107" s="100"/>
    </row>
    <row r="1108">
      <c r="A1108" s="3"/>
      <c r="B1108" s="595"/>
      <c r="C1108" s="3"/>
      <c r="D1108" s="542"/>
      <c r="E1108" s="3"/>
      <c r="F1108" s="3"/>
      <c r="G1108" s="3"/>
      <c r="H1108" s="3"/>
      <c r="I1108" s="639"/>
      <c r="J1108" s="100"/>
      <c r="K1108" s="100"/>
      <c r="L1108" s="100"/>
    </row>
    <row r="1109">
      <c r="A1109" s="3"/>
      <c r="B1109" s="595"/>
      <c r="C1109" s="3"/>
      <c r="D1109" s="542"/>
      <c r="E1109" s="3"/>
      <c r="F1109" s="3"/>
      <c r="G1109" s="3"/>
      <c r="H1109" s="3"/>
      <c r="I1109" s="639"/>
      <c r="J1109" s="100"/>
      <c r="K1109" s="100"/>
      <c r="L1109" s="100"/>
    </row>
    <row r="1110">
      <c r="A1110" s="3"/>
      <c r="B1110" s="595"/>
      <c r="C1110" s="3"/>
      <c r="D1110" s="542"/>
      <c r="E1110" s="3"/>
      <c r="F1110" s="3"/>
      <c r="G1110" s="3"/>
      <c r="H1110" s="3"/>
      <c r="I1110" s="639"/>
      <c r="J1110" s="100"/>
      <c r="K1110" s="100"/>
      <c r="L1110" s="100"/>
    </row>
    <row r="1111">
      <c r="A1111" s="3"/>
      <c r="B1111" s="595"/>
      <c r="C1111" s="3"/>
      <c r="D1111" s="542"/>
      <c r="E1111" s="3"/>
      <c r="F1111" s="3"/>
      <c r="G1111" s="3"/>
      <c r="H1111" s="3"/>
      <c r="I1111" s="639"/>
      <c r="J1111" s="100"/>
      <c r="K1111" s="100"/>
      <c r="L1111" s="100"/>
    </row>
    <row r="1112">
      <c r="A1112" s="3"/>
      <c r="B1112" s="595"/>
      <c r="C1112" s="3"/>
      <c r="D1112" s="542"/>
      <c r="E1112" s="3"/>
      <c r="F1112" s="3"/>
      <c r="G1112" s="3"/>
      <c r="H1112" s="3"/>
      <c r="I1112" s="639"/>
      <c r="J1112" s="100"/>
      <c r="K1112" s="100"/>
      <c r="L1112" s="100"/>
    </row>
    <row r="1113">
      <c r="A1113" s="3"/>
      <c r="B1113" s="595"/>
      <c r="C1113" s="3"/>
      <c r="D1113" s="542"/>
      <c r="E1113" s="3"/>
      <c r="F1113" s="3"/>
      <c r="G1113" s="3"/>
      <c r="H1113" s="3"/>
      <c r="I1113" s="639"/>
      <c r="J1113" s="100"/>
      <c r="K1113" s="100"/>
      <c r="L1113" s="100"/>
    </row>
    <row r="1114">
      <c r="A1114" s="3"/>
      <c r="B1114" s="595"/>
      <c r="C1114" s="3"/>
      <c r="D1114" s="542"/>
      <c r="E1114" s="3"/>
      <c r="F1114" s="3"/>
      <c r="G1114" s="3"/>
      <c r="H1114" s="3"/>
      <c r="I1114" s="639"/>
      <c r="J1114" s="100"/>
      <c r="K1114" s="100"/>
      <c r="L1114" s="100"/>
    </row>
    <row r="1115">
      <c r="A1115" s="3"/>
      <c r="B1115" s="595"/>
      <c r="C1115" s="3"/>
      <c r="D1115" s="542"/>
      <c r="E1115" s="3"/>
      <c r="F1115" s="3"/>
      <c r="G1115" s="3"/>
      <c r="H1115" s="3"/>
      <c r="I1115" s="639"/>
      <c r="J1115" s="100"/>
      <c r="K1115" s="100"/>
      <c r="L1115" s="100"/>
    </row>
    <row r="1116">
      <c r="A1116" s="3"/>
      <c r="B1116" s="595"/>
      <c r="C1116" s="3"/>
      <c r="D1116" s="542"/>
      <c r="E1116" s="3"/>
      <c r="F1116" s="3"/>
      <c r="G1116" s="3"/>
      <c r="H1116" s="3"/>
      <c r="I1116" s="639"/>
      <c r="J1116" s="100"/>
      <c r="K1116" s="100"/>
      <c r="L1116" s="100"/>
    </row>
    <row r="1117">
      <c r="A1117" s="3"/>
      <c r="B1117" s="595"/>
      <c r="C1117" s="3"/>
      <c r="D1117" s="542"/>
      <c r="E1117" s="3"/>
      <c r="F1117" s="3"/>
      <c r="G1117" s="3"/>
      <c r="H1117" s="3"/>
      <c r="I1117" s="639"/>
      <c r="J1117" s="100"/>
      <c r="K1117" s="100"/>
      <c r="L1117" s="100"/>
    </row>
    <row r="1118">
      <c r="A1118" s="3"/>
      <c r="B1118" s="595"/>
      <c r="C1118" s="3"/>
      <c r="D1118" s="542"/>
      <c r="E1118" s="3"/>
      <c r="F1118" s="3"/>
      <c r="G1118" s="3"/>
      <c r="H1118" s="3"/>
      <c r="I1118" s="639"/>
      <c r="J1118" s="100"/>
      <c r="K1118" s="100"/>
      <c r="L1118" s="100"/>
    </row>
    <row r="1119">
      <c r="A1119" s="3"/>
      <c r="B1119" s="595"/>
      <c r="C1119" s="3"/>
      <c r="D1119" s="542"/>
      <c r="E1119" s="3"/>
      <c r="F1119" s="3"/>
      <c r="G1119" s="3"/>
      <c r="H1119" s="3"/>
      <c r="I1119" s="639"/>
      <c r="J1119" s="100"/>
      <c r="K1119" s="100"/>
      <c r="L1119" s="100"/>
    </row>
    <row r="1120">
      <c r="A1120" s="3"/>
      <c r="B1120" s="595"/>
      <c r="C1120" s="3"/>
      <c r="D1120" s="542"/>
      <c r="E1120" s="3"/>
      <c r="F1120" s="3"/>
      <c r="G1120" s="3"/>
      <c r="H1120" s="3"/>
      <c r="I1120" s="639"/>
      <c r="J1120" s="100"/>
      <c r="K1120" s="100"/>
      <c r="L1120" s="100"/>
    </row>
    <row r="1121">
      <c r="A1121" s="3"/>
      <c r="B1121" s="595"/>
      <c r="C1121" s="3"/>
      <c r="D1121" s="542"/>
      <c r="E1121" s="3"/>
      <c r="F1121" s="3"/>
      <c r="G1121" s="3"/>
      <c r="H1121" s="3"/>
      <c r="I1121" s="639"/>
      <c r="J1121" s="100"/>
      <c r="K1121" s="100"/>
      <c r="L1121" s="100"/>
    </row>
    <row r="1122">
      <c r="A1122" s="3"/>
      <c r="B1122" s="595"/>
      <c r="C1122" s="3"/>
      <c r="D1122" s="542"/>
      <c r="E1122" s="3"/>
      <c r="F1122" s="3"/>
      <c r="G1122" s="3"/>
      <c r="H1122" s="3"/>
      <c r="I1122" s="639"/>
      <c r="J1122" s="100"/>
      <c r="K1122" s="100"/>
      <c r="L1122" s="100"/>
    </row>
    <row r="1123">
      <c r="A1123" s="3"/>
      <c r="B1123" s="595"/>
      <c r="C1123" s="3"/>
      <c r="D1123" s="542"/>
      <c r="E1123" s="3"/>
      <c r="F1123" s="3"/>
      <c r="G1123" s="3"/>
      <c r="H1123" s="3"/>
      <c r="I1123" s="639"/>
      <c r="J1123" s="100"/>
      <c r="K1123" s="100"/>
      <c r="L1123" s="100"/>
    </row>
    <row r="1124">
      <c r="A1124" s="3"/>
      <c r="B1124" s="595"/>
      <c r="C1124" s="3"/>
      <c r="D1124" s="542"/>
      <c r="E1124" s="3"/>
      <c r="F1124" s="3"/>
      <c r="G1124" s="3"/>
      <c r="H1124" s="3"/>
      <c r="I1124" s="639"/>
      <c r="J1124" s="100"/>
      <c r="K1124" s="100"/>
      <c r="L1124" s="100"/>
    </row>
    <row r="1125">
      <c r="A1125" s="3"/>
      <c r="B1125" s="595"/>
      <c r="C1125" s="3"/>
      <c r="D1125" s="542"/>
      <c r="E1125" s="3"/>
      <c r="F1125" s="3"/>
      <c r="G1125" s="3"/>
      <c r="H1125" s="3"/>
      <c r="I1125" s="639"/>
      <c r="J1125" s="100"/>
      <c r="K1125" s="100"/>
      <c r="L1125" s="100"/>
    </row>
    <row r="1126">
      <c r="A1126" s="3"/>
      <c r="B1126" s="595"/>
      <c r="C1126" s="3"/>
      <c r="D1126" s="542"/>
      <c r="E1126" s="3"/>
      <c r="F1126" s="3"/>
      <c r="G1126" s="3"/>
      <c r="H1126" s="3"/>
      <c r="I1126" s="639"/>
      <c r="J1126" s="100"/>
      <c r="K1126" s="100"/>
      <c r="L1126" s="100"/>
    </row>
    <row r="1127">
      <c r="A1127" s="3"/>
      <c r="B1127" s="595"/>
      <c r="C1127" s="3"/>
      <c r="D1127" s="542"/>
      <c r="E1127" s="3"/>
      <c r="F1127" s="3"/>
      <c r="G1127" s="3"/>
      <c r="H1127" s="3"/>
      <c r="I1127" s="639"/>
      <c r="J1127" s="100"/>
      <c r="K1127" s="100"/>
      <c r="L1127" s="100"/>
    </row>
    <row r="1128">
      <c r="A1128" s="3"/>
      <c r="B1128" s="595"/>
      <c r="C1128" s="3"/>
      <c r="D1128" s="542"/>
      <c r="E1128" s="3"/>
      <c r="F1128" s="3"/>
      <c r="G1128" s="3"/>
      <c r="H1128" s="3"/>
      <c r="I1128" s="639"/>
      <c r="J1128" s="100"/>
      <c r="K1128" s="100"/>
      <c r="L1128" s="100"/>
    </row>
    <row r="1129">
      <c r="A1129" s="3"/>
      <c r="B1129" s="595"/>
      <c r="C1129" s="3"/>
      <c r="D1129" s="542"/>
      <c r="E1129" s="3"/>
      <c r="F1129" s="3"/>
      <c r="G1129" s="3"/>
      <c r="H1129" s="3"/>
      <c r="I1129" s="639"/>
      <c r="J1129" s="100"/>
      <c r="K1129" s="100"/>
      <c r="L1129" s="100"/>
    </row>
    <row r="1130">
      <c r="A1130" s="3"/>
      <c r="B1130" s="595"/>
      <c r="C1130" s="3"/>
      <c r="D1130" s="542"/>
      <c r="E1130" s="3"/>
      <c r="F1130" s="3"/>
      <c r="G1130" s="3"/>
      <c r="H1130" s="3"/>
      <c r="I1130" s="639"/>
      <c r="J1130" s="100"/>
      <c r="K1130" s="100"/>
      <c r="L1130" s="100"/>
    </row>
    <row r="1131">
      <c r="A1131" s="3"/>
      <c r="B1131" s="595"/>
      <c r="C1131" s="3"/>
      <c r="D1131" s="542"/>
      <c r="E1131" s="3"/>
      <c r="F1131" s="3"/>
      <c r="G1131" s="3"/>
      <c r="H1131" s="3"/>
      <c r="I1131" s="639"/>
      <c r="J1131" s="100"/>
      <c r="K1131" s="100"/>
      <c r="L1131" s="100"/>
    </row>
    <row r="1132">
      <c r="A1132" s="3"/>
      <c r="B1132" s="595"/>
      <c r="C1132" s="3"/>
      <c r="D1132" s="542"/>
      <c r="E1132" s="3"/>
      <c r="F1132" s="3"/>
      <c r="G1132" s="3"/>
      <c r="H1132" s="3"/>
      <c r="I1132" s="639"/>
      <c r="J1132" s="100"/>
      <c r="K1132" s="100"/>
      <c r="L1132" s="100"/>
    </row>
    <row r="1133">
      <c r="A1133" s="3"/>
      <c r="B1133" s="595"/>
      <c r="C1133" s="3"/>
      <c r="D1133" s="542"/>
      <c r="E1133" s="3"/>
      <c r="F1133" s="3"/>
      <c r="G1133" s="3"/>
      <c r="H1133" s="3"/>
      <c r="I1133" s="639"/>
      <c r="J1133" s="100"/>
      <c r="K1133" s="100"/>
      <c r="L1133" s="100"/>
    </row>
    <row r="1134">
      <c r="A1134" s="3"/>
      <c r="B1134" s="595"/>
      <c r="C1134" s="3"/>
      <c r="D1134" s="542"/>
      <c r="E1134" s="3"/>
      <c r="F1134" s="3"/>
      <c r="G1134" s="3"/>
      <c r="H1134" s="3"/>
      <c r="I1134" s="639"/>
      <c r="J1134" s="100"/>
      <c r="K1134" s="100"/>
      <c r="L1134" s="100"/>
    </row>
    <row r="1135">
      <c r="A1135" s="3"/>
      <c r="B1135" s="595"/>
      <c r="C1135" s="3"/>
      <c r="D1135" s="542"/>
      <c r="E1135" s="3"/>
      <c r="F1135" s="3"/>
      <c r="G1135" s="3"/>
      <c r="H1135" s="3"/>
      <c r="I1135" s="639"/>
      <c r="J1135" s="100"/>
      <c r="K1135" s="100"/>
      <c r="L1135" s="100"/>
    </row>
    <row r="1136">
      <c r="A1136" s="3"/>
      <c r="B1136" s="595"/>
      <c r="C1136" s="3"/>
      <c r="D1136" s="542"/>
      <c r="E1136" s="3"/>
      <c r="F1136" s="3"/>
      <c r="G1136" s="3"/>
      <c r="H1136" s="3"/>
      <c r="I1136" s="639"/>
      <c r="J1136" s="100"/>
      <c r="K1136" s="100"/>
      <c r="L1136" s="100"/>
    </row>
    <row r="1137">
      <c r="A1137" s="3"/>
      <c r="B1137" s="595"/>
      <c r="C1137" s="3"/>
      <c r="D1137" s="542"/>
      <c r="E1137" s="3"/>
      <c r="F1137" s="3"/>
      <c r="G1137" s="3"/>
      <c r="H1137" s="3"/>
      <c r="I1137" s="639"/>
      <c r="J1137" s="100"/>
      <c r="K1137" s="100"/>
      <c r="L1137" s="100"/>
    </row>
    <row r="1138">
      <c r="A1138" s="3"/>
      <c r="B1138" s="595"/>
      <c r="C1138" s="3"/>
      <c r="D1138" s="542"/>
      <c r="E1138" s="3"/>
      <c r="F1138" s="3"/>
      <c r="G1138" s="3"/>
      <c r="H1138" s="3"/>
      <c r="I1138" s="639"/>
      <c r="J1138" s="100"/>
      <c r="K1138" s="100"/>
      <c r="L1138" s="100"/>
    </row>
    <row r="1139">
      <c r="A1139" s="3"/>
      <c r="B1139" s="595"/>
      <c r="C1139" s="3"/>
      <c r="D1139" s="542"/>
      <c r="E1139" s="3"/>
      <c r="F1139" s="3"/>
      <c r="G1139" s="3"/>
      <c r="H1139" s="3"/>
      <c r="I1139" s="639"/>
      <c r="J1139" s="100"/>
      <c r="K1139" s="100"/>
      <c r="L1139" s="100"/>
    </row>
    <row r="1140">
      <c r="A1140" s="3"/>
      <c r="B1140" s="595"/>
      <c r="C1140" s="3"/>
      <c r="D1140" s="542"/>
      <c r="E1140" s="3"/>
      <c r="F1140" s="3"/>
      <c r="G1140" s="3"/>
      <c r="H1140" s="3"/>
      <c r="I1140" s="639"/>
      <c r="J1140" s="100"/>
      <c r="K1140" s="100"/>
      <c r="L1140" s="100"/>
    </row>
    <row r="1141">
      <c r="A1141" s="3"/>
      <c r="B1141" s="595"/>
      <c r="C1141" s="3"/>
      <c r="D1141" s="542"/>
      <c r="E1141" s="3"/>
      <c r="F1141" s="3"/>
      <c r="G1141" s="3"/>
      <c r="H1141" s="3"/>
      <c r="I1141" s="639"/>
      <c r="J1141" s="100"/>
      <c r="K1141" s="100"/>
      <c r="L1141" s="100"/>
    </row>
    <row r="1142">
      <c r="A1142" s="3"/>
      <c r="B1142" s="595"/>
      <c r="C1142" s="3"/>
      <c r="D1142" s="542"/>
      <c r="E1142" s="3"/>
      <c r="F1142" s="3"/>
      <c r="G1142" s="3"/>
      <c r="H1142" s="3"/>
      <c r="I1142" s="639"/>
      <c r="J1142" s="100"/>
      <c r="K1142" s="100"/>
      <c r="L1142" s="100"/>
    </row>
    <row r="1143">
      <c r="A1143" s="3"/>
      <c r="B1143" s="595"/>
      <c r="C1143" s="3"/>
      <c r="D1143" s="542"/>
      <c r="E1143" s="3"/>
      <c r="F1143" s="3"/>
      <c r="G1143" s="3"/>
      <c r="H1143" s="3"/>
      <c r="I1143" s="639"/>
      <c r="J1143" s="100"/>
      <c r="K1143" s="100"/>
      <c r="L1143" s="100"/>
    </row>
    <row r="1144">
      <c r="A1144" s="3"/>
      <c r="B1144" s="595"/>
      <c r="C1144" s="3"/>
      <c r="D1144" s="542"/>
      <c r="E1144" s="3"/>
      <c r="F1144" s="3"/>
      <c r="G1144" s="3"/>
      <c r="H1144" s="3"/>
      <c r="I1144" s="639"/>
      <c r="J1144" s="100"/>
      <c r="K1144" s="100"/>
      <c r="L1144" s="100"/>
    </row>
    <row r="1145">
      <c r="A1145" s="3"/>
      <c r="B1145" s="595"/>
      <c r="C1145" s="3"/>
      <c r="D1145" s="542"/>
      <c r="E1145" s="3"/>
      <c r="F1145" s="3"/>
      <c r="G1145" s="3"/>
      <c r="H1145" s="3"/>
      <c r="I1145" s="639"/>
      <c r="J1145" s="100"/>
      <c r="K1145" s="100"/>
      <c r="L1145" s="100"/>
    </row>
    <row r="1146">
      <c r="A1146" s="3"/>
      <c r="B1146" s="595"/>
      <c r="C1146" s="3"/>
      <c r="D1146" s="542"/>
      <c r="E1146" s="3"/>
      <c r="F1146" s="3"/>
      <c r="G1146" s="3"/>
      <c r="H1146" s="3"/>
      <c r="I1146" s="639"/>
      <c r="J1146" s="100"/>
      <c r="K1146" s="100"/>
      <c r="L1146" s="100"/>
    </row>
    <row r="1147">
      <c r="A1147" s="3"/>
      <c r="B1147" s="595"/>
      <c r="C1147" s="3"/>
      <c r="D1147" s="542"/>
      <c r="E1147" s="3"/>
      <c r="F1147" s="3"/>
      <c r="G1147" s="3"/>
      <c r="H1147" s="3"/>
      <c r="I1147" s="639"/>
      <c r="J1147" s="100"/>
      <c r="K1147" s="100"/>
      <c r="L1147" s="100"/>
    </row>
    <row r="1148">
      <c r="A1148" s="3"/>
      <c r="B1148" s="595"/>
      <c r="C1148" s="3"/>
      <c r="D1148" s="542"/>
      <c r="E1148" s="3"/>
      <c r="F1148" s="3"/>
      <c r="G1148" s="3"/>
      <c r="H1148" s="3"/>
      <c r="I1148" s="639"/>
      <c r="J1148" s="100"/>
      <c r="K1148" s="100"/>
      <c r="L1148" s="100"/>
    </row>
    <row r="1149">
      <c r="A1149" s="3"/>
      <c r="B1149" s="595"/>
      <c r="C1149" s="3"/>
      <c r="D1149" s="542"/>
      <c r="E1149" s="3"/>
      <c r="F1149" s="3"/>
      <c r="G1149" s="3"/>
      <c r="H1149" s="3"/>
      <c r="I1149" s="639"/>
      <c r="J1149" s="100"/>
      <c r="K1149" s="100"/>
      <c r="L1149" s="100"/>
    </row>
    <row r="1150">
      <c r="A1150" s="3"/>
      <c r="B1150" s="595"/>
      <c r="C1150" s="3"/>
      <c r="D1150" s="542"/>
      <c r="E1150" s="3"/>
      <c r="F1150" s="3"/>
      <c r="G1150" s="3"/>
      <c r="H1150" s="3"/>
      <c r="I1150" s="639"/>
      <c r="J1150" s="100"/>
      <c r="K1150" s="100"/>
      <c r="L1150" s="100"/>
    </row>
    <row r="1151">
      <c r="A1151" s="3"/>
      <c r="B1151" s="595"/>
      <c r="C1151" s="3"/>
      <c r="D1151" s="542"/>
      <c r="E1151" s="3"/>
      <c r="F1151" s="3"/>
      <c r="G1151" s="3"/>
      <c r="H1151" s="3"/>
      <c r="I1151" s="639"/>
      <c r="J1151" s="100"/>
      <c r="K1151" s="100"/>
      <c r="L1151" s="100"/>
    </row>
    <row r="1152">
      <c r="A1152" s="3"/>
      <c r="B1152" s="595"/>
      <c r="C1152" s="3"/>
      <c r="D1152" s="542"/>
      <c r="E1152" s="3"/>
      <c r="F1152" s="3"/>
      <c r="G1152" s="3"/>
      <c r="H1152" s="3"/>
      <c r="I1152" s="639"/>
      <c r="J1152" s="100"/>
      <c r="K1152" s="100"/>
      <c r="L1152" s="100"/>
    </row>
    <row r="1153">
      <c r="A1153" s="3"/>
      <c r="B1153" s="595"/>
      <c r="C1153" s="3"/>
      <c r="D1153" s="542"/>
      <c r="E1153" s="3"/>
      <c r="F1153" s="3"/>
      <c r="G1153" s="3"/>
      <c r="H1153" s="3"/>
      <c r="I1153" s="639"/>
      <c r="J1153" s="100"/>
      <c r="K1153" s="100"/>
      <c r="L1153" s="100"/>
    </row>
    <row r="1154">
      <c r="A1154" s="3"/>
      <c r="B1154" s="595"/>
      <c r="C1154" s="3"/>
      <c r="D1154" s="542"/>
      <c r="E1154" s="3"/>
      <c r="F1154" s="3"/>
      <c r="G1154" s="3"/>
      <c r="H1154" s="3"/>
      <c r="I1154" s="639"/>
      <c r="J1154" s="100"/>
      <c r="K1154" s="100"/>
      <c r="L1154" s="100"/>
    </row>
    <row r="1155">
      <c r="A1155" s="3"/>
      <c r="B1155" s="595"/>
      <c r="C1155" s="3"/>
      <c r="D1155" s="542"/>
      <c r="E1155" s="3"/>
      <c r="F1155" s="3"/>
      <c r="G1155" s="3"/>
      <c r="H1155" s="3"/>
      <c r="I1155" s="639"/>
      <c r="J1155" s="100"/>
      <c r="K1155" s="100"/>
      <c r="L1155" s="100"/>
    </row>
    <row r="1156">
      <c r="A1156" s="3"/>
      <c r="B1156" s="595"/>
      <c r="C1156" s="3"/>
      <c r="D1156" s="542"/>
      <c r="E1156" s="3"/>
      <c r="F1156" s="3"/>
      <c r="G1156" s="3"/>
      <c r="H1156" s="3"/>
      <c r="I1156" s="639"/>
      <c r="J1156" s="100"/>
      <c r="K1156" s="100"/>
      <c r="L1156" s="100"/>
    </row>
    <row r="1157">
      <c r="A1157" s="3"/>
      <c r="B1157" s="595"/>
      <c r="C1157" s="3"/>
      <c r="D1157" s="542"/>
      <c r="E1157" s="3"/>
      <c r="F1157" s="3"/>
      <c r="G1157" s="3"/>
      <c r="H1157" s="3"/>
      <c r="I1157" s="639"/>
      <c r="J1157" s="100"/>
      <c r="K1157" s="100"/>
      <c r="L1157" s="100"/>
    </row>
    <row r="1158">
      <c r="A1158" s="3"/>
      <c r="B1158" s="595"/>
      <c r="C1158" s="3"/>
      <c r="D1158" s="542"/>
      <c r="E1158" s="3"/>
      <c r="F1158" s="3"/>
      <c r="G1158" s="3"/>
      <c r="H1158" s="3"/>
      <c r="I1158" s="639"/>
      <c r="J1158" s="100"/>
      <c r="K1158" s="100"/>
      <c r="L1158" s="100"/>
    </row>
    <row r="1159">
      <c r="A1159" s="3"/>
      <c r="B1159" s="595"/>
      <c r="C1159" s="3"/>
      <c r="D1159" s="542"/>
      <c r="E1159" s="3"/>
      <c r="F1159" s="3"/>
      <c r="G1159" s="3"/>
      <c r="H1159" s="3"/>
      <c r="I1159" s="639"/>
      <c r="J1159" s="100"/>
      <c r="K1159" s="100"/>
      <c r="L1159" s="100"/>
    </row>
    <row r="1160">
      <c r="A1160" s="3"/>
      <c r="B1160" s="595"/>
      <c r="C1160" s="3"/>
      <c r="D1160" s="542"/>
      <c r="E1160" s="3"/>
      <c r="F1160" s="3"/>
      <c r="G1160" s="3"/>
      <c r="H1160" s="3"/>
      <c r="I1160" s="639"/>
      <c r="J1160" s="100"/>
      <c r="K1160" s="100"/>
      <c r="L1160" s="100"/>
    </row>
    <row r="1161">
      <c r="A1161" s="3"/>
      <c r="B1161" s="595"/>
      <c r="C1161" s="3"/>
      <c r="D1161" s="542"/>
      <c r="E1161" s="3"/>
      <c r="F1161" s="3"/>
      <c r="G1161" s="3"/>
      <c r="H1161" s="3"/>
      <c r="I1161" s="639"/>
      <c r="J1161" s="100"/>
      <c r="K1161" s="100"/>
      <c r="L1161" s="100"/>
    </row>
    <row r="1162">
      <c r="A1162" s="3"/>
      <c r="B1162" s="595"/>
      <c r="C1162" s="3"/>
      <c r="D1162" s="542"/>
      <c r="E1162" s="3"/>
      <c r="F1162" s="3"/>
      <c r="G1162" s="3"/>
      <c r="H1162" s="3"/>
      <c r="I1162" s="639"/>
      <c r="J1162" s="100"/>
      <c r="K1162" s="100"/>
      <c r="L1162" s="100"/>
    </row>
    <row r="1163">
      <c r="A1163" s="3"/>
      <c r="B1163" s="595"/>
      <c r="C1163" s="3"/>
      <c r="D1163" s="542"/>
      <c r="E1163" s="3"/>
      <c r="F1163" s="3"/>
      <c r="G1163" s="3"/>
      <c r="H1163" s="3"/>
      <c r="I1163" s="639"/>
      <c r="J1163" s="100"/>
      <c r="K1163" s="100"/>
      <c r="L1163" s="100"/>
    </row>
    <row r="1164">
      <c r="A1164" s="3"/>
      <c r="B1164" s="595"/>
      <c r="C1164" s="3"/>
      <c r="D1164" s="542"/>
      <c r="E1164" s="3"/>
      <c r="F1164" s="3"/>
      <c r="G1164" s="3"/>
      <c r="H1164" s="3"/>
      <c r="I1164" s="639"/>
      <c r="J1164" s="100"/>
      <c r="K1164" s="100"/>
      <c r="L1164" s="100"/>
    </row>
    <row r="1165">
      <c r="A1165" s="3"/>
      <c r="B1165" s="595"/>
      <c r="C1165" s="3"/>
      <c r="D1165" s="542"/>
      <c r="E1165" s="3"/>
      <c r="F1165" s="3"/>
      <c r="G1165" s="3"/>
      <c r="H1165" s="3"/>
      <c r="I1165" s="639"/>
      <c r="J1165" s="100"/>
      <c r="K1165" s="100"/>
      <c r="L1165" s="100"/>
    </row>
    <row r="1166">
      <c r="A1166" s="3"/>
      <c r="B1166" s="595"/>
      <c r="C1166" s="3"/>
      <c r="D1166" s="542"/>
      <c r="E1166" s="3"/>
      <c r="F1166" s="3"/>
      <c r="G1166" s="3"/>
      <c r="H1166" s="3"/>
      <c r="I1166" s="639"/>
      <c r="J1166" s="100"/>
      <c r="K1166" s="100"/>
      <c r="L1166" s="100"/>
    </row>
    <row r="1167">
      <c r="A1167" s="3"/>
      <c r="B1167" s="595"/>
      <c r="C1167" s="3"/>
      <c r="D1167" s="542"/>
      <c r="E1167" s="3"/>
      <c r="F1167" s="3"/>
      <c r="G1167" s="3"/>
      <c r="H1167" s="3"/>
      <c r="I1167" s="639"/>
      <c r="J1167" s="100"/>
      <c r="K1167" s="100"/>
      <c r="L1167" s="100"/>
    </row>
    <row r="1168">
      <c r="A1168" s="3"/>
      <c r="B1168" s="595"/>
      <c r="C1168" s="3"/>
      <c r="D1168" s="542"/>
      <c r="E1168" s="3"/>
      <c r="F1168" s="3"/>
      <c r="G1168" s="3"/>
      <c r="H1168" s="3"/>
      <c r="I1168" s="639"/>
      <c r="J1168" s="100"/>
      <c r="K1168" s="100"/>
      <c r="L1168" s="100"/>
    </row>
    <row r="1169">
      <c r="A1169" s="3"/>
      <c r="B1169" s="595"/>
      <c r="C1169" s="3"/>
      <c r="D1169" s="542"/>
      <c r="E1169" s="3"/>
      <c r="F1169" s="3"/>
      <c r="G1169" s="3"/>
      <c r="H1169" s="3"/>
      <c r="I1169" s="639"/>
      <c r="J1169" s="100"/>
      <c r="K1169" s="100"/>
      <c r="L1169" s="100"/>
    </row>
    <row r="1170">
      <c r="A1170" s="3"/>
      <c r="B1170" s="595"/>
      <c r="C1170" s="3"/>
      <c r="D1170" s="542"/>
      <c r="E1170" s="3"/>
      <c r="F1170" s="3"/>
      <c r="G1170" s="3"/>
      <c r="H1170" s="3"/>
      <c r="I1170" s="639"/>
      <c r="J1170" s="100"/>
      <c r="K1170" s="100"/>
      <c r="L1170" s="100"/>
    </row>
    <row r="1171">
      <c r="A1171" s="3"/>
      <c r="B1171" s="595"/>
      <c r="C1171" s="3"/>
      <c r="D1171" s="542"/>
      <c r="E1171" s="3"/>
      <c r="F1171" s="3"/>
      <c r="G1171" s="3"/>
      <c r="H1171" s="3"/>
      <c r="I1171" s="639"/>
      <c r="J1171" s="100"/>
      <c r="K1171" s="100"/>
      <c r="L1171" s="100"/>
    </row>
    <row r="1172">
      <c r="A1172" s="3"/>
      <c r="B1172" s="595"/>
      <c r="C1172" s="3"/>
      <c r="D1172" s="542"/>
      <c r="E1172" s="3"/>
      <c r="F1172" s="3"/>
      <c r="G1172" s="3"/>
      <c r="H1172" s="3"/>
      <c r="I1172" s="639"/>
      <c r="J1172" s="100"/>
      <c r="K1172" s="100"/>
      <c r="L1172" s="100"/>
    </row>
    <row r="1173">
      <c r="A1173" s="3"/>
      <c r="B1173" s="595"/>
      <c r="C1173" s="3"/>
      <c r="D1173" s="542"/>
      <c r="E1173" s="3"/>
      <c r="F1173" s="3"/>
      <c r="G1173" s="3"/>
      <c r="H1173" s="3"/>
      <c r="I1173" s="639"/>
      <c r="J1173" s="100"/>
      <c r="K1173" s="100"/>
      <c r="L1173" s="100"/>
    </row>
    <row r="1174">
      <c r="A1174" s="3"/>
      <c r="B1174" s="595"/>
      <c r="C1174" s="3"/>
      <c r="D1174" s="542"/>
      <c r="E1174" s="3"/>
      <c r="F1174" s="3"/>
      <c r="G1174" s="3"/>
      <c r="H1174" s="3"/>
      <c r="I1174" s="639"/>
      <c r="J1174" s="100"/>
      <c r="K1174" s="100"/>
      <c r="L1174" s="100"/>
    </row>
    <row r="1175">
      <c r="A1175" s="3"/>
      <c r="B1175" s="595"/>
      <c r="C1175" s="3"/>
      <c r="D1175" s="542"/>
      <c r="E1175" s="3"/>
      <c r="F1175" s="3"/>
      <c r="G1175" s="3"/>
      <c r="H1175" s="3"/>
      <c r="I1175" s="639"/>
      <c r="J1175" s="100"/>
      <c r="K1175" s="100"/>
      <c r="L1175" s="100"/>
    </row>
    <row r="1176">
      <c r="A1176" s="3"/>
      <c r="B1176" s="595"/>
      <c r="C1176" s="3"/>
      <c r="D1176" s="542"/>
      <c r="E1176" s="3"/>
      <c r="F1176" s="3"/>
      <c r="G1176" s="3"/>
      <c r="H1176" s="3"/>
      <c r="I1176" s="639"/>
      <c r="J1176" s="100"/>
      <c r="K1176" s="100"/>
      <c r="L1176" s="100"/>
    </row>
    <row r="1177">
      <c r="A1177" s="3"/>
      <c r="B1177" s="595"/>
      <c r="C1177" s="3"/>
      <c r="D1177" s="542"/>
      <c r="E1177" s="3"/>
      <c r="F1177" s="3"/>
      <c r="G1177" s="3"/>
      <c r="H1177" s="3"/>
      <c r="I1177" s="639"/>
      <c r="J1177" s="100"/>
      <c r="K1177" s="100"/>
      <c r="L1177" s="100"/>
    </row>
    <row r="1178">
      <c r="A1178" s="3"/>
      <c r="B1178" s="595"/>
      <c r="C1178" s="3"/>
      <c r="D1178" s="542"/>
      <c r="E1178" s="3"/>
      <c r="F1178" s="3"/>
      <c r="G1178" s="3"/>
      <c r="H1178" s="3"/>
      <c r="I1178" s="639"/>
      <c r="J1178" s="100"/>
      <c r="K1178" s="100"/>
      <c r="L1178" s="100"/>
    </row>
    <row r="1179">
      <c r="A1179" s="3"/>
      <c r="B1179" s="595"/>
      <c r="C1179" s="3"/>
      <c r="D1179" s="542"/>
      <c r="E1179" s="3"/>
      <c r="F1179" s="3"/>
      <c r="G1179" s="3"/>
      <c r="H1179" s="3"/>
      <c r="I1179" s="639"/>
      <c r="J1179" s="100"/>
      <c r="K1179" s="100"/>
      <c r="L1179" s="100"/>
    </row>
    <row r="1180">
      <c r="A1180" s="3"/>
      <c r="B1180" s="595"/>
      <c r="C1180" s="3"/>
      <c r="D1180" s="542"/>
      <c r="E1180" s="3"/>
      <c r="F1180" s="3"/>
      <c r="G1180" s="3"/>
      <c r="H1180" s="3"/>
      <c r="I1180" s="639"/>
      <c r="J1180" s="100"/>
      <c r="K1180" s="100"/>
      <c r="L1180" s="100"/>
    </row>
    <row r="1181">
      <c r="A1181" s="3"/>
      <c r="B1181" s="595"/>
      <c r="C1181" s="3"/>
      <c r="D1181" s="542"/>
      <c r="E1181" s="3"/>
      <c r="F1181" s="3"/>
      <c r="G1181" s="3"/>
      <c r="H1181" s="3"/>
      <c r="I1181" s="639"/>
      <c r="J1181" s="100"/>
      <c r="K1181" s="100"/>
      <c r="L1181" s="100"/>
    </row>
    <row r="1182">
      <c r="A1182" s="3"/>
      <c r="B1182" s="595"/>
      <c r="C1182" s="3"/>
      <c r="D1182" s="542"/>
      <c r="E1182" s="3"/>
      <c r="F1182" s="3"/>
      <c r="G1182" s="3"/>
      <c r="H1182" s="3"/>
      <c r="I1182" s="639"/>
      <c r="J1182" s="100"/>
      <c r="K1182" s="100"/>
      <c r="L1182" s="100"/>
    </row>
    <row r="1183">
      <c r="A1183" s="3"/>
      <c r="B1183" s="595"/>
      <c r="C1183" s="3"/>
      <c r="D1183" s="542"/>
      <c r="E1183" s="3"/>
      <c r="F1183" s="3"/>
      <c r="G1183" s="3"/>
      <c r="H1183" s="3"/>
      <c r="I1183" s="639"/>
      <c r="J1183" s="100"/>
      <c r="K1183" s="100"/>
      <c r="L1183" s="100"/>
    </row>
    <row r="1184">
      <c r="A1184" s="3"/>
      <c r="B1184" s="595"/>
      <c r="C1184" s="3"/>
      <c r="D1184" s="542"/>
      <c r="E1184" s="3"/>
      <c r="F1184" s="3"/>
      <c r="G1184" s="3"/>
      <c r="H1184" s="3"/>
      <c r="I1184" s="639"/>
      <c r="J1184" s="100"/>
      <c r="K1184" s="100"/>
      <c r="L1184" s="100"/>
    </row>
    <row r="1185">
      <c r="A1185" s="3"/>
      <c r="B1185" s="595"/>
      <c r="C1185" s="3"/>
      <c r="D1185" s="542"/>
      <c r="E1185" s="3"/>
      <c r="F1185" s="3"/>
      <c r="G1185" s="3"/>
      <c r="H1185" s="3"/>
      <c r="I1185" s="639"/>
      <c r="J1185" s="100"/>
      <c r="K1185" s="100"/>
      <c r="L1185" s="100"/>
    </row>
    <row r="1186">
      <c r="A1186" s="3"/>
      <c r="B1186" s="595"/>
      <c r="C1186" s="3"/>
      <c r="D1186" s="542"/>
      <c r="E1186" s="3"/>
      <c r="F1186" s="3"/>
      <c r="G1186" s="3"/>
      <c r="H1186" s="3"/>
      <c r="I1186" s="639"/>
      <c r="J1186" s="100"/>
      <c r="K1186" s="100"/>
      <c r="L1186" s="100"/>
    </row>
    <row r="1187">
      <c r="A1187" s="3"/>
      <c r="B1187" s="595"/>
      <c r="C1187" s="3"/>
      <c r="D1187" s="542"/>
      <c r="E1187" s="3"/>
      <c r="F1187" s="3"/>
      <c r="G1187" s="3"/>
      <c r="H1187" s="3"/>
      <c r="I1187" s="639"/>
      <c r="J1187" s="100"/>
      <c r="K1187" s="100"/>
      <c r="L1187" s="100"/>
    </row>
    <row r="1188">
      <c r="A1188" s="3"/>
      <c r="B1188" s="595"/>
      <c r="C1188" s="3"/>
      <c r="D1188" s="542"/>
      <c r="E1188" s="3"/>
      <c r="F1188" s="3"/>
      <c r="G1188" s="3"/>
      <c r="H1188" s="3"/>
      <c r="I1188" s="639"/>
      <c r="J1188" s="100"/>
      <c r="K1188" s="100"/>
      <c r="L1188" s="100"/>
    </row>
    <row r="1189">
      <c r="A1189" s="3"/>
      <c r="B1189" s="595"/>
      <c r="C1189" s="3"/>
      <c r="D1189" s="542"/>
      <c r="E1189" s="3"/>
      <c r="F1189" s="3"/>
      <c r="G1189" s="3"/>
      <c r="H1189" s="3"/>
      <c r="I1189" s="639"/>
      <c r="J1189" s="100"/>
      <c r="K1189" s="100"/>
      <c r="L1189" s="100"/>
    </row>
    <row r="1190">
      <c r="A1190" s="3"/>
      <c r="B1190" s="595"/>
      <c r="C1190" s="3"/>
      <c r="D1190" s="542"/>
      <c r="E1190" s="3"/>
      <c r="F1190" s="3"/>
      <c r="G1190" s="3"/>
      <c r="H1190" s="3"/>
      <c r="I1190" s="639"/>
      <c r="J1190" s="100"/>
      <c r="K1190" s="100"/>
      <c r="L1190" s="100"/>
    </row>
    <row r="1191">
      <c r="A1191" s="3"/>
      <c r="B1191" s="595"/>
      <c r="C1191" s="3"/>
      <c r="D1191" s="542"/>
      <c r="E1191" s="3"/>
      <c r="F1191" s="3"/>
      <c r="G1191" s="3"/>
      <c r="H1191" s="3"/>
      <c r="I1191" s="639"/>
      <c r="J1191" s="100"/>
      <c r="K1191" s="100"/>
      <c r="L1191" s="100"/>
    </row>
    <row r="1192">
      <c r="A1192" s="3"/>
      <c r="B1192" s="595"/>
      <c r="C1192" s="3"/>
      <c r="D1192" s="542"/>
      <c r="E1192" s="3"/>
      <c r="F1192" s="3"/>
      <c r="G1192" s="3"/>
      <c r="H1192" s="3"/>
      <c r="I1192" s="639"/>
      <c r="J1192" s="100"/>
      <c r="K1192" s="100"/>
      <c r="L1192" s="100"/>
    </row>
    <row r="1193">
      <c r="A1193" s="3"/>
      <c r="B1193" s="595"/>
      <c r="C1193" s="3"/>
      <c r="D1193" s="542"/>
      <c r="E1193" s="3"/>
      <c r="F1193" s="3"/>
      <c r="G1193" s="3"/>
      <c r="H1193" s="3"/>
      <c r="I1193" s="639"/>
      <c r="J1193" s="100"/>
      <c r="K1193" s="100"/>
      <c r="L1193" s="100"/>
    </row>
    <row r="1194">
      <c r="A1194" s="3"/>
      <c r="B1194" s="595"/>
      <c r="C1194" s="3"/>
      <c r="D1194" s="542"/>
      <c r="E1194" s="3"/>
      <c r="F1194" s="3"/>
      <c r="G1194" s="3"/>
      <c r="H1194" s="3"/>
      <c r="I1194" s="639"/>
      <c r="J1194" s="100"/>
      <c r="K1194" s="100"/>
      <c r="L1194" s="100"/>
    </row>
    <row r="1195">
      <c r="A1195" s="3"/>
      <c r="B1195" s="595"/>
      <c r="C1195" s="3"/>
      <c r="D1195" s="542"/>
      <c r="E1195" s="3"/>
      <c r="F1195" s="3"/>
      <c r="G1195" s="3"/>
      <c r="H1195" s="3"/>
      <c r="I1195" s="639"/>
      <c r="J1195" s="100"/>
      <c r="K1195" s="100"/>
      <c r="L1195" s="100"/>
    </row>
    <row r="1196">
      <c r="A1196" s="3"/>
      <c r="B1196" s="595"/>
      <c r="C1196" s="3"/>
      <c r="D1196" s="542"/>
      <c r="E1196" s="3"/>
      <c r="F1196" s="3"/>
      <c r="G1196" s="3"/>
      <c r="H1196" s="3"/>
      <c r="I1196" s="639"/>
      <c r="J1196" s="100"/>
      <c r="K1196" s="100"/>
      <c r="L1196" s="100"/>
    </row>
    <row r="1197">
      <c r="A1197" s="3"/>
      <c r="B1197" s="595"/>
      <c r="C1197" s="3"/>
      <c r="D1197" s="542"/>
      <c r="E1197" s="3"/>
      <c r="F1197" s="3"/>
      <c r="G1197" s="3"/>
      <c r="H1197" s="3"/>
      <c r="I1197" s="639"/>
      <c r="J1197" s="100"/>
      <c r="K1197" s="100"/>
      <c r="L1197" s="100"/>
    </row>
    <row r="1198">
      <c r="A1198" s="3"/>
      <c r="B1198" s="595"/>
      <c r="C1198" s="3"/>
      <c r="D1198" s="542"/>
      <c r="E1198" s="3"/>
      <c r="F1198" s="3"/>
      <c r="G1198" s="3"/>
      <c r="H1198" s="3"/>
      <c r="I1198" s="639"/>
      <c r="J1198" s="100"/>
      <c r="K1198" s="100"/>
      <c r="L1198" s="100"/>
    </row>
    <row r="1199">
      <c r="A1199" s="3"/>
      <c r="B1199" s="595"/>
      <c r="C1199" s="3"/>
      <c r="D1199" s="542"/>
      <c r="E1199" s="3"/>
      <c r="F1199" s="3"/>
      <c r="G1199" s="3"/>
      <c r="H1199" s="3"/>
      <c r="I1199" s="639"/>
      <c r="J1199" s="100"/>
      <c r="K1199" s="100"/>
      <c r="L1199" s="100"/>
    </row>
    <row r="1200">
      <c r="A1200" s="3"/>
      <c r="B1200" s="595"/>
      <c r="C1200" s="3"/>
      <c r="D1200" s="542"/>
      <c r="E1200" s="3"/>
      <c r="F1200" s="3"/>
      <c r="G1200" s="3"/>
      <c r="H1200" s="3"/>
      <c r="I1200" s="639"/>
      <c r="J1200" s="100"/>
      <c r="K1200" s="100"/>
      <c r="L1200" s="100"/>
    </row>
    <row r="1201">
      <c r="A1201" s="3"/>
      <c r="B1201" s="595"/>
      <c r="C1201" s="3"/>
      <c r="D1201" s="542"/>
      <c r="E1201" s="3"/>
      <c r="F1201" s="3"/>
      <c r="G1201" s="3"/>
      <c r="H1201" s="3"/>
      <c r="I1201" s="639"/>
      <c r="J1201" s="100"/>
      <c r="K1201" s="100"/>
      <c r="L1201" s="100"/>
    </row>
    <row r="1202">
      <c r="A1202" s="3"/>
      <c r="B1202" s="595"/>
      <c r="C1202" s="3"/>
      <c r="D1202" s="542"/>
      <c r="E1202" s="3"/>
      <c r="F1202" s="3"/>
      <c r="G1202" s="3"/>
      <c r="H1202" s="3"/>
      <c r="I1202" s="639"/>
      <c r="J1202" s="100"/>
      <c r="K1202" s="100"/>
      <c r="L1202" s="100"/>
    </row>
    <row r="1203">
      <c r="A1203" s="3"/>
      <c r="B1203" s="595"/>
      <c r="C1203" s="3"/>
      <c r="D1203" s="542"/>
      <c r="E1203" s="3"/>
      <c r="F1203" s="3"/>
      <c r="G1203" s="3"/>
      <c r="H1203" s="3"/>
      <c r="I1203" s="639"/>
      <c r="J1203" s="100"/>
      <c r="K1203" s="100"/>
      <c r="L1203" s="100"/>
    </row>
    <row r="1204">
      <c r="A1204" s="3"/>
      <c r="B1204" s="595"/>
      <c r="C1204" s="3"/>
      <c r="D1204" s="542"/>
      <c r="E1204" s="3"/>
      <c r="F1204" s="3"/>
      <c r="G1204" s="3"/>
      <c r="H1204" s="3"/>
      <c r="I1204" s="639"/>
      <c r="J1204" s="100"/>
      <c r="K1204" s="100"/>
      <c r="L1204" s="100"/>
    </row>
    <row r="1205">
      <c r="A1205" s="3"/>
      <c r="B1205" s="595"/>
      <c r="C1205" s="3"/>
      <c r="D1205" s="542"/>
      <c r="E1205" s="3"/>
      <c r="F1205" s="3"/>
      <c r="G1205" s="3"/>
      <c r="H1205" s="3"/>
      <c r="I1205" s="639"/>
      <c r="J1205" s="100"/>
      <c r="K1205" s="100"/>
      <c r="L1205" s="100"/>
    </row>
    <row r="1206">
      <c r="A1206" s="3"/>
      <c r="B1206" s="595"/>
      <c r="C1206" s="3"/>
      <c r="D1206" s="542"/>
      <c r="E1206" s="3"/>
      <c r="F1206" s="3"/>
      <c r="G1206" s="3"/>
      <c r="H1206" s="3"/>
      <c r="I1206" s="639"/>
      <c r="J1206" s="100"/>
      <c r="K1206" s="100"/>
      <c r="L1206" s="100"/>
    </row>
    <row r="1207">
      <c r="A1207" s="3"/>
      <c r="B1207" s="595"/>
      <c r="C1207" s="3"/>
      <c r="D1207" s="542"/>
      <c r="E1207" s="3"/>
      <c r="F1207" s="3"/>
      <c r="G1207" s="3"/>
      <c r="H1207" s="3"/>
      <c r="I1207" s="639"/>
      <c r="J1207" s="100"/>
      <c r="K1207" s="100"/>
      <c r="L1207" s="100"/>
    </row>
    <row r="1208">
      <c r="A1208" s="3"/>
      <c r="B1208" s="595"/>
      <c r="C1208" s="3"/>
      <c r="D1208" s="542"/>
      <c r="E1208" s="3"/>
      <c r="F1208" s="3"/>
      <c r="G1208" s="3"/>
      <c r="H1208" s="3"/>
      <c r="I1208" s="639"/>
      <c r="J1208" s="100"/>
      <c r="K1208" s="100"/>
      <c r="L1208" s="100"/>
    </row>
    <row r="1209">
      <c r="A1209" s="3"/>
      <c r="B1209" s="595"/>
      <c r="C1209" s="3"/>
      <c r="D1209" s="542"/>
      <c r="E1209" s="3"/>
      <c r="F1209" s="3"/>
      <c r="G1209" s="3"/>
      <c r="H1209" s="3"/>
      <c r="I1209" s="639"/>
      <c r="J1209" s="100"/>
      <c r="K1209" s="100"/>
      <c r="L1209" s="100"/>
    </row>
    <row r="1210">
      <c r="A1210" s="3"/>
      <c r="B1210" s="595"/>
      <c r="C1210" s="3"/>
      <c r="D1210" s="542"/>
      <c r="E1210" s="3"/>
      <c r="F1210" s="3"/>
      <c r="G1210" s="3"/>
      <c r="H1210" s="3"/>
      <c r="I1210" s="639"/>
      <c r="J1210" s="100"/>
      <c r="K1210" s="100"/>
      <c r="L1210" s="100"/>
    </row>
    <row r="1211">
      <c r="A1211" s="3"/>
      <c r="B1211" s="595"/>
      <c r="C1211" s="3"/>
      <c r="D1211" s="542"/>
      <c r="E1211" s="3"/>
      <c r="F1211" s="3"/>
      <c r="G1211" s="3"/>
      <c r="H1211" s="3"/>
      <c r="I1211" s="639"/>
      <c r="J1211" s="100"/>
      <c r="K1211" s="100"/>
      <c r="L1211" s="100"/>
    </row>
    <row r="1212">
      <c r="A1212" s="3"/>
      <c r="B1212" s="595"/>
      <c r="C1212" s="3"/>
      <c r="D1212" s="542"/>
      <c r="E1212" s="3"/>
      <c r="F1212" s="3"/>
      <c r="G1212" s="3"/>
      <c r="H1212" s="3"/>
      <c r="I1212" s="639"/>
      <c r="J1212" s="100"/>
      <c r="K1212" s="100"/>
      <c r="L1212" s="100"/>
    </row>
    <row r="1213">
      <c r="A1213" s="3"/>
      <c r="B1213" s="595"/>
      <c r="C1213" s="3"/>
      <c r="D1213" s="542"/>
      <c r="E1213" s="3"/>
      <c r="F1213" s="3"/>
      <c r="G1213" s="3"/>
      <c r="H1213" s="3"/>
      <c r="I1213" s="639"/>
      <c r="J1213" s="100"/>
      <c r="K1213" s="100"/>
      <c r="L1213" s="100"/>
    </row>
    <row r="1214">
      <c r="A1214" s="3"/>
      <c r="B1214" s="595"/>
      <c r="C1214" s="3"/>
      <c r="D1214" s="542"/>
      <c r="E1214" s="3"/>
      <c r="F1214" s="3"/>
      <c r="G1214" s="3"/>
      <c r="H1214" s="3"/>
      <c r="I1214" s="639"/>
      <c r="J1214" s="100"/>
      <c r="K1214" s="100"/>
      <c r="L1214" s="100"/>
    </row>
    <row r="1215">
      <c r="A1215" s="3"/>
      <c r="B1215" s="595"/>
      <c r="C1215" s="3"/>
      <c r="D1215" s="542"/>
      <c r="E1215" s="3"/>
      <c r="F1215" s="3"/>
      <c r="G1215" s="3"/>
      <c r="H1215" s="3"/>
      <c r="I1215" s="639"/>
      <c r="J1215" s="100"/>
      <c r="K1215" s="100"/>
      <c r="L1215" s="100"/>
    </row>
    <row r="1216">
      <c r="A1216" s="3"/>
      <c r="B1216" s="595"/>
      <c r="C1216" s="3"/>
      <c r="D1216" s="542"/>
      <c r="E1216" s="3"/>
      <c r="F1216" s="3"/>
      <c r="G1216" s="3"/>
      <c r="H1216" s="3"/>
      <c r="I1216" s="639"/>
      <c r="J1216" s="100"/>
      <c r="K1216" s="100"/>
      <c r="L1216" s="100"/>
    </row>
    <row r="1217">
      <c r="A1217" s="3"/>
      <c r="B1217" s="595"/>
      <c r="C1217" s="3"/>
      <c r="D1217" s="542"/>
      <c r="E1217" s="3"/>
      <c r="F1217" s="3"/>
      <c r="G1217" s="3"/>
      <c r="H1217" s="3"/>
      <c r="I1217" s="639"/>
      <c r="J1217" s="100"/>
      <c r="K1217" s="100"/>
      <c r="L1217" s="10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0.5"/>
    <col customWidth="1" min="4" max="4" width="20.5"/>
    <col customWidth="1" min="5" max="5" width="18.63"/>
    <col customWidth="1" min="6" max="6" width="17.75"/>
    <col customWidth="1" min="7" max="7" width="18.63"/>
  </cols>
  <sheetData>
    <row r="1">
      <c r="A1" s="3">
        <f t="shared" ref="A1:A188" si="1">ROW()</f>
        <v>1</v>
      </c>
      <c r="B1" s="340" t="s">
        <v>0</v>
      </c>
      <c r="C1" s="3" t="str">
        <f t="shared" ref="C1:C188" si="2">"=&gt;"</f>
        <v>=&gt;</v>
      </c>
      <c r="D1" s="341" t="s">
        <v>836</v>
      </c>
      <c r="E1" s="342" t="s">
        <v>837</v>
      </c>
      <c r="F1" s="3" t="s">
        <v>838</v>
      </c>
      <c r="G1" s="3" t="s">
        <v>62</v>
      </c>
      <c r="H1" s="3" t="s">
        <v>64</v>
      </c>
      <c r="I1" s="651" t="s">
        <v>839</v>
      </c>
      <c r="J1" s="537"/>
    </row>
    <row r="2">
      <c r="A2" s="3">
        <f t="shared" si="1"/>
        <v>2</v>
      </c>
      <c r="B2" s="341" t="s">
        <v>836</v>
      </c>
      <c r="C2" s="3" t="str">
        <f t="shared" si="2"/>
        <v>=&gt;</v>
      </c>
      <c r="D2" s="652" t="s">
        <v>1128</v>
      </c>
      <c r="E2" s="341" t="s">
        <v>836</v>
      </c>
      <c r="F2" s="100"/>
      <c r="G2" s="537"/>
      <c r="H2" s="537"/>
      <c r="I2" s="537"/>
      <c r="J2" s="537"/>
    </row>
    <row r="3">
      <c r="A3" s="3">
        <f t="shared" si="1"/>
        <v>3</v>
      </c>
      <c r="B3" s="341" t="s">
        <v>836</v>
      </c>
      <c r="C3" s="3" t="str">
        <f t="shared" si="2"/>
        <v>=&gt;</v>
      </c>
      <c r="D3" s="348" t="s">
        <v>848</v>
      </c>
      <c r="E3" s="341" t="s">
        <v>836</v>
      </c>
      <c r="F3" s="100"/>
      <c r="G3" s="537"/>
      <c r="H3" s="537"/>
      <c r="I3" s="537"/>
      <c r="J3" s="537"/>
    </row>
    <row r="4">
      <c r="A4" s="3">
        <f t="shared" si="1"/>
        <v>4</v>
      </c>
      <c r="B4" s="341" t="s">
        <v>836</v>
      </c>
      <c r="C4" s="3" t="str">
        <f t="shared" si="2"/>
        <v>=&gt;</v>
      </c>
      <c r="D4" s="3" t="s">
        <v>14</v>
      </c>
      <c r="E4" s="349" t="s">
        <v>849</v>
      </c>
      <c r="F4" s="341" t="s">
        <v>836</v>
      </c>
      <c r="G4" s="537"/>
      <c r="H4" s="537"/>
      <c r="I4" s="537"/>
      <c r="J4" s="537"/>
    </row>
    <row r="5">
      <c r="A5" s="3">
        <f t="shared" si="1"/>
        <v>5</v>
      </c>
      <c r="B5" s="341" t="s">
        <v>836</v>
      </c>
      <c r="C5" s="3" t="str">
        <f t="shared" si="2"/>
        <v>=&gt;</v>
      </c>
      <c r="D5" s="3" t="s">
        <v>8</v>
      </c>
      <c r="E5" s="537"/>
      <c r="F5" s="537"/>
      <c r="G5" s="537"/>
      <c r="H5" s="537"/>
      <c r="I5" s="537"/>
      <c r="J5" s="537"/>
    </row>
    <row r="6">
      <c r="A6" s="3">
        <f t="shared" si="1"/>
        <v>6</v>
      </c>
      <c r="B6" s="652" t="s">
        <v>1128</v>
      </c>
      <c r="C6" s="3" t="str">
        <f t="shared" si="2"/>
        <v>=&gt;</v>
      </c>
      <c r="D6" s="3" t="s">
        <v>840</v>
      </c>
      <c r="E6" s="351" t="s">
        <v>852</v>
      </c>
      <c r="F6" s="100"/>
      <c r="G6" s="100"/>
      <c r="H6" s="537"/>
      <c r="I6" s="537"/>
      <c r="J6" s="537"/>
    </row>
    <row r="7">
      <c r="A7" s="3">
        <f t="shared" si="1"/>
        <v>7</v>
      </c>
      <c r="B7" s="652" t="s">
        <v>1128</v>
      </c>
      <c r="C7" s="3" t="str">
        <f t="shared" si="2"/>
        <v>=&gt;</v>
      </c>
      <c r="D7" s="3" t="s">
        <v>844</v>
      </c>
      <c r="E7" s="351" t="s">
        <v>852</v>
      </c>
      <c r="F7" s="100"/>
      <c r="G7" s="100"/>
      <c r="H7" s="537"/>
      <c r="I7" s="537"/>
      <c r="J7" s="537"/>
    </row>
    <row r="8">
      <c r="A8" s="3">
        <f t="shared" si="1"/>
        <v>8</v>
      </c>
      <c r="B8" s="652" t="s">
        <v>1128</v>
      </c>
      <c r="C8" s="3" t="str">
        <f t="shared" si="2"/>
        <v>=&gt;</v>
      </c>
      <c r="D8" s="3" t="s">
        <v>846</v>
      </c>
      <c r="E8" s="351" t="s">
        <v>852</v>
      </c>
      <c r="F8" s="100"/>
      <c r="G8" s="100"/>
      <c r="H8" s="537"/>
      <c r="I8" s="537"/>
      <c r="J8" s="537"/>
    </row>
    <row r="9">
      <c r="A9" s="3">
        <f t="shared" si="1"/>
        <v>9</v>
      </c>
      <c r="B9" s="652" t="s">
        <v>1128</v>
      </c>
      <c r="C9" s="3" t="str">
        <f t="shared" si="2"/>
        <v>=&gt;</v>
      </c>
      <c r="D9" s="3" t="s">
        <v>842</v>
      </c>
      <c r="E9" s="351" t="s">
        <v>852</v>
      </c>
      <c r="F9" s="100"/>
      <c r="G9" s="100"/>
      <c r="H9" s="537"/>
      <c r="I9" s="537"/>
      <c r="J9" s="537"/>
    </row>
    <row r="10">
      <c r="A10" s="3">
        <f t="shared" si="1"/>
        <v>10</v>
      </c>
      <c r="B10" s="351" t="s">
        <v>852</v>
      </c>
      <c r="C10" s="3" t="str">
        <f t="shared" si="2"/>
        <v>=&gt;</v>
      </c>
      <c r="D10" s="3" t="s">
        <v>850</v>
      </c>
      <c r="E10" s="600" t="s">
        <v>1082</v>
      </c>
      <c r="F10" s="3" t="s">
        <v>6</v>
      </c>
      <c r="G10" s="537"/>
      <c r="H10" s="537"/>
      <c r="I10" s="537"/>
      <c r="J10" s="537"/>
    </row>
    <row r="11">
      <c r="A11" s="3">
        <f t="shared" si="1"/>
        <v>11</v>
      </c>
      <c r="B11" s="351" t="s">
        <v>852</v>
      </c>
      <c r="C11" s="3" t="str">
        <f t="shared" si="2"/>
        <v>=&gt;</v>
      </c>
      <c r="D11" s="462" t="s">
        <v>962</v>
      </c>
      <c r="E11" s="3" t="s">
        <v>850</v>
      </c>
      <c r="F11" s="463" t="s">
        <v>963</v>
      </c>
      <c r="G11" s="3" t="s">
        <v>6</v>
      </c>
      <c r="H11" s="537"/>
      <c r="I11" s="100"/>
      <c r="J11" s="100"/>
    </row>
    <row r="12">
      <c r="A12" s="3">
        <f t="shared" si="1"/>
        <v>12</v>
      </c>
      <c r="B12" s="600" t="s">
        <v>1082</v>
      </c>
      <c r="C12" s="3" t="str">
        <f t="shared" si="2"/>
        <v>=&gt;</v>
      </c>
      <c r="D12" s="3" t="s">
        <v>14</v>
      </c>
      <c r="E12" s="601" t="s">
        <v>1083</v>
      </c>
      <c r="F12" s="602" t="s">
        <v>1084</v>
      </c>
      <c r="G12" s="100"/>
      <c r="H12" s="537"/>
      <c r="I12" s="537"/>
      <c r="J12" s="100"/>
    </row>
    <row r="13">
      <c r="A13" s="3">
        <f t="shared" si="1"/>
        <v>13</v>
      </c>
      <c r="B13" s="601" t="s">
        <v>1083</v>
      </c>
      <c r="C13" s="3" t="str">
        <f t="shared" si="2"/>
        <v>=&gt;</v>
      </c>
      <c r="D13" s="3" t="str">
        <f>"="</f>
        <v>=</v>
      </c>
      <c r="E13" s="603" t="s">
        <v>1085</v>
      </c>
      <c r="F13" s="100"/>
      <c r="G13" s="100"/>
      <c r="H13" s="537"/>
      <c r="I13" s="537"/>
      <c r="J13" s="537"/>
    </row>
    <row r="14">
      <c r="A14" s="3">
        <f t="shared" si="1"/>
        <v>14</v>
      </c>
      <c r="B14" s="601" t="s">
        <v>1083</v>
      </c>
      <c r="C14" s="3" t="str">
        <f t="shared" si="2"/>
        <v>=&gt;</v>
      </c>
      <c r="D14" s="3" t="s">
        <v>8</v>
      </c>
      <c r="E14" s="537"/>
      <c r="F14" s="100"/>
      <c r="G14" s="100"/>
      <c r="H14" s="537"/>
      <c r="I14" s="537"/>
      <c r="J14" s="537"/>
    </row>
    <row r="15">
      <c r="A15" s="3">
        <f t="shared" si="1"/>
        <v>15</v>
      </c>
      <c r="B15" s="602" t="s">
        <v>1084</v>
      </c>
      <c r="C15" s="3" t="str">
        <f t="shared" si="2"/>
        <v>=&gt;</v>
      </c>
      <c r="D15" s="3" t="s">
        <v>38</v>
      </c>
      <c r="E15" s="3" t="s">
        <v>14</v>
      </c>
      <c r="F15" s="601" t="s">
        <v>1083</v>
      </c>
      <c r="G15" s="602" t="s">
        <v>1084</v>
      </c>
      <c r="H15" s="537"/>
      <c r="I15" s="537"/>
      <c r="J15" s="537"/>
    </row>
    <row r="16">
      <c r="A16" s="3">
        <f t="shared" si="1"/>
        <v>16</v>
      </c>
      <c r="B16" s="602" t="s">
        <v>1084</v>
      </c>
      <c r="C16" s="3" t="str">
        <f t="shared" si="2"/>
        <v>=&gt;</v>
      </c>
      <c r="D16" s="3" t="s">
        <v>8</v>
      </c>
      <c r="E16" s="100"/>
      <c r="F16" s="537"/>
      <c r="G16" s="100"/>
      <c r="H16" s="537"/>
      <c r="I16" s="537"/>
      <c r="J16" s="537"/>
    </row>
    <row r="17">
      <c r="A17" s="3">
        <f t="shared" si="1"/>
        <v>17</v>
      </c>
      <c r="B17" s="603" t="s">
        <v>1085</v>
      </c>
      <c r="C17" s="3" t="str">
        <f t="shared" si="2"/>
        <v>=&gt;</v>
      </c>
      <c r="D17" s="604" t="s">
        <v>1086</v>
      </c>
      <c r="E17" s="537"/>
      <c r="F17" s="100"/>
      <c r="G17" s="537"/>
      <c r="H17" s="537"/>
      <c r="I17" s="537"/>
      <c r="J17" s="537"/>
    </row>
    <row r="18">
      <c r="A18" s="3">
        <f t="shared" si="1"/>
        <v>18</v>
      </c>
      <c r="B18" s="604" t="s">
        <v>1086</v>
      </c>
      <c r="C18" s="3" t="str">
        <f t="shared" si="2"/>
        <v>=&gt;</v>
      </c>
      <c r="D18" s="605" t="s">
        <v>154</v>
      </c>
      <c r="E18" s="606" t="s">
        <v>155</v>
      </c>
      <c r="F18" s="537"/>
      <c r="G18" s="537"/>
      <c r="H18" s="537"/>
      <c r="I18" s="537"/>
      <c r="J18" s="537"/>
    </row>
    <row r="19">
      <c r="A19" s="3">
        <f t="shared" si="1"/>
        <v>19</v>
      </c>
      <c r="B19" s="607" t="s">
        <v>154</v>
      </c>
      <c r="C19" s="3" t="str">
        <f t="shared" si="2"/>
        <v>=&gt;</v>
      </c>
      <c r="D19" s="608" t="s">
        <v>1087</v>
      </c>
      <c r="E19" s="609" t="s">
        <v>157</v>
      </c>
      <c r="F19" s="537"/>
      <c r="G19" s="537"/>
      <c r="H19" s="537"/>
      <c r="I19" s="537"/>
      <c r="J19" s="537"/>
    </row>
    <row r="20">
      <c r="A20" s="3">
        <f t="shared" si="1"/>
        <v>20</v>
      </c>
      <c r="B20" s="606" t="s">
        <v>155</v>
      </c>
      <c r="C20" s="3" t="str">
        <f t="shared" si="2"/>
        <v>=&gt;</v>
      </c>
      <c r="D20" s="3" t="s">
        <v>937</v>
      </c>
      <c r="E20" s="605" t="s">
        <v>154</v>
      </c>
      <c r="F20" s="610" t="s">
        <v>155</v>
      </c>
      <c r="G20" s="537"/>
      <c r="H20" s="537"/>
      <c r="I20" s="537"/>
      <c r="J20" s="537"/>
    </row>
    <row r="21">
      <c r="A21" s="3">
        <f t="shared" si="1"/>
        <v>21</v>
      </c>
      <c r="B21" s="610" t="s">
        <v>155</v>
      </c>
      <c r="C21" s="3" t="str">
        <f t="shared" si="2"/>
        <v>=&gt;</v>
      </c>
      <c r="D21" s="3" t="s">
        <v>8</v>
      </c>
      <c r="E21" s="537"/>
      <c r="F21" s="537"/>
      <c r="G21" s="537"/>
      <c r="H21" s="537"/>
      <c r="I21" s="537"/>
      <c r="J21" s="537"/>
    </row>
    <row r="22">
      <c r="A22" s="3">
        <f t="shared" si="1"/>
        <v>22</v>
      </c>
      <c r="B22" s="608" t="s">
        <v>1087</v>
      </c>
      <c r="C22" s="3" t="str">
        <f t="shared" si="2"/>
        <v>=&gt;</v>
      </c>
      <c r="D22" s="611" t="s">
        <v>110</v>
      </c>
      <c r="E22" s="612" t="s">
        <v>1088</v>
      </c>
      <c r="F22" s="537"/>
      <c r="G22" s="537"/>
      <c r="H22" s="537"/>
      <c r="I22" s="537"/>
      <c r="J22" s="537"/>
    </row>
    <row r="23">
      <c r="A23" s="3">
        <f t="shared" si="1"/>
        <v>23</v>
      </c>
      <c r="B23" s="609" t="s">
        <v>157</v>
      </c>
      <c r="C23" s="3" t="str">
        <f t="shared" si="2"/>
        <v>=&gt;</v>
      </c>
      <c r="D23" s="3" t="s">
        <v>936</v>
      </c>
      <c r="E23" s="608" t="s">
        <v>1087</v>
      </c>
      <c r="F23" s="609" t="s">
        <v>157</v>
      </c>
      <c r="G23" s="537"/>
      <c r="H23" s="537"/>
      <c r="I23" s="537"/>
      <c r="J23" s="537"/>
    </row>
    <row r="24">
      <c r="A24" s="3">
        <f t="shared" si="1"/>
        <v>24</v>
      </c>
      <c r="B24" s="609" t="s">
        <v>157</v>
      </c>
      <c r="C24" s="3" t="str">
        <f t="shared" si="2"/>
        <v>=&gt;</v>
      </c>
      <c r="D24" s="3" t="s">
        <v>8</v>
      </c>
      <c r="E24" s="537"/>
      <c r="F24" s="537"/>
      <c r="G24" s="537"/>
      <c r="H24" s="537"/>
      <c r="I24" s="537"/>
      <c r="J24" s="537"/>
    </row>
    <row r="25">
      <c r="A25" s="3">
        <f t="shared" si="1"/>
        <v>25</v>
      </c>
      <c r="B25" s="611" t="s">
        <v>110</v>
      </c>
      <c r="C25" s="3" t="str">
        <f t="shared" si="2"/>
        <v>=&gt;</v>
      </c>
      <c r="D25" s="613" t="s">
        <v>1089</v>
      </c>
      <c r="E25" s="614" t="s">
        <v>1090</v>
      </c>
      <c r="F25" s="537"/>
      <c r="G25" s="537"/>
      <c r="H25" s="537"/>
      <c r="I25" s="537"/>
      <c r="J25" s="537"/>
    </row>
    <row r="26">
      <c r="A26" s="3">
        <f t="shared" si="1"/>
        <v>26</v>
      </c>
      <c r="B26" s="612" t="s">
        <v>1088</v>
      </c>
      <c r="C26" s="3" t="str">
        <f t="shared" si="2"/>
        <v>=&gt;</v>
      </c>
      <c r="D26" s="615" t="s">
        <v>934</v>
      </c>
      <c r="E26" s="611" t="s">
        <v>110</v>
      </c>
      <c r="F26" s="612" t="s">
        <v>1088</v>
      </c>
      <c r="G26" s="537"/>
      <c r="H26" s="537"/>
      <c r="I26" s="537"/>
      <c r="J26" s="537"/>
    </row>
    <row r="27">
      <c r="A27" s="3">
        <f t="shared" si="1"/>
        <v>27</v>
      </c>
      <c r="B27" s="612" t="s">
        <v>1088</v>
      </c>
      <c r="C27" s="3" t="str">
        <f t="shared" si="2"/>
        <v>=&gt;</v>
      </c>
      <c r="D27" s="8" t="s">
        <v>163</v>
      </c>
      <c r="E27" s="611" t="s">
        <v>110</v>
      </c>
      <c r="F27" s="612" t="s">
        <v>1088</v>
      </c>
      <c r="G27" s="537"/>
      <c r="H27" s="537"/>
      <c r="I27" s="537"/>
      <c r="J27" s="537"/>
    </row>
    <row r="28">
      <c r="A28" s="3">
        <f t="shared" si="1"/>
        <v>28</v>
      </c>
      <c r="B28" s="612" t="s">
        <v>1088</v>
      </c>
      <c r="C28" s="3" t="str">
        <f t="shared" si="2"/>
        <v>=&gt;</v>
      </c>
      <c r="D28" s="3" t="s">
        <v>8</v>
      </c>
      <c r="E28" s="537"/>
      <c r="F28" s="537"/>
      <c r="G28" s="537"/>
      <c r="H28" s="537"/>
      <c r="I28" s="537"/>
      <c r="J28" s="537"/>
    </row>
    <row r="29">
      <c r="A29" s="3">
        <f t="shared" si="1"/>
        <v>29</v>
      </c>
      <c r="B29" s="613" t="s">
        <v>1089</v>
      </c>
      <c r="C29" s="3" t="str">
        <f t="shared" si="2"/>
        <v>=&gt;</v>
      </c>
      <c r="D29" s="616" t="s">
        <v>1091</v>
      </c>
      <c r="E29" s="617" t="s">
        <v>1092</v>
      </c>
      <c r="F29" s="537"/>
      <c r="G29" s="537"/>
      <c r="H29" s="537"/>
      <c r="I29" s="537"/>
      <c r="J29" s="537"/>
    </row>
    <row r="30">
      <c r="A30" s="3">
        <f t="shared" si="1"/>
        <v>30</v>
      </c>
      <c r="B30" s="614" t="s">
        <v>1090</v>
      </c>
      <c r="C30" s="3" t="str">
        <f t="shared" si="2"/>
        <v>=&gt;</v>
      </c>
      <c r="D30" s="3" t="s">
        <v>164</v>
      </c>
      <c r="E30" s="613" t="s">
        <v>1089</v>
      </c>
      <c r="F30" s="614" t="s">
        <v>1090</v>
      </c>
      <c r="G30" s="537"/>
      <c r="H30" s="537"/>
      <c r="I30" s="537"/>
      <c r="J30" s="537"/>
    </row>
    <row r="31">
      <c r="A31" s="3">
        <f t="shared" si="1"/>
        <v>31</v>
      </c>
      <c r="B31" s="614" t="s">
        <v>1090</v>
      </c>
      <c r="C31" s="3" t="str">
        <f t="shared" si="2"/>
        <v>=&gt;</v>
      </c>
      <c r="D31" s="3" t="s">
        <v>165</v>
      </c>
      <c r="E31" s="613" t="s">
        <v>1089</v>
      </c>
      <c r="F31" s="614" t="s">
        <v>1090</v>
      </c>
      <c r="G31" s="537"/>
      <c r="H31" s="537"/>
      <c r="I31" s="537"/>
      <c r="J31" s="537"/>
    </row>
    <row r="32">
      <c r="A32" s="3">
        <f t="shared" si="1"/>
        <v>32</v>
      </c>
      <c r="B32" s="614" t="s">
        <v>1090</v>
      </c>
      <c r="C32" s="3" t="str">
        <f t="shared" si="2"/>
        <v>=&gt;</v>
      </c>
      <c r="D32" s="3" t="s">
        <v>166</v>
      </c>
      <c r="E32" s="613" t="s">
        <v>1089</v>
      </c>
      <c r="F32" s="614" t="s">
        <v>1090</v>
      </c>
      <c r="G32" s="537"/>
      <c r="H32" s="537"/>
      <c r="I32" s="537"/>
      <c r="J32" s="537"/>
    </row>
    <row r="33">
      <c r="A33" s="3">
        <f t="shared" si="1"/>
        <v>33</v>
      </c>
      <c r="B33" s="614" t="s">
        <v>1090</v>
      </c>
      <c r="C33" s="3" t="str">
        <f t="shared" si="2"/>
        <v>=&gt;</v>
      </c>
      <c r="D33" s="3" t="s">
        <v>167</v>
      </c>
      <c r="E33" s="613" t="s">
        <v>1089</v>
      </c>
      <c r="F33" s="614" t="s">
        <v>1090</v>
      </c>
      <c r="G33" s="537"/>
      <c r="H33" s="537"/>
      <c r="I33" s="537"/>
      <c r="J33" s="537"/>
    </row>
    <row r="34">
      <c r="A34" s="3">
        <f t="shared" si="1"/>
        <v>34</v>
      </c>
      <c r="B34" s="614" t="s">
        <v>1090</v>
      </c>
      <c r="C34" s="3" t="str">
        <f t="shared" si="2"/>
        <v>=&gt;</v>
      </c>
      <c r="D34" s="3" t="s">
        <v>8</v>
      </c>
      <c r="E34" s="537"/>
      <c r="F34" s="537"/>
      <c r="G34" s="537"/>
      <c r="H34" s="537"/>
      <c r="I34" s="537"/>
      <c r="J34" s="537"/>
    </row>
    <row r="35">
      <c r="A35" s="3">
        <f t="shared" si="1"/>
        <v>35</v>
      </c>
      <c r="B35" s="616" t="s">
        <v>1091</v>
      </c>
      <c r="C35" s="3" t="str">
        <f t="shared" si="2"/>
        <v>=&gt;</v>
      </c>
      <c r="D35" s="621" t="s">
        <v>1093</v>
      </c>
      <c r="E35" s="622" t="s">
        <v>1094</v>
      </c>
      <c r="F35" s="537"/>
      <c r="G35" s="100"/>
      <c r="H35" s="537"/>
      <c r="I35" s="537"/>
      <c r="J35" s="537"/>
    </row>
    <row r="36">
      <c r="A36" s="3">
        <f t="shared" si="1"/>
        <v>36</v>
      </c>
      <c r="B36" s="617" t="s">
        <v>1092</v>
      </c>
      <c r="C36" s="3" t="str">
        <f t="shared" si="2"/>
        <v>=&gt;</v>
      </c>
      <c r="D36" s="615" t="s">
        <v>924</v>
      </c>
      <c r="E36" s="616" t="s">
        <v>1091</v>
      </c>
      <c r="F36" s="617" t="s">
        <v>1092</v>
      </c>
      <c r="G36" s="537"/>
      <c r="H36" s="537"/>
      <c r="I36" s="537"/>
      <c r="J36" s="537"/>
    </row>
    <row r="37">
      <c r="A37" s="3">
        <f t="shared" si="1"/>
        <v>37</v>
      </c>
      <c r="B37" s="617" t="s">
        <v>1092</v>
      </c>
      <c r="C37" s="3" t="str">
        <f t="shared" si="2"/>
        <v>=&gt;</v>
      </c>
      <c r="D37" s="615" t="s">
        <v>41</v>
      </c>
      <c r="E37" s="616" t="s">
        <v>1091</v>
      </c>
      <c r="F37" s="617" t="s">
        <v>1092</v>
      </c>
      <c r="G37" s="537"/>
      <c r="H37" s="537"/>
      <c r="I37" s="537"/>
      <c r="J37" s="537"/>
    </row>
    <row r="38">
      <c r="A38" s="3">
        <f t="shared" si="1"/>
        <v>38</v>
      </c>
      <c r="B38" s="617" t="s">
        <v>1092</v>
      </c>
      <c r="C38" s="3" t="str">
        <f t="shared" si="2"/>
        <v>=&gt;</v>
      </c>
      <c r="D38" s="3" t="s">
        <v>8</v>
      </c>
      <c r="E38" s="537"/>
      <c r="F38" s="537"/>
      <c r="G38" s="100"/>
      <c r="H38" s="537"/>
      <c r="I38" s="537"/>
      <c r="J38" s="537"/>
    </row>
    <row r="39">
      <c r="A39" s="3">
        <f t="shared" si="1"/>
        <v>39</v>
      </c>
      <c r="B39" s="621" t="s">
        <v>1093</v>
      </c>
      <c r="C39" s="3" t="str">
        <f t="shared" si="2"/>
        <v>=&gt;</v>
      </c>
      <c r="D39" s="8" t="s">
        <v>885</v>
      </c>
      <c r="E39" s="621" t="s">
        <v>1093</v>
      </c>
      <c r="F39" s="537"/>
      <c r="G39" s="537"/>
      <c r="H39" s="537"/>
      <c r="I39" s="537"/>
      <c r="J39" s="537"/>
    </row>
    <row r="40">
      <c r="A40" s="3">
        <f t="shared" si="1"/>
        <v>40</v>
      </c>
      <c r="B40" s="621" t="s">
        <v>1093</v>
      </c>
      <c r="C40" s="3" t="str">
        <f t="shared" si="2"/>
        <v>=&gt;</v>
      </c>
      <c r="D40" s="624" t="s">
        <v>1095</v>
      </c>
      <c r="E40" s="537"/>
      <c r="F40" s="537"/>
      <c r="G40" s="537"/>
      <c r="H40" s="537"/>
      <c r="I40" s="537"/>
      <c r="J40" s="537"/>
    </row>
    <row r="41">
      <c r="A41" s="3">
        <f t="shared" si="1"/>
        <v>41</v>
      </c>
      <c r="B41" s="622" t="s">
        <v>1094</v>
      </c>
      <c r="C41" s="3" t="str">
        <f t="shared" si="2"/>
        <v>=&gt;</v>
      </c>
      <c r="D41" s="3" t="s">
        <v>887</v>
      </c>
      <c r="E41" s="621" t="s">
        <v>1093</v>
      </c>
      <c r="F41" s="622" t="s">
        <v>1094</v>
      </c>
      <c r="G41" s="537"/>
      <c r="H41" s="537"/>
      <c r="I41" s="537"/>
      <c r="J41" s="537"/>
    </row>
    <row r="42">
      <c r="A42" s="3">
        <f t="shared" si="1"/>
        <v>42</v>
      </c>
      <c r="B42" s="622" t="s">
        <v>1094</v>
      </c>
      <c r="C42" s="3" t="str">
        <f t="shared" si="2"/>
        <v>=&gt;</v>
      </c>
      <c r="D42" s="3" t="s">
        <v>120</v>
      </c>
      <c r="E42" s="621" t="s">
        <v>1093</v>
      </c>
      <c r="F42" s="622" t="s">
        <v>1094</v>
      </c>
      <c r="G42" s="537"/>
      <c r="H42" s="537"/>
      <c r="I42" s="537"/>
      <c r="J42" s="537"/>
    </row>
    <row r="43">
      <c r="A43" s="3">
        <f t="shared" si="1"/>
        <v>43</v>
      </c>
      <c r="B43" s="622" t="s">
        <v>1094</v>
      </c>
      <c r="C43" s="3" t="str">
        <f t="shared" si="2"/>
        <v>=&gt;</v>
      </c>
      <c r="D43" s="3" t="s">
        <v>121</v>
      </c>
      <c r="E43" s="621" t="s">
        <v>1093</v>
      </c>
      <c r="F43" s="622" t="s">
        <v>1094</v>
      </c>
      <c r="G43" s="537"/>
      <c r="H43" s="537"/>
      <c r="I43" s="537"/>
      <c r="J43" s="537"/>
    </row>
    <row r="44">
      <c r="A44" s="3">
        <f t="shared" si="1"/>
        <v>44</v>
      </c>
      <c r="B44" s="622" t="s">
        <v>1094</v>
      </c>
      <c r="C44" s="3" t="str">
        <f t="shared" si="2"/>
        <v>=&gt;</v>
      </c>
      <c r="D44" s="3" t="s">
        <v>8</v>
      </c>
      <c r="E44" s="537"/>
      <c r="F44" s="537"/>
      <c r="G44" s="537"/>
      <c r="H44" s="537"/>
      <c r="I44" s="537"/>
      <c r="J44" s="537"/>
    </row>
    <row r="45">
      <c r="A45" s="3">
        <f t="shared" si="1"/>
        <v>45</v>
      </c>
      <c r="B45" s="624" t="s">
        <v>1095</v>
      </c>
      <c r="C45" s="3" t="str">
        <f t="shared" si="2"/>
        <v>=&gt;</v>
      </c>
      <c r="D45" s="3" t="s">
        <v>62</v>
      </c>
      <c r="E45" s="603" t="s">
        <v>1085</v>
      </c>
      <c r="F45" s="3" t="s">
        <v>64</v>
      </c>
      <c r="G45" s="537"/>
      <c r="H45" s="537"/>
      <c r="I45" s="537"/>
      <c r="J45" s="537"/>
    </row>
    <row r="46">
      <c r="A46" s="3">
        <f t="shared" si="1"/>
        <v>46</v>
      </c>
      <c r="B46" s="624" t="s">
        <v>1095</v>
      </c>
      <c r="C46" s="3" t="str">
        <f t="shared" si="2"/>
        <v>=&gt;</v>
      </c>
      <c r="D46" s="3" t="s">
        <v>868</v>
      </c>
      <c r="E46" s="537"/>
      <c r="F46" s="537"/>
      <c r="G46" s="537"/>
      <c r="H46" s="537"/>
      <c r="I46" s="537"/>
      <c r="J46" s="537"/>
    </row>
    <row r="47">
      <c r="A47" s="3">
        <f t="shared" si="1"/>
        <v>47</v>
      </c>
      <c r="B47" s="624" t="s">
        <v>1095</v>
      </c>
      <c r="C47" s="3" t="str">
        <f t="shared" si="2"/>
        <v>=&gt;</v>
      </c>
      <c r="D47" s="3" t="s">
        <v>902</v>
      </c>
      <c r="E47" s="537"/>
      <c r="F47" s="537"/>
      <c r="G47" s="537"/>
      <c r="H47" s="537"/>
      <c r="I47" s="537"/>
      <c r="J47" s="537"/>
    </row>
    <row r="48">
      <c r="A48" s="3">
        <f t="shared" si="1"/>
        <v>48</v>
      </c>
      <c r="B48" s="624" t="s">
        <v>1095</v>
      </c>
      <c r="C48" s="3" t="str">
        <f t="shared" si="2"/>
        <v>=&gt;</v>
      </c>
      <c r="D48" s="3" t="s">
        <v>903</v>
      </c>
      <c r="E48" s="537"/>
      <c r="F48" s="537"/>
      <c r="G48" s="537"/>
      <c r="H48" s="537"/>
      <c r="I48" s="537"/>
      <c r="J48" s="537"/>
    </row>
    <row r="49">
      <c r="A49" s="3">
        <f t="shared" si="1"/>
        <v>49</v>
      </c>
      <c r="B49" s="624" t="s">
        <v>1095</v>
      </c>
      <c r="C49" s="3" t="str">
        <f t="shared" si="2"/>
        <v>=&gt;</v>
      </c>
      <c r="D49" s="3" t="s">
        <v>904</v>
      </c>
      <c r="E49" s="100"/>
      <c r="F49" s="537"/>
      <c r="G49" s="537"/>
      <c r="H49" s="537"/>
      <c r="I49" s="537"/>
      <c r="J49" s="537"/>
    </row>
    <row r="50">
      <c r="A50" s="3">
        <f t="shared" si="1"/>
        <v>50</v>
      </c>
      <c r="B50" s="624" t="s">
        <v>1095</v>
      </c>
      <c r="C50" s="3" t="str">
        <f t="shared" si="2"/>
        <v>=&gt;</v>
      </c>
      <c r="D50" s="8" t="s">
        <v>14</v>
      </c>
      <c r="E50" s="388" t="s">
        <v>890</v>
      </c>
      <c r="F50" s="537"/>
      <c r="G50" s="537"/>
      <c r="H50" s="537"/>
      <c r="I50" s="537"/>
      <c r="J50" s="537"/>
    </row>
    <row r="51">
      <c r="A51" s="3">
        <f t="shared" si="1"/>
        <v>51</v>
      </c>
      <c r="B51" s="624" t="s">
        <v>1095</v>
      </c>
      <c r="C51" s="3" t="str">
        <f t="shared" si="2"/>
        <v>=&gt;</v>
      </c>
      <c r="D51" s="547" t="s">
        <v>1019</v>
      </c>
      <c r="E51" s="100"/>
      <c r="F51" s="100"/>
      <c r="G51" s="537"/>
      <c r="H51" s="537"/>
      <c r="I51" s="537"/>
      <c r="J51" s="537"/>
    </row>
    <row r="52">
      <c r="A52" s="3">
        <f t="shared" si="1"/>
        <v>52</v>
      </c>
      <c r="B52" s="388" t="s">
        <v>890</v>
      </c>
      <c r="C52" s="3" t="str">
        <f t="shared" si="2"/>
        <v>=&gt;</v>
      </c>
      <c r="D52" s="392" t="s">
        <v>893</v>
      </c>
      <c r="E52" s="393" t="s">
        <v>894</v>
      </c>
      <c r="F52" s="537"/>
      <c r="G52" s="537"/>
      <c r="H52" s="537"/>
      <c r="I52" s="537"/>
      <c r="J52" s="537"/>
    </row>
    <row r="53">
      <c r="A53" s="3">
        <f t="shared" si="1"/>
        <v>53</v>
      </c>
      <c r="B53" s="392" t="s">
        <v>893</v>
      </c>
      <c r="C53" s="3" t="str">
        <f t="shared" si="2"/>
        <v>=&gt;</v>
      </c>
      <c r="D53" s="3" t="s">
        <v>62</v>
      </c>
      <c r="E53" s="394" t="s">
        <v>895</v>
      </c>
      <c r="F53" s="3" t="s">
        <v>64</v>
      </c>
      <c r="G53" s="100"/>
      <c r="H53" s="537"/>
      <c r="I53" s="537"/>
      <c r="J53" s="537"/>
    </row>
    <row r="54">
      <c r="A54" s="3">
        <f t="shared" si="1"/>
        <v>54</v>
      </c>
      <c r="B54" s="392" t="s">
        <v>893</v>
      </c>
      <c r="C54" s="3" t="str">
        <f t="shared" si="2"/>
        <v>=&gt;</v>
      </c>
      <c r="D54" s="3" t="s">
        <v>8</v>
      </c>
      <c r="E54" s="537"/>
      <c r="F54" s="537"/>
      <c r="G54" s="100"/>
      <c r="H54" s="537"/>
      <c r="I54" s="537"/>
      <c r="J54" s="537"/>
    </row>
    <row r="55">
      <c r="A55" s="3">
        <f t="shared" si="1"/>
        <v>55</v>
      </c>
      <c r="B55" s="393" t="s">
        <v>894</v>
      </c>
      <c r="C55" s="3" t="str">
        <f t="shared" si="2"/>
        <v>=&gt;</v>
      </c>
      <c r="D55" s="423" t="s">
        <v>892</v>
      </c>
      <c r="E55" s="537"/>
      <c r="F55" s="100"/>
      <c r="G55" s="100"/>
      <c r="H55" s="537"/>
      <c r="I55" s="537"/>
      <c r="J55" s="537"/>
    </row>
    <row r="56">
      <c r="A56" s="3">
        <f t="shared" si="1"/>
        <v>56</v>
      </c>
      <c r="B56" s="393" t="s">
        <v>894</v>
      </c>
      <c r="C56" s="3" t="str">
        <f t="shared" si="2"/>
        <v>=&gt;</v>
      </c>
      <c r="D56" s="424" t="s">
        <v>930</v>
      </c>
      <c r="E56" s="537"/>
      <c r="F56" s="537"/>
      <c r="G56" s="100"/>
      <c r="H56" s="537"/>
      <c r="I56" s="537"/>
      <c r="J56" s="537"/>
    </row>
    <row r="57">
      <c r="A57" s="3">
        <f t="shared" si="1"/>
        <v>57</v>
      </c>
      <c r="B57" s="393" t="s">
        <v>894</v>
      </c>
      <c r="C57" s="3" t="str">
        <f t="shared" si="2"/>
        <v>=&gt;</v>
      </c>
      <c r="D57" s="3" t="s">
        <v>8</v>
      </c>
      <c r="E57" s="537"/>
      <c r="F57" s="537"/>
      <c r="G57" s="100"/>
      <c r="H57" s="537"/>
      <c r="I57" s="537"/>
      <c r="J57" s="537"/>
    </row>
    <row r="58">
      <c r="A58" s="3">
        <f t="shared" si="1"/>
        <v>58</v>
      </c>
      <c r="B58" s="423" t="s">
        <v>892</v>
      </c>
      <c r="C58" s="3" t="str">
        <f t="shared" si="2"/>
        <v>=&gt;</v>
      </c>
      <c r="D58" s="3" t="s">
        <v>30</v>
      </c>
      <c r="E58" s="603" t="s">
        <v>1085</v>
      </c>
      <c r="F58" s="3" t="s">
        <v>32</v>
      </c>
      <c r="G58" s="393" t="s">
        <v>894</v>
      </c>
      <c r="H58" s="537"/>
      <c r="I58" s="537"/>
      <c r="J58" s="537"/>
    </row>
    <row r="59">
      <c r="A59" s="3">
        <f t="shared" si="1"/>
        <v>59</v>
      </c>
      <c r="B59" s="424" t="s">
        <v>930</v>
      </c>
      <c r="C59" s="3" t="str">
        <f t="shared" si="2"/>
        <v>=&gt;</v>
      </c>
      <c r="D59" s="3" t="s">
        <v>180</v>
      </c>
      <c r="E59" s="3" t="s">
        <v>14</v>
      </c>
      <c r="F59" s="393" t="s">
        <v>894</v>
      </c>
      <c r="G59" s="537"/>
      <c r="H59" s="537"/>
      <c r="I59" s="537"/>
      <c r="J59" s="537"/>
    </row>
    <row r="60">
      <c r="A60" s="3">
        <f t="shared" si="1"/>
        <v>60</v>
      </c>
      <c r="B60" s="394" t="s">
        <v>895</v>
      </c>
      <c r="C60" s="3" t="str">
        <f t="shared" si="2"/>
        <v>=&gt;</v>
      </c>
      <c r="D60" s="395" t="s">
        <v>28</v>
      </c>
      <c r="E60" s="396" t="s">
        <v>896</v>
      </c>
      <c r="F60" s="537"/>
      <c r="G60" s="100"/>
      <c r="H60" s="537"/>
      <c r="I60" s="537"/>
      <c r="J60" s="537"/>
    </row>
    <row r="61">
      <c r="A61" s="3">
        <f t="shared" si="1"/>
        <v>61</v>
      </c>
      <c r="B61" s="394" t="s">
        <v>895</v>
      </c>
      <c r="C61" s="3" t="str">
        <f t="shared" si="2"/>
        <v>=&gt;</v>
      </c>
      <c r="D61" s="3" t="s">
        <v>8</v>
      </c>
      <c r="E61" s="537"/>
      <c r="F61" s="100"/>
      <c r="G61" s="537"/>
      <c r="H61" s="537"/>
      <c r="I61" s="537"/>
      <c r="J61" s="537"/>
    </row>
    <row r="62">
      <c r="A62" s="3">
        <f t="shared" si="1"/>
        <v>62</v>
      </c>
      <c r="B62" s="395" t="s">
        <v>28</v>
      </c>
      <c r="C62" s="3" t="str">
        <f t="shared" si="2"/>
        <v>=&gt;</v>
      </c>
      <c r="D62" s="603" t="s">
        <v>1085</v>
      </c>
      <c r="E62" s="537"/>
      <c r="F62" s="100"/>
      <c r="G62" s="537"/>
      <c r="H62" s="537"/>
      <c r="I62" s="537"/>
      <c r="J62" s="537"/>
    </row>
    <row r="63">
      <c r="A63" s="3">
        <f t="shared" si="1"/>
        <v>63</v>
      </c>
      <c r="B63" s="395" t="s">
        <v>28</v>
      </c>
      <c r="C63" s="3" t="str">
        <f t="shared" si="2"/>
        <v>=&gt;</v>
      </c>
      <c r="D63" s="3" t="s">
        <v>30</v>
      </c>
      <c r="E63" s="399" t="s">
        <v>897</v>
      </c>
      <c r="F63" s="3" t="s">
        <v>32</v>
      </c>
      <c r="G63" s="537"/>
      <c r="H63" s="537"/>
      <c r="I63" s="537"/>
      <c r="J63" s="537"/>
    </row>
    <row r="64">
      <c r="A64" s="3">
        <f t="shared" si="1"/>
        <v>64</v>
      </c>
      <c r="B64" s="399" t="s">
        <v>897</v>
      </c>
      <c r="C64" s="3" t="str">
        <f t="shared" si="2"/>
        <v>=&gt;</v>
      </c>
      <c r="D64" s="400" t="s">
        <v>899</v>
      </c>
      <c r="E64" s="537"/>
      <c r="F64" s="100"/>
      <c r="G64" s="537"/>
      <c r="H64" s="537"/>
      <c r="I64" s="537"/>
      <c r="J64" s="537"/>
    </row>
    <row r="65">
      <c r="A65" s="3">
        <f t="shared" si="1"/>
        <v>65</v>
      </c>
      <c r="B65" s="399" t="s">
        <v>897</v>
      </c>
      <c r="C65" s="3" t="str">
        <f t="shared" si="2"/>
        <v>=&gt;</v>
      </c>
      <c r="D65" s="3" t="s">
        <v>14</v>
      </c>
      <c r="E65" s="401" t="s">
        <v>900</v>
      </c>
      <c r="F65" s="537"/>
      <c r="G65" s="537"/>
      <c r="H65" s="537"/>
      <c r="I65" s="537"/>
      <c r="J65" s="537"/>
    </row>
    <row r="66">
      <c r="A66" s="3">
        <f t="shared" si="1"/>
        <v>66</v>
      </c>
      <c r="B66" s="399" t="s">
        <v>897</v>
      </c>
      <c r="C66" s="3" t="str">
        <f t="shared" si="2"/>
        <v>=&gt;</v>
      </c>
      <c r="D66" s="3" t="s">
        <v>8</v>
      </c>
      <c r="E66" s="537"/>
      <c r="F66" s="537"/>
      <c r="G66" s="537"/>
      <c r="H66" s="537"/>
      <c r="I66" s="537"/>
      <c r="J66" s="537"/>
    </row>
    <row r="67">
      <c r="A67" s="3">
        <f t="shared" si="1"/>
        <v>67</v>
      </c>
      <c r="B67" s="400" t="s">
        <v>899</v>
      </c>
      <c r="C67" s="3" t="str">
        <f t="shared" si="2"/>
        <v>=&gt;</v>
      </c>
      <c r="D67" s="3" t="s">
        <v>868</v>
      </c>
      <c r="E67" s="403" t="s">
        <v>901</v>
      </c>
      <c r="F67" s="537"/>
      <c r="G67" s="537"/>
      <c r="H67" s="537"/>
      <c r="I67" s="537"/>
      <c r="J67" s="537"/>
    </row>
    <row r="68">
      <c r="A68" s="3">
        <f t="shared" si="1"/>
        <v>68</v>
      </c>
      <c r="B68" s="400" t="s">
        <v>899</v>
      </c>
      <c r="C68" s="3" t="str">
        <f t="shared" si="2"/>
        <v>=&gt;</v>
      </c>
      <c r="D68" s="3" t="s">
        <v>902</v>
      </c>
      <c r="E68" s="403" t="s">
        <v>901</v>
      </c>
      <c r="F68" s="537"/>
      <c r="G68" s="537"/>
      <c r="H68" s="537"/>
      <c r="I68" s="537"/>
      <c r="J68" s="537"/>
    </row>
    <row r="69">
      <c r="A69" s="3">
        <f t="shared" si="1"/>
        <v>69</v>
      </c>
      <c r="B69" s="400" t="s">
        <v>899</v>
      </c>
      <c r="C69" s="3" t="str">
        <f t="shared" si="2"/>
        <v>=&gt;</v>
      </c>
      <c r="D69" s="3" t="s">
        <v>903</v>
      </c>
      <c r="E69" s="403" t="s">
        <v>901</v>
      </c>
      <c r="F69" s="537"/>
      <c r="G69" s="537"/>
      <c r="H69" s="537"/>
      <c r="I69" s="537"/>
      <c r="J69" s="537"/>
    </row>
    <row r="70">
      <c r="A70" s="3">
        <f t="shared" si="1"/>
        <v>70</v>
      </c>
      <c r="B70" s="400" t="s">
        <v>899</v>
      </c>
      <c r="C70" s="3" t="str">
        <f t="shared" si="2"/>
        <v>=&gt;</v>
      </c>
      <c r="D70" s="3" t="s">
        <v>904</v>
      </c>
      <c r="E70" s="403" t="s">
        <v>901</v>
      </c>
      <c r="F70" s="537"/>
      <c r="G70" s="537"/>
      <c r="H70" s="537"/>
      <c r="I70" s="537"/>
      <c r="J70" s="537"/>
    </row>
    <row r="71">
      <c r="A71" s="3">
        <f t="shared" si="1"/>
        <v>71</v>
      </c>
      <c r="B71" s="400" t="s">
        <v>899</v>
      </c>
      <c r="C71" s="3" t="str">
        <f t="shared" si="2"/>
        <v>=&gt;</v>
      </c>
      <c r="D71" s="3" t="s">
        <v>30</v>
      </c>
      <c r="E71" s="399" t="s">
        <v>897</v>
      </c>
      <c r="F71" s="3" t="s">
        <v>32</v>
      </c>
      <c r="G71" s="403" t="s">
        <v>901</v>
      </c>
      <c r="H71" s="100"/>
      <c r="I71" s="537"/>
      <c r="J71" s="537"/>
    </row>
    <row r="72">
      <c r="A72" s="3">
        <f t="shared" si="1"/>
        <v>72</v>
      </c>
      <c r="B72" s="403" t="s">
        <v>901</v>
      </c>
      <c r="C72" s="3" t="str">
        <f t="shared" si="2"/>
        <v>=&gt;</v>
      </c>
      <c r="D72" s="3" t="s">
        <v>38</v>
      </c>
      <c r="E72" s="404" t="s">
        <v>905</v>
      </c>
      <c r="F72" s="537"/>
      <c r="G72" s="537"/>
      <c r="H72" s="537"/>
      <c r="I72" s="537"/>
      <c r="J72" s="537"/>
    </row>
    <row r="73">
      <c r="A73" s="3">
        <f t="shared" si="1"/>
        <v>73</v>
      </c>
      <c r="B73" s="403" t="s">
        <v>901</v>
      </c>
      <c r="C73" s="3" t="str">
        <f t="shared" si="2"/>
        <v>=&gt;</v>
      </c>
      <c r="D73" s="3" t="s">
        <v>8</v>
      </c>
      <c r="E73" s="537"/>
      <c r="F73" s="537"/>
      <c r="G73" s="537"/>
      <c r="H73" s="537"/>
      <c r="I73" s="537"/>
      <c r="J73" s="537"/>
    </row>
    <row r="74">
      <c r="A74" s="3">
        <f t="shared" si="1"/>
        <v>74</v>
      </c>
      <c r="B74" s="404" t="s">
        <v>905</v>
      </c>
      <c r="C74" s="3" t="str">
        <f t="shared" si="2"/>
        <v>=&gt;</v>
      </c>
      <c r="D74" s="3" t="s">
        <v>14</v>
      </c>
      <c r="E74" s="403" t="s">
        <v>901</v>
      </c>
      <c r="F74" s="537"/>
      <c r="G74" s="537"/>
      <c r="H74" s="537"/>
      <c r="I74" s="537"/>
      <c r="J74" s="537"/>
    </row>
    <row r="75">
      <c r="A75" s="3">
        <f t="shared" si="1"/>
        <v>75</v>
      </c>
      <c r="B75" s="404" t="s">
        <v>905</v>
      </c>
      <c r="C75" s="3" t="str">
        <f t="shared" si="2"/>
        <v>=&gt;</v>
      </c>
      <c r="D75" s="400" t="s">
        <v>899</v>
      </c>
      <c r="E75" s="537"/>
      <c r="F75" s="537"/>
      <c r="G75" s="537"/>
      <c r="H75" s="537"/>
      <c r="I75" s="537"/>
      <c r="J75" s="537"/>
    </row>
    <row r="76">
      <c r="A76" s="3">
        <f t="shared" si="1"/>
        <v>76</v>
      </c>
      <c r="B76" s="401" t="s">
        <v>900</v>
      </c>
      <c r="C76" s="3" t="str">
        <f t="shared" si="2"/>
        <v>=&gt;</v>
      </c>
      <c r="D76" s="3" t="s">
        <v>38</v>
      </c>
      <c r="E76" s="404" t="s">
        <v>905</v>
      </c>
      <c r="F76" s="537"/>
      <c r="G76" s="537"/>
      <c r="H76" s="537"/>
      <c r="I76" s="537"/>
      <c r="J76" s="537"/>
    </row>
    <row r="77">
      <c r="A77" s="3">
        <f t="shared" si="1"/>
        <v>77</v>
      </c>
      <c r="B77" s="401" t="s">
        <v>900</v>
      </c>
      <c r="C77" s="3" t="str">
        <f t="shared" si="2"/>
        <v>=&gt;</v>
      </c>
      <c r="D77" s="3" t="str">
        <f>"="</f>
        <v>=</v>
      </c>
      <c r="E77" s="395" t="s">
        <v>28</v>
      </c>
      <c r="F77" s="3" t="s">
        <v>6</v>
      </c>
      <c r="G77" s="422" t="s">
        <v>929</v>
      </c>
      <c r="H77" s="537"/>
      <c r="I77" s="537"/>
      <c r="J77" s="537"/>
    </row>
    <row r="78">
      <c r="A78" s="3">
        <f t="shared" si="1"/>
        <v>78</v>
      </c>
      <c r="B78" s="401" t="s">
        <v>900</v>
      </c>
      <c r="C78" s="3" t="str">
        <f t="shared" si="2"/>
        <v>=&gt;</v>
      </c>
      <c r="D78" s="3" t="s">
        <v>8</v>
      </c>
      <c r="E78" s="537"/>
      <c r="F78" s="537"/>
      <c r="G78" s="537"/>
      <c r="H78" s="537"/>
      <c r="I78" s="537"/>
      <c r="J78" s="537"/>
    </row>
    <row r="79">
      <c r="A79" s="3">
        <f t="shared" si="1"/>
        <v>79</v>
      </c>
      <c r="B79" s="422" t="s">
        <v>929</v>
      </c>
      <c r="C79" s="3" t="str">
        <f t="shared" si="2"/>
        <v>=&gt;</v>
      </c>
      <c r="D79" s="3" t="s">
        <v>14</v>
      </c>
      <c r="E79" s="3" t="str">
        <f>"="</f>
        <v>=</v>
      </c>
      <c r="F79" s="395" t="s">
        <v>28</v>
      </c>
      <c r="G79" s="3" t="s">
        <v>6</v>
      </c>
      <c r="H79" s="422" t="s">
        <v>929</v>
      </c>
      <c r="I79" s="537"/>
      <c r="J79" s="537"/>
    </row>
    <row r="80">
      <c r="A80" s="3">
        <f t="shared" si="1"/>
        <v>80</v>
      </c>
      <c r="B80" s="422" t="s">
        <v>929</v>
      </c>
      <c r="C80" s="3" t="str">
        <f t="shared" si="2"/>
        <v>=&gt;</v>
      </c>
      <c r="D80" s="3" t="s">
        <v>8</v>
      </c>
      <c r="E80" s="537"/>
      <c r="F80" s="537"/>
      <c r="G80" s="537"/>
      <c r="H80" s="537"/>
      <c r="I80" s="537"/>
      <c r="J80" s="537"/>
    </row>
    <row r="81">
      <c r="A81" s="3">
        <f t="shared" si="1"/>
        <v>81</v>
      </c>
      <c r="B81" s="396" t="s">
        <v>896</v>
      </c>
      <c r="C81" s="3" t="str">
        <f t="shared" si="2"/>
        <v>=&gt;</v>
      </c>
      <c r="D81" s="3" t="s">
        <v>38</v>
      </c>
      <c r="E81" s="395" t="s">
        <v>28</v>
      </c>
      <c r="F81" s="396" t="s">
        <v>896</v>
      </c>
      <c r="G81" s="537"/>
      <c r="H81" s="537"/>
      <c r="I81" s="537"/>
      <c r="J81" s="537"/>
    </row>
    <row r="82">
      <c r="A82" s="3">
        <f t="shared" si="1"/>
        <v>82</v>
      </c>
      <c r="B82" s="396" t="s">
        <v>896</v>
      </c>
      <c r="C82" s="3" t="str">
        <f t="shared" si="2"/>
        <v>=&gt;</v>
      </c>
      <c r="D82" s="3" t="s">
        <v>8</v>
      </c>
      <c r="E82" s="537"/>
      <c r="F82" s="537"/>
      <c r="G82" s="537"/>
      <c r="H82" s="537"/>
      <c r="I82" s="537"/>
      <c r="J82" s="537"/>
    </row>
    <row r="83">
      <c r="A83" s="3">
        <f t="shared" si="1"/>
        <v>83</v>
      </c>
      <c r="B83" s="547" t="s">
        <v>1019</v>
      </c>
      <c r="C83" s="3" t="str">
        <f t="shared" si="2"/>
        <v>=&gt;</v>
      </c>
      <c r="D83" s="548" t="s">
        <v>1026</v>
      </c>
      <c r="E83" s="533" t="s">
        <v>1017</v>
      </c>
      <c r="F83" s="100"/>
      <c r="G83" s="100"/>
      <c r="H83" s="537"/>
      <c r="I83" s="537"/>
      <c r="J83" s="537"/>
    </row>
    <row r="84">
      <c r="A84" s="3">
        <f t="shared" si="1"/>
        <v>84</v>
      </c>
      <c r="B84" s="548" t="s">
        <v>1026</v>
      </c>
      <c r="C84" s="3" t="str">
        <f t="shared" si="2"/>
        <v>=&gt;</v>
      </c>
      <c r="D84" s="428" t="s">
        <v>911</v>
      </c>
      <c r="E84" s="100"/>
      <c r="F84" s="537"/>
      <c r="G84" s="100"/>
      <c r="H84" s="537"/>
      <c r="I84" s="537"/>
      <c r="J84" s="537"/>
    </row>
    <row r="85">
      <c r="A85" s="3">
        <f t="shared" si="1"/>
        <v>85</v>
      </c>
      <c r="B85" s="548" t="s">
        <v>1026</v>
      </c>
      <c r="C85" s="3" t="str">
        <f t="shared" si="2"/>
        <v>=&gt;</v>
      </c>
      <c r="D85" s="428" t="s">
        <v>915</v>
      </c>
      <c r="E85" s="100"/>
      <c r="F85" s="537"/>
      <c r="G85" s="100"/>
      <c r="H85" s="537"/>
      <c r="I85" s="537"/>
      <c r="J85" s="537"/>
    </row>
    <row r="86">
      <c r="A86" s="3">
        <f t="shared" si="1"/>
        <v>86</v>
      </c>
      <c r="B86" s="548" t="s">
        <v>1026</v>
      </c>
      <c r="C86" s="3" t="str">
        <f t="shared" si="2"/>
        <v>=&gt;</v>
      </c>
      <c r="D86" s="428" t="s">
        <v>918</v>
      </c>
      <c r="E86" s="100"/>
      <c r="F86" s="537"/>
      <c r="G86" s="100"/>
      <c r="H86" s="537"/>
      <c r="I86" s="537"/>
      <c r="J86" s="537"/>
    </row>
    <row r="87">
      <c r="A87" s="3">
        <f t="shared" si="1"/>
        <v>87</v>
      </c>
      <c r="B87" s="548" t="s">
        <v>1026</v>
      </c>
      <c r="C87" s="3" t="str">
        <f t="shared" si="2"/>
        <v>=&gt;</v>
      </c>
      <c r="D87" s="428" t="s">
        <v>919</v>
      </c>
      <c r="E87" s="100"/>
      <c r="F87" s="537"/>
      <c r="G87" s="100"/>
      <c r="H87" s="537"/>
      <c r="I87" s="537"/>
      <c r="J87" s="537"/>
    </row>
    <row r="88">
      <c r="A88" s="3">
        <f t="shared" si="1"/>
        <v>88</v>
      </c>
      <c r="B88" s="548" t="s">
        <v>1026</v>
      </c>
      <c r="C88" s="3" t="str">
        <f t="shared" si="2"/>
        <v>=&gt;</v>
      </c>
      <c r="D88" s="428" t="s">
        <v>867</v>
      </c>
      <c r="E88" s="100"/>
      <c r="F88" s="537"/>
      <c r="G88" s="100"/>
      <c r="H88" s="537"/>
      <c r="I88" s="537"/>
      <c r="J88" s="537"/>
    </row>
    <row r="89">
      <c r="A89" s="3">
        <f t="shared" si="1"/>
        <v>89</v>
      </c>
      <c r="B89" s="548" t="s">
        <v>1026</v>
      </c>
      <c r="C89" s="3" t="str">
        <f t="shared" si="2"/>
        <v>=&gt;</v>
      </c>
      <c r="D89" s="428" t="s">
        <v>908</v>
      </c>
      <c r="E89" s="100"/>
      <c r="F89" s="537"/>
      <c r="G89" s="100"/>
      <c r="H89" s="537"/>
      <c r="I89" s="537"/>
      <c r="J89" s="537"/>
    </row>
    <row r="90">
      <c r="A90" s="3">
        <f t="shared" si="1"/>
        <v>90</v>
      </c>
      <c r="B90" s="548" t="s">
        <v>1026</v>
      </c>
      <c r="C90" s="3" t="str">
        <f t="shared" si="2"/>
        <v>=&gt;</v>
      </c>
      <c r="D90" s="428" t="s">
        <v>133</v>
      </c>
      <c r="E90" s="100"/>
      <c r="F90" s="537"/>
      <c r="G90" s="100"/>
      <c r="H90" s="537"/>
      <c r="I90" s="537"/>
      <c r="J90" s="537"/>
    </row>
    <row r="91">
      <c r="A91" s="3">
        <f t="shared" si="1"/>
        <v>91</v>
      </c>
      <c r="B91" s="548" t="s">
        <v>1026</v>
      </c>
      <c r="C91" s="3" t="str">
        <f t="shared" si="2"/>
        <v>=&gt;</v>
      </c>
      <c r="D91" s="428" t="s">
        <v>906</v>
      </c>
      <c r="E91" s="100"/>
      <c r="F91" s="537"/>
      <c r="G91" s="100"/>
      <c r="H91" s="537"/>
      <c r="I91" s="537"/>
      <c r="J91" s="537"/>
    </row>
    <row r="92">
      <c r="A92" s="3">
        <f t="shared" si="1"/>
        <v>92</v>
      </c>
      <c r="B92" s="548" t="s">
        <v>1026</v>
      </c>
      <c r="C92" s="3" t="str">
        <f t="shared" si="2"/>
        <v>=&gt;</v>
      </c>
      <c r="D92" s="428" t="s">
        <v>914</v>
      </c>
      <c r="E92" s="100"/>
      <c r="F92" s="537"/>
      <c r="G92" s="100"/>
      <c r="H92" s="537"/>
      <c r="I92" s="537"/>
      <c r="J92" s="537"/>
    </row>
    <row r="93">
      <c r="A93" s="3">
        <f t="shared" si="1"/>
        <v>93</v>
      </c>
      <c r="B93" s="548" t="s">
        <v>1026</v>
      </c>
      <c r="C93" s="3" t="str">
        <f t="shared" si="2"/>
        <v>=&gt;</v>
      </c>
      <c r="D93" s="428" t="s">
        <v>913</v>
      </c>
      <c r="E93" s="100"/>
      <c r="F93" s="537"/>
      <c r="G93" s="100"/>
      <c r="H93" s="537"/>
      <c r="I93" s="537"/>
      <c r="J93" s="537"/>
    </row>
    <row r="94">
      <c r="A94" s="3">
        <f t="shared" si="1"/>
        <v>94</v>
      </c>
      <c r="B94" s="548" t="s">
        <v>1026</v>
      </c>
      <c r="C94" s="3" t="str">
        <f t="shared" si="2"/>
        <v>=&gt;</v>
      </c>
      <c r="D94" s="428" t="s">
        <v>866</v>
      </c>
      <c r="E94" s="100"/>
      <c r="F94" s="537"/>
      <c r="G94" s="100"/>
      <c r="H94" s="537"/>
      <c r="I94" s="537"/>
      <c r="J94" s="537"/>
    </row>
    <row r="95">
      <c r="A95" s="3">
        <f t="shared" si="1"/>
        <v>95</v>
      </c>
      <c r="B95" s="548" t="s">
        <v>1026</v>
      </c>
      <c r="C95" s="3" t="str">
        <f t="shared" si="2"/>
        <v>=&gt;</v>
      </c>
      <c r="D95" s="428" t="s">
        <v>864</v>
      </c>
      <c r="E95" s="100"/>
      <c r="F95" s="537"/>
      <c r="G95" s="100"/>
      <c r="H95" s="537"/>
      <c r="I95" s="537"/>
      <c r="J95" s="537"/>
    </row>
    <row r="96">
      <c r="A96" s="3">
        <f t="shared" si="1"/>
        <v>96</v>
      </c>
      <c r="B96" s="548" t="s">
        <v>1026</v>
      </c>
      <c r="C96" s="3" t="str">
        <f t="shared" si="2"/>
        <v>=&gt;</v>
      </c>
      <c r="D96" s="428" t="s">
        <v>912</v>
      </c>
      <c r="E96" s="100"/>
      <c r="F96" s="537"/>
      <c r="G96" s="100"/>
      <c r="H96" s="537"/>
      <c r="I96" s="537"/>
      <c r="J96" s="537"/>
    </row>
    <row r="97">
      <c r="A97" s="3">
        <f t="shared" si="1"/>
        <v>97</v>
      </c>
      <c r="B97" s="548" t="s">
        <v>1026</v>
      </c>
      <c r="C97" s="3" t="str">
        <f t="shared" si="2"/>
        <v>=&gt;</v>
      </c>
      <c r="D97" s="428" t="s">
        <v>134</v>
      </c>
      <c r="E97" s="100"/>
      <c r="F97" s="537"/>
      <c r="G97" s="100"/>
      <c r="H97" s="537"/>
      <c r="I97" s="537"/>
      <c r="J97" s="537"/>
    </row>
    <row r="98">
      <c r="A98" s="3">
        <f t="shared" si="1"/>
        <v>98</v>
      </c>
      <c r="B98" s="548" t="s">
        <v>1026</v>
      </c>
      <c r="C98" s="3" t="str">
        <f t="shared" si="2"/>
        <v>=&gt;</v>
      </c>
      <c r="D98" s="428" t="s">
        <v>917</v>
      </c>
      <c r="E98" s="100"/>
      <c r="F98" s="537"/>
      <c r="G98" s="100"/>
      <c r="H98" s="537"/>
      <c r="I98" s="537"/>
      <c r="J98" s="537"/>
    </row>
    <row r="99">
      <c r="A99" s="3">
        <f t="shared" si="1"/>
        <v>99</v>
      </c>
      <c r="B99" s="548" t="s">
        <v>1026</v>
      </c>
      <c r="C99" s="3" t="str">
        <f t="shared" si="2"/>
        <v>=&gt;</v>
      </c>
      <c r="D99" s="428" t="s">
        <v>921</v>
      </c>
      <c r="E99" s="100"/>
      <c r="F99" s="537"/>
      <c r="G99" s="100"/>
      <c r="H99" s="537"/>
      <c r="I99" s="537"/>
      <c r="J99" s="537"/>
    </row>
    <row r="100">
      <c r="A100" s="3">
        <f t="shared" si="1"/>
        <v>100</v>
      </c>
      <c r="B100" s="548" t="s">
        <v>1026</v>
      </c>
      <c r="C100" s="3" t="str">
        <f t="shared" si="2"/>
        <v>=&gt;</v>
      </c>
      <c r="D100" s="428" t="s">
        <v>862</v>
      </c>
      <c r="E100" s="100"/>
      <c r="F100" s="537"/>
      <c r="G100" s="100"/>
      <c r="H100" s="537"/>
      <c r="I100" s="537"/>
      <c r="J100" s="537"/>
    </row>
    <row r="101">
      <c r="A101" s="3">
        <f t="shared" si="1"/>
        <v>101</v>
      </c>
      <c r="B101" s="548" t="s">
        <v>1026</v>
      </c>
      <c r="C101" s="3" t="str">
        <f t="shared" si="2"/>
        <v>=&gt;</v>
      </c>
      <c r="D101" s="428" t="s">
        <v>907</v>
      </c>
      <c r="E101" s="100"/>
      <c r="F101" s="537"/>
      <c r="G101" s="100"/>
      <c r="H101" s="537"/>
      <c r="I101" s="537"/>
      <c r="J101" s="537"/>
    </row>
    <row r="102">
      <c r="A102" s="3">
        <f t="shared" si="1"/>
        <v>102</v>
      </c>
      <c r="B102" s="533" t="s">
        <v>1017</v>
      </c>
      <c r="C102" s="3" t="str">
        <f t="shared" si="2"/>
        <v>=&gt;</v>
      </c>
      <c r="D102" s="546" t="s">
        <v>1025</v>
      </c>
      <c r="E102" s="393" t="s">
        <v>894</v>
      </c>
      <c r="F102" s="537"/>
      <c r="G102" s="100"/>
      <c r="H102" s="537"/>
      <c r="I102" s="537"/>
      <c r="J102" s="537"/>
    </row>
    <row r="103">
      <c r="A103" s="3">
        <f t="shared" si="1"/>
        <v>103</v>
      </c>
      <c r="B103" s="546" t="s">
        <v>1025</v>
      </c>
      <c r="C103" s="3" t="str">
        <f t="shared" si="2"/>
        <v>=&gt;</v>
      </c>
      <c r="D103" s="3" t="s">
        <v>62</v>
      </c>
      <c r="E103" s="394" t="s">
        <v>895</v>
      </c>
      <c r="F103" s="3" t="s">
        <v>64</v>
      </c>
      <c r="G103" s="100"/>
      <c r="H103" s="537"/>
      <c r="I103" s="537"/>
      <c r="J103" s="537"/>
    </row>
    <row r="104">
      <c r="A104" s="3">
        <f t="shared" si="1"/>
        <v>104</v>
      </c>
      <c r="B104" s="462" t="s">
        <v>962</v>
      </c>
      <c r="C104" s="3" t="str">
        <f t="shared" si="2"/>
        <v>=&gt;</v>
      </c>
      <c r="D104" s="3" t="s">
        <v>30</v>
      </c>
      <c r="E104" s="3" t="s">
        <v>32</v>
      </c>
      <c r="F104" s="464" t="s">
        <v>964</v>
      </c>
      <c r="G104" s="537"/>
      <c r="H104" s="537"/>
      <c r="I104" s="537"/>
      <c r="J104" s="537"/>
    </row>
    <row r="105">
      <c r="A105" s="3">
        <f t="shared" si="1"/>
        <v>105</v>
      </c>
      <c r="B105" s="464" t="s">
        <v>964</v>
      </c>
      <c r="C105" s="3" t="str">
        <f t="shared" si="2"/>
        <v>=&gt;</v>
      </c>
      <c r="D105" s="462" t="s">
        <v>962</v>
      </c>
      <c r="E105" s="537"/>
      <c r="F105" s="537"/>
      <c r="G105" s="537"/>
      <c r="H105" s="537"/>
      <c r="I105" s="537"/>
      <c r="J105" s="537"/>
    </row>
    <row r="106">
      <c r="A106" s="3">
        <f t="shared" si="1"/>
        <v>106</v>
      </c>
      <c r="B106" s="464" t="s">
        <v>964</v>
      </c>
      <c r="C106" s="3" t="str">
        <f t="shared" si="2"/>
        <v>=&gt;</v>
      </c>
      <c r="D106" s="3" t="s">
        <v>8</v>
      </c>
      <c r="E106" s="537"/>
      <c r="F106" s="537"/>
      <c r="G106" s="537"/>
      <c r="H106" s="100"/>
      <c r="I106" s="537"/>
      <c r="J106" s="537"/>
    </row>
    <row r="107">
      <c r="A107" s="3">
        <f t="shared" si="1"/>
        <v>107</v>
      </c>
      <c r="B107" s="463" t="s">
        <v>963</v>
      </c>
      <c r="C107" s="3" t="str">
        <f t="shared" si="2"/>
        <v>=&gt;</v>
      </c>
      <c r="D107" s="3" t="s">
        <v>14</v>
      </c>
      <c r="E107" s="653" t="s">
        <v>1129</v>
      </c>
      <c r="F107" s="466" t="s">
        <v>966</v>
      </c>
      <c r="G107" s="537"/>
      <c r="H107" s="537"/>
      <c r="I107" s="537"/>
      <c r="J107" s="537"/>
    </row>
    <row r="108">
      <c r="A108" s="3">
        <f t="shared" si="1"/>
        <v>108</v>
      </c>
      <c r="B108" s="653" t="s">
        <v>1129</v>
      </c>
      <c r="C108" s="3" t="str">
        <f t="shared" si="2"/>
        <v>=&gt;</v>
      </c>
      <c r="D108" s="3" t="str">
        <f>"="</f>
        <v>=</v>
      </c>
      <c r="E108" s="395" t="s">
        <v>28</v>
      </c>
      <c r="F108" s="537"/>
      <c r="G108" s="537"/>
      <c r="H108" s="537"/>
      <c r="I108" s="537"/>
      <c r="J108" s="537"/>
    </row>
    <row r="109">
      <c r="A109" s="3">
        <f t="shared" si="1"/>
        <v>109</v>
      </c>
      <c r="B109" s="653" t="s">
        <v>1129</v>
      </c>
      <c r="C109" s="3" t="str">
        <f t="shared" si="2"/>
        <v>=&gt;</v>
      </c>
      <c r="D109" s="3" t="s">
        <v>8</v>
      </c>
      <c r="E109" s="537"/>
      <c r="F109" s="537"/>
      <c r="G109" s="537"/>
      <c r="H109" s="537"/>
      <c r="I109" s="537"/>
      <c r="J109" s="537"/>
    </row>
    <row r="110">
      <c r="A110" s="3">
        <f t="shared" si="1"/>
        <v>110</v>
      </c>
      <c r="B110" s="466" t="s">
        <v>966</v>
      </c>
      <c r="C110" s="3" t="str">
        <f t="shared" si="2"/>
        <v>=&gt;</v>
      </c>
      <c r="D110" s="3" t="s">
        <v>38</v>
      </c>
      <c r="E110" s="463" t="s">
        <v>963</v>
      </c>
      <c r="F110" s="537"/>
      <c r="G110" s="537"/>
      <c r="H110" s="537"/>
      <c r="I110" s="537"/>
      <c r="J110" s="537"/>
    </row>
    <row r="111">
      <c r="A111" s="3">
        <f t="shared" si="1"/>
        <v>111</v>
      </c>
      <c r="B111" s="466" t="s">
        <v>966</v>
      </c>
      <c r="C111" s="3" t="str">
        <f t="shared" si="2"/>
        <v>=&gt;</v>
      </c>
      <c r="D111" s="3" t="s">
        <v>8</v>
      </c>
      <c r="E111" s="537"/>
      <c r="F111" s="537"/>
      <c r="G111" s="537"/>
      <c r="H111" s="537"/>
      <c r="I111" s="537"/>
      <c r="J111" s="537"/>
    </row>
    <row r="112">
      <c r="A112" s="3">
        <f t="shared" si="1"/>
        <v>112</v>
      </c>
      <c r="B112" s="348" t="s">
        <v>848</v>
      </c>
      <c r="C112" s="3" t="str">
        <f t="shared" si="2"/>
        <v>=&gt;</v>
      </c>
      <c r="D112" s="3" t="s">
        <v>999</v>
      </c>
      <c r="E112" s="3" t="s">
        <v>850</v>
      </c>
      <c r="F112" s="3" t="s">
        <v>14</v>
      </c>
      <c r="G112" s="3" t="str">
        <f>"="</f>
        <v>=</v>
      </c>
      <c r="H112" s="3" t="s">
        <v>30</v>
      </c>
      <c r="I112" s="509" t="s">
        <v>1000</v>
      </c>
      <c r="J112" s="3" t="s">
        <v>32</v>
      </c>
    </row>
    <row r="113">
      <c r="A113" s="3">
        <f t="shared" si="1"/>
        <v>113</v>
      </c>
      <c r="B113" s="509" t="s">
        <v>1000</v>
      </c>
      <c r="C113" s="3" t="str">
        <f t="shared" si="2"/>
        <v>=&gt;</v>
      </c>
      <c r="D113" s="510" t="s">
        <v>1001</v>
      </c>
      <c r="E113" s="3" t="s">
        <v>6</v>
      </c>
      <c r="F113" s="511" t="s">
        <v>1002</v>
      </c>
      <c r="G113" s="100"/>
      <c r="H113" s="100"/>
      <c r="I113" s="100"/>
      <c r="J113" s="537"/>
    </row>
    <row r="114">
      <c r="A114" s="3">
        <f t="shared" si="1"/>
        <v>114</v>
      </c>
      <c r="B114" s="510" t="s">
        <v>1001</v>
      </c>
      <c r="C114" s="3" t="str">
        <f t="shared" si="2"/>
        <v>=&gt;</v>
      </c>
      <c r="D114" s="512" t="s">
        <v>1003</v>
      </c>
      <c r="E114" s="3" t="s">
        <v>850</v>
      </c>
      <c r="F114" s="3" t="s">
        <v>14</v>
      </c>
      <c r="G114" s="100"/>
      <c r="H114" s="100"/>
      <c r="I114" s="100"/>
      <c r="J114" s="537"/>
    </row>
    <row r="115">
      <c r="A115" s="3">
        <f t="shared" si="1"/>
        <v>115</v>
      </c>
      <c r="B115" s="512" t="s">
        <v>1003</v>
      </c>
      <c r="C115" s="3" t="str">
        <f t="shared" si="2"/>
        <v>=&gt;</v>
      </c>
      <c r="D115" s="3" t="s">
        <v>840</v>
      </c>
      <c r="E115" s="464" t="s">
        <v>964</v>
      </c>
      <c r="F115" s="100"/>
      <c r="G115" s="100"/>
      <c r="H115" s="100"/>
      <c r="I115" s="100"/>
      <c r="J115" s="537"/>
    </row>
    <row r="116">
      <c r="A116" s="3">
        <f t="shared" si="1"/>
        <v>116</v>
      </c>
      <c r="B116" s="512" t="s">
        <v>1003</v>
      </c>
      <c r="C116" s="3" t="str">
        <f t="shared" si="2"/>
        <v>=&gt;</v>
      </c>
      <c r="D116" s="3" t="s">
        <v>844</v>
      </c>
      <c r="E116" s="464" t="s">
        <v>964</v>
      </c>
      <c r="F116" s="537"/>
      <c r="G116" s="537"/>
      <c r="H116" s="537"/>
      <c r="I116" s="537"/>
      <c r="J116" s="537"/>
    </row>
    <row r="117">
      <c r="A117" s="3">
        <f t="shared" si="1"/>
        <v>117</v>
      </c>
      <c r="B117" s="512" t="s">
        <v>1003</v>
      </c>
      <c r="C117" s="3" t="str">
        <f t="shared" si="2"/>
        <v>=&gt;</v>
      </c>
      <c r="D117" s="3" t="s">
        <v>846</v>
      </c>
      <c r="E117" s="464" t="s">
        <v>964</v>
      </c>
      <c r="F117" s="537"/>
      <c r="G117" s="537"/>
      <c r="H117" s="537"/>
      <c r="I117" s="537"/>
      <c r="J117" s="537"/>
    </row>
    <row r="118">
      <c r="A118" s="3">
        <f t="shared" si="1"/>
        <v>118</v>
      </c>
      <c r="B118" s="512" t="s">
        <v>1003</v>
      </c>
      <c r="C118" s="3" t="str">
        <f t="shared" si="2"/>
        <v>=&gt;</v>
      </c>
      <c r="D118" s="3" t="s">
        <v>842</v>
      </c>
      <c r="E118" s="464" t="s">
        <v>964</v>
      </c>
      <c r="F118" s="537"/>
      <c r="G118" s="537"/>
      <c r="H118" s="537"/>
      <c r="I118" s="537"/>
      <c r="J118" s="537"/>
    </row>
    <row r="119">
      <c r="A119" s="3">
        <f t="shared" si="1"/>
        <v>119</v>
      </c>
      <c r="B119" s="512" t="s">
        <v>1003</v>
      </c>
      <c r="C119" s="3" t="str">
        <f t="shared" si="2"/>
        <v>=&gt;</v>
      </c>
      <c r="D119" s="3" t="s">
        <v>14</v>
      </c>
      <c r="E119" s="464" t="s">
        <v>964</v>
      </c>
      <c r="F119" s="537"/>
      <c r="G119" s="537"/>
      <c r="H119" s="537"/>
      <c r="I119" s="537"/>
      <c r="J119" s="537"/>
    </row>
    <row r="120">
      <c r="A120" s="3">
        <f t="shared" si="1"/>
        <v>120</v>
      </c>
      <c r="B120" s="511" t="s">
        <v>1002</v>
      </c>
      <c r="C120" s="3" t="str">
        <f t="shared" si="2"/>
        <v>=&gt;</v>
      </c>
      <c r="D120" s="509" t="s">
        <v>1000</v>
      </c>
      <c r="E120" s="537"/>
      <c r="F120" s="537"/>
      <c r="G120" s="537"/>
      <c r="H120" s="537"/>
      <c r="I120" s="537"/>
      <c r="J120" s="537"/>
    </row>
    <row r="121">
      <c r="A121" s="3">
        <f t="shared" si="1"/>
        <v>121</v>
      </c>
      <c r="B121" s="511" t="s">
        <v>1002</v>
      </c>
      <c r="C121" s="3" t="str">
        <f t="shared" si="2"/>
        <v>=&gt;</v>
      </c>
      <c r="D121" s="3" t="s">
        <v>8</v>
      </c>
      <c r="E121" s="537"/>
      <c r="F121" s="537"/>
      <c r="G121" s="537"/>
      <c r="H121" s="100"/>
      <c r="I121" s="537"/>
      <c r="J121" s="537"/>
    </row>
    <row r="122">
      <c r="A122" s="3">
        <f t="shared" si="1"/>
        <v>122</v>
      </c>
      <c r="B122" s="349" t="s">
        <v>849</v>
      </c>
      <c r="C122" s="3" t="str">
        <f t="shared" si="2"/>
        <v>=&gt;</v>
      </c>
      <c r="D122" s="464" t="s">
        <v>964</v>
      </c>
      <c r="E122" s="3" t="s">
        <v>850</v>
      </c>
      <c r="F122" s="513" t="s">
        <v>1004</v>
      </c>
      <c r="G122" s="3" t="s">
        <v>6</v>
      </c>
      <c r="H122" s="100"/>
      <c r="I122" s="537"/>
      <c r="J122" s="537"/>
    </row>
    <row r="123">
      <c r="A123" s="3">
        <f t="shared" si="1"/>
        <v>123</v>
      </c>
      <c r="B123" s="513" t="s">
        <v>1004</v>
      </c>
      <c r="C123" s="3" t="str">
        <f t="shared" si="2"/>
        <v>=&gt;</v>
      </c>
      <c r="D123" s="3" t="s">
        <v>14</v>
      </c>
      <c r="E123" s="653" t="s">
        <v>1129</v>
      </c>
      <c r="F123" s="516" t="s">
        <v>1006</v>
      </c>
      <c r="G123" s="537"/>
      <c r="H123" s="537"/>
      <c r="I123" s="537"/>
      <c r="J123" s="537"/>
    </row>
    <row r="124">
      <c r="A124" s="3">
        <f t="shared" si="1"/>
        <v>124</v>
      </c>
      <c r="B124" s="516" t="s">
        <v>1006</v>
      </c>
      <c r="C124" s="3" t="str">
        <f t="shared" si="2"/>
        <v>=&gt;</v>
      </c>
      <c r="D124" s="3" t="s">
        <v>38</v>
      </c>
      <c r="E124" s="513" t="s">
        <v>1004</v>
      </c>
      <c r="F124" s="537"/>
      <c r="G124" s="537"/>
      <c r="H124" s="537"/>
      <c r="I124" s="537"/>
      <c r="J124" s="537"/>
    </row>
    <row r="125">
      <c r="A125" s="3">
        <f t="shared" si="1"/>
        <v>125</v>
      </c>
      <c r="B125" s="516" t="s">
        <v>1006</v>
      </c>
      <c r="C125" s="3" t="str">
        <f t="shared" si="2"/>
        <v>=&gt;</v>
      </c>
      <c r="D125" s="3" t="s">
        <v>8</v>
      </c>
      <c r="E125" s="537"/>
      <c r="F125" s="537"/>
      <c r="G125" s="537"/>
      <c r="H125" s="537"/>
      <c r="I125" s="537"/>
      <c r="J125" s="537"/>
    </row>
    <row r="126">
      <c r="A126" s="3">
        <f t="shared" si="1"/>
        <v>126</v>
      </c>
      <c r="B126" s="342" t="s">
        <v>837</v>
      </c>
      <c r="C126" s="3" t="str">
        <f t="shared" si="2"/>
        <v>=&gt;</v>
      </c>
      <c r="D126" s="3" t="s">
        <v>1008</v>
      </c>
      <c r="E126" s="520" t="s">
        <v>1009</v>
      </c>
      <c r="F126" s="3" t="s">
        <v>62</v>
      </c>
      <c r="G126" s="521" t="s">
        <v>1010</v>
      </c>
      <c r="H126" s="3" t="s">
        <v>64</v>
      </c>
      <c r="I126" s="651" t="s">
        <v>839</v>
      </c>
      <c r="J126" s="342" t="s">
        <v>837</v>
      </c>
    </row>
    <row r="127">
      <c r="A127" s="3">
        <f t="shared" si="1"/>
        <v>127</v>
      </c>
      <c r="B127" s="342" t="s">
        <v>837</v>
      </c>
      <c r="C127" s="3" t="str">
        <f t="shared" si="2"/>
        <v>=&gt;</v>
      </c>
      <c r="D127" s="3" t="s">
        <v>8</v>
      </c>
      <c r="E127" s="537"/>
      <c r="F127" s="537"/>
      <c r="G127" s="537"/>
      <c r="H127" s="100"/>
      <c r="I127" s="537"/>
      <c r="J127" s="537"/>
    </row>
    <row r="128">
      <c r="A128" s="3">
        <f t="shared" si="1"/>
        <v>128</v>
      </c>
      <c r="B128" s="520" t="s">
        <v>1009</v>
      </c>
      <c r="C128" s="3" t="str">
        <f t="shared" si="2"/>
        <v>=&gt;</v>
      </c>
      <c r="D128" s="510" t="s">
        <v>1001</v>
      </c>
      <c r="E128" s="537"/>
      <c r="F128" s="537"/>
      <c r="G128" s="537"/>
      <c r="H128" s="537"/>
      <c r="I128" s="537"/>
      <c r="J128" s="537"/>
    </row>
    <row r="129">
      <c r="A129" s="3">
        <f t="shared" si="1"/>
        <v>129</v>
      </c>
      <c r="B129" s="521" t="s">
        <v>1010</v>
      </c>
      <c r="C129" s="3" t="str">
        <f t="shared" si="2"/>
        <v>=&gt;</v>
      </c>
      <c r="D129" s="510" t="s">
        <v>1001</v>
      </c>
      <c r="E129" s="522" t="s">
        <v>1011</v>
      </c>
      <c r="F129" s="537"/>
      <c r="G129" s="537"/>
      <c r="H129" s="537"/>
      <c r="I129" s="537"/>
      <c r="J129" s="537"/>
    </row>
    <row r="130">
      <c r="A130" s="3">
        <f t="shared" si="1"/>
        <v>130</v>
      </c>
      <c r="B130" s="521" t="s">
        <v>1010</v>
      </c>
      <c r="C130" s="3" t="str">
        <f t="shared" si="2"/>
        <v>=&gt;</v>
      </c>
      <c r="D130" s="3" t="s">
        <v>8</v>
      </c>
      <c r="E130" s="537"/>
      <c r="F130" s="537"/>
      <c r="G130" s="537"/>
      <c r="H130" s="537"/>
      <c r="I130" s="537"/>
      <c r="J130" s="537"/>
    </row>
    <row r="131">
      <c r="A131" s="3">
        <f t="shared" si="1"/>
        <v>131</v>
      </c>
      <c r="B131" s="522" t="s">
        <v>1011</v>
      </c>
      <c r="C131" s="3" t="str">
        <f t="shared" si="2"/>
        <v>=&gt;</v>
      </c>
      <c r="D131" s="3" t="s">
        <v>38</v>
      </c>
      <c r="E131" s="510" t="s">
        <v>1001</v>
      </c>
      <c r="F131" s="522" t="s">
        <v>1011</v>
      </c>
      <c r="G131" s="537"/>
      <c r="H131" s="537"/>
      <c r="I131" s="537"/>
      <c r="J131" s="537"/>
    </row>
    <row r="132">
      <c r="A132" s="3">
        <f t="shared" si="1"/>
        <v>132</v>
      </c>
      <c r="B132" s="522" t="s">
        <v>1011</v>
      </c>
      <c r="C132" s="3" t="str">
        <f t="shared" si="2"/>
        <v>=&gt;</v>
      </c>
      <c r="D132" s="3" t="s">
        <v>8</v>
      </c>
      <c r="E132" s="537"/>
      <c r="F132" s="537"/>
      <c r="G132" s="537"/>
      <c r="H132" s="537"/>
      <c r="I132" s="537"/>
      <c r="J132" s="537"/>
    </row>
    <row r="133">
      <c r="A133" s="3">
        <f t="shared" si="1"/>
        <v>133</v>
      </c>
      <c r="B133" s="651" t="s">
        <v>839</v>
      </c>
      <c r="C133" s="3" t="str">
        <f t="shared" si="2"/>
        <v>=&gt;</v>
      </c>
      <c r="D133" s="3" t="s">
        <v>17</v>
      </c>
      <c r="E133" s="523" t="s">
        <v>1012</v>
      </c>
      <c r="F133" s="524" t="s">
        <v>1013</v>
      </c>
      <c r="G133" s="3" t="s">
        <v>19</v>
      </c>
      <c r="H133" s="537"/>
      <c r="I133" s="537"/>
      <c r="J133" s="100"/>
    </row>
    <row r="134">
      <c r="A134" s="3">
        <f t="shared" si="1"/>
        <v>134</v>
      </c>
      <c r="B134" s="523" t="s">
        <v>1012</v>
      </c>
      <c r="C134" s="3" t="str">
        <f t="shared" si="2"/>
        <v>=&gt;</v>
      </c>
      <c r="D134" s="652" t="s">
        <v>1128</v>
      </c>
      <c r="E134" s="523" t="s">
        <v>1012</v>
      </c>
      <c r="F134" s="537"/>
      <c r="G134" s="537"/>
      <c r="H134" s="537"/>
      <c r="I134" s="537"/>
      <c r="J134" s="537"/>
    </row>
    <row r="135">
      <c r="A135" s="3">
        <f t="shared" si="1"/>
        <v>135</v>
      </c>
      <c r="B135" s="523" t="s">
        <v>1012</v>
      </c>
      <c r="C135" s="3" t="str">
        <f t="shared" si="2"/>
        <v>=&gt;</v>
      </c>
      <c r="D135" s="3" t="s">
        <v>14</v>
      </c>
      <c r="E135" s="530" t="s">
        <v>1014</v>
      </c>
      <c r="F135" s="100"/>
      <c r="G135" s="537"/>
      <c r="H135" s="537"/>
      <c r="I135" s="537"/>
      <c r="J135" s="537"/>
    </row>
    <row r="136">
      <c r="A136" s="3">
        <f t="shared" si="1"/>
        <v>136</v>
      </c>
      <c r="B136" s="523" t="s">
        <v>1012</v>
      </c>
      <c r="C136" s="3" t="str">
        <f t="shared" si="2"/>
        <v>=&gt;</v>
      </c>
      <c r="D136" s="3" t="s">
        <v>8</v>
      </c>
      <c r="E136" s="537"/>
      <c r="F136" s="537"/>
      <c r="G136" s="537"/>
      <c r="H136" s="537"/>
      <c r="I136" s="537"/>
      <c r="J136" s="537"/>
    </row>
    <row r="137">
      <c r="A137" s="3">
        <f t="shared" si="1"/>
        <v>137</v>
      </c>
      <c r="B137" s="524" t="s">
        <v>1013</v>
      </c>
      <c r="C137" s="3" t="str">
        <f t="shared" si="2"/>
        <v>=&gt;</v>
      </c>
      <c r="D137" s="543" t="s">
        <v>1018</v>
      </c>
      <c r="E137" s="524" t="s">
        <v>1013</v>
      </c>
      <c r="F137" s="100"/>
      <c r="G137" s="100"/>
      <c r="H137" s="100"/>
      <c r="I137" s="537"/>
      <c r="J137" s="537"/>
    </row>
    <row r="138">
      <c r="A138" s="3">
        <f t="shared" si="1"/>
        <v>138</v>
      </c>
      <c r="B138" s="524" t="s">
        <v>1013</v>
      </c>
      <c r="C138" s="3" t="str">
        <f t="shared" si="2"/>
        <v>=&gt;</v>
      </c>
      <c r="D138" s="654" t="s">
        <v>1019</v>
      </c>
      <c r="E138" s="3" t="s">
        <v>6</v>
      </c>
      <c r="F138" s="524" t="s">
        <v>1013</v>
      </c>
      <c r="G138" s="100"/>
      <c r="H138" s="100"/>
      <c r="I138" s="537"/>
      <c r="J138" s="537"/>
    </row>
    <row r="139">
      <c r="A139" s="3">
        <f t="shared" si="1"/>
        <v>139</v>
      </c>
      <c r="B139" s="524" t="s">
        <v>1013</v>
      </c>
      <c r="C139" s="3" t="str">
        <f t="shared" si="2"/>
        <v>=&gt;</v>
      </c>
      <c r="D139" s="549" t="s">
        <v>1020</v>
      </c>
      <c r="E139" s="524" t="s">
        <v>1013</v>
      </c>
      <c r="F139" s="537"/>
      <c r="G139" s="537"/>
      <c r="H139" s="537"/>
      <c r="I139" s="537"/>
      <c r="J139" s="537"/>
    </row>
    <row r="140">
      <c r="A140" s="3">
        <f t="shared" si="1"/>
        <v>140</v>
      </c>
      <c r="B140" s="524" t="s">
        <v>1013</v>
      </c>
      <c r="C140" s="3" t="str">
        <f t="shared" si="2"/>
        <v>=&gt;</v>
      </c>
      <c r="D140" s="569" t="s">
        <v>1021</v>
      </c>
      <c r="E140" s="524" t="s">
        <v>1013</v>
      </c>
      <c r="F140" s="537"/>
      <c r="G140" s="537"/>
      <c r="H140" s="537"/>
      <c r="I140" s="537"/>
      <c r="J140" s="537"/>
    </row>
    <row r="141">
      <c r="A141" s="3">
        <f t="shared" si="1"/>
        <v>141</v>
      </c>
      <c r="B141" s="524" t="s">
        <v>1013</v>
      </c>
      <c r="C141" s="3" t="str">
        <f t="shared" si="2"/>
        <v>=&gt;</v>
      </c>
      <c r="D141" s="591" t="s">
        <v>1062</v>
      </c>
      <c r="E141" s="524" t="s">
        <v>1013</v>
      </c>
      <c r="F141" s="100"/>
      <c r="G141" s="100"/>
      <c r="H141" s="100"/>
      <c r="I141" s="537"/>
      <c r="J141" s="537"/>
    </row>
    <row r="142">
      <c r="A142" s="3">
        <f t="shared" si="1"/>
        <v>142</v>
      </c>
      <c r="B142" s="524" t="s">
        <v>1013</v>
      </c>
      <c r="C142" s="3" t="str">
        <f t="shared" si="2"/>
        <v>=&gt;</v>
      </c>
      <c r="D142" s="3" t="s">
        <v>8</v>
      </c>
      <c r="E142" s="100"/>
      <c r="F142" s="100"/>
      <c r="G142" s="100"/>
      <c r="H142" s="100"/>
      <c r="I142" s="537"/>
      <c r="J142" s="537"/>
    </row>
    <row r="143">
      <c r="A143" s="3">
        <f t="shared" si="1"/>
        <v>143</v>
      </c>
      <c r="B143" s="530" t="s">
        <v>1014</v>
      </c>
      <c r="C143" s="3" t="str">
        <f t="shared" si="2"/>
        <v>=&gt;</v>
      </c>
      <c r="D143" s="3" t="s">
        <v>850</v>
      </c>
      <c r="E143" s="513" t="s">
        <v>1004</v>
      </c>
      <c r="F143" s="3" t="s">
        <v>6</v>
      </c>
      <c r="G143" s="523" t="s">
        <v>1012</v>
      </c>
      <c r="H143" s="100"/>
      <c r="I143" s="537"/>
      <c r="J143" s="537"/>
    </row>
    <row r="144">
      <c r="A144" s="3">
        <f t="shared" si="1"/>
        <v>144</v>
      </c>
      <c r="B144" s="530" t="s">
        <v>1014</v>
      </c>
      <c r="C144" s="3" t="str">
        <f t="shared" si="2"/>
        <v>=&gt;</v>
      </c>
      <c r="D144" s="3" t="s">
        <v>30</v>
      </c>
      <c r="E144" s="531" t="s">
        <v>1015</v>
      </c>
      <c r="F144" s="100"/>
      <c r="G144" s="100"/>
      <c r="H144" s="100"/>
      <c r="I144" s="537"/>
      <c r="J144" s="537"/>
    </row>
    <row r="145">
      <c r="A145" s="3">
        <f t="shared" si="1"/>
        <v>145</v>
      </c>
      <c r="B145" s="530" t="s">
        <v>1014</v>
      </c>
      <c r="C145" s="3" t="str">
        <f t="shared" si="2"/>
        <v>=&gt;</v>
      </c>
      <c r="D145" s="424" t="s">
        <v>930</v>
      </c>
      <c r="E145" s="532" t="s">
        <v>1016</v>
      </c>
      <c r="F145" s="395" t="s">
        <v>28</v>
      </c>
      <c r="G145" s="3" t="s">
        <v>6</v>
      </c>
      <c r="H145" s="524" t="s">
        <v>1013</v>
      </c>
      <c r="I145" s="537"/>
      <c r="J145" s="537"/>
    </row>
    <row r="146">
      <c r="A146" s="3">
        <f t="shared" si="1"/>
        <v>146</v>
      </c>
      <c r="B146" s="530" t="s">
        <v>1014</v>
      </c>
      <c r="C146" s="3" t="str">
        <f t="shared" si="2"/>
        <v>=&gt;</v>
      </c>
      <c r="D146" s="532" t="s">
        <v>1016</v>
      </c>
      <c r="E146" s="395" t="s">
        <v>28</v>
      </c>
      <c r="F146" s="3" t="s">
        <v>6</v>
      </c>
      <c r="G146" s="524" t="s">
        <v>1013</v>
      </c>
      <c r="H146" s="100"/>
      <c r="I146" s="537"/>
      <c r="J146" s="537"/>
    </row>
    <row r="147">
      <c r="A147" s="3">
        <f t="shared" si="1"/>
        <v>147</v>
      </c>
      <c r="B147" s="530" t="s">
        <v>1014</v>
      </c>
      <c r="C147" s="3" t="str">
        <f t="shared" si="2"/>
        <v>=&gt;</v>
      </c>
      <c r="D147" s="533" t="s">
        <v>1017</v>
      </c>
      <c r="E147" s="8" t="s">
        <v>6</v>
      </c>
      <c r="F147" s="524" t="s">
        <v>1013</v>
      </c>
      <c r="G147" s="100"/>
      <c r="H147" s="100"/>
      <c r="I147" s="537"/>
      <c r="J147" s="537"/>
    </row>
    <row r="148">
      <c r="A148" s="3">
        <f t="shared" si="1"/>
        <v>148</v>
      </c>
      <c r="B148" s="531" t="s">
        <v>1015</v>
      </c>
      <c r="C148" s="3" t="str">
        <f t="shared" si="2"/>
        <v>=&gt;</v>
      </c>
      <c r="D148" s="8" t="s">
        <v>32</v>
      </c>
      <c r="E148" s="464" t="s">
        <v>964</v>
      </c>
      <c r="F148" s="3" t="s">
        <v>850</v>
      </c>
      <c r="G148" s="513" t="s">
        <v>1004</v>
      </c>
      <c r="H148" s="3" t="s">
        <v>6</v>
      </c>
      <c r="I148" s="523" t="s">
        <v>1012</v>
      </c>
      <c r="J148" s="537"/>
    </row>
    <row r="149">
      <c r="A149" s="3">
        <f t="shared" si="1"/>
        <v>149</v>
      </c>
      <c r="B149" s="531" t="s">
        <v>1015</v>
      </c>
      <c r="C149" s="3" t="str">
        <f t="shared" si="2"/>
        <v>=&gt;</v>
      </c>
      <c r="D149" s="603" t="s">
        <v>1085</v>
      </c>
      <c r="E149" s="8" t="s">
        <v>32</v>
      </c>
      <c r="F149" s="535" t="s">
        <v>894</v>
      </c>
      <c r="G149" s="532" t="s">
        <v>1016</v>
      </c>
      <c r="H149" s="395" t="s">
        <v>28</v>
      </c>
      <c r="I149" s="3" t="s">
        <v>6</v>
      </c>
      <c r="J149" s="524" t="s">
        <v>1013</v>
      </c>
    </row>
    <row r="150">
      <c r="A150" s="3">
        <f t="shared" si="1"/>
        <v>150</v>
      </c>
      <c r="B150" s="543" t="s">
        <v>1018</v>
      </c>
      <c r="C150" s="3" t="str">
        <f t="shared" si="2"/>
        <v>=&gt;</v>
      </c>
      <c r="D150" s="3" t="s">
        <v>14</v>
      </c>
      <c r="E150" s="544" t="s">
        <v>1023</v>
      </c>
      <c r="F150" s="524" t="s">
        <v>1013</v>
      </c>
      <c r="G150" s="100"/>
      <c r="H150" s="100"/>
      <c r="I150" s="537"/>
      <c r="J150" s="537"/>
    </row>
    <row r="151">
      <c r="A151" s="3">
        <f t="shared" si="1"/>
        <v>151</v>
      </c>
      <c r="B151" s="544" t="s">
        <v>1023</v>
      </c>
      <c r="C151" s="3" t="str">
        <f t="shared" si="2"/>
        <v>=&gt;</v>
      </c>
      <c r="D151" s="533" t="s">
        <v>1017</v>
      </c>
      <c r="E151" s="8" t="s">
        <v>6</v>
      </c>
      <c r="F151" s="100"/>
      <c r="G151" s="100"/>
      <c r="H151" s="537"/>
      <c r="I151" s="537"/>
      <c r="J151" s="537"/>
    </row>
    <row r="152">
      <c r="A152" s="3">
        <f t="shared" si="1"/>
        <v>152</v>
      </c>
      <c r="B152" s="544" t="s">
        <v>1023</v>
      </c>
      <c r="C152" s="3" t="str">
        <f t="shared" si="2"/>
        <v>=&gt;</v>
      </c>
      <c r="D152" s="545" t="s">
        <v>1024</v>
      </c>
      <c r="E152" s="100"/>
      <c r="F152" s="100"/>
      <c r="G152" s="100"/>
      <c r="H152" s="537"/>
      <c r="I152" s="537"/>
      <c r="J152" s="537"/>
    </row>
    <row r="153">
      <c r="A153" s="3">
        <f t="shared" si="1"/>
        <v>153</v>
      </c>
      <c r="B153" s="545" t="s">
        <v>1024</v>
      </c>
      <c r="C153" s="3" t="str">
        <f t="shared" si="2"/>
        <v>=&gt;</v>
      </c>
      <c r="D153" s="535" t="s">
        <v>894</v>
      </c>
      <c r="E153" s="532" t="s">
        <v>1016</v>
      </c>
      <c r="F153" s="395" t="s">
        <v>28</v>
      </c>
      <c r="G153" s="3" t="s">
        <v>6</v>
      </c>
      <c r="H153" s="100"/>
      <c r="I153" s="537"/>
      <c r="J153" s="537"/>
    </row>
    <row r="154">
      <c r="A154" s="3">
        <f t="shared" si="1"/>
        <v>154</v>
      </c>
      <c r="B154" s="532" t="s">
        <v>1016</v>
      </c>
      <c r="C154" s="3" t="str">
        <f t="shared" si="2"/>
        <v>=&gt;</v>
      </c>
      <c r="D154" s="8" t="str">
        <f>"="</f>
        <v>=</v>
      </c>
      <c r="E154" s="100"/>
      <c r="F154" s="100"/>
      <c r="G154" s="100"/>
      <c r="H154" s="537"/>
      <c r="I154" s="537"/>
      <c r="J154" s="537"/>
    </row>
    <row r="155">
      <c r="A155" s="3">
        <f t="shared" si="1"/>
        <v>155</v>
      </c>
      <c r="B155" s="532" t="s">
        <v>1016</v>
      </c>
      <c r="C155" s="3" t="str">
        <f t="shared" si="2"/>
        <v>=&gt;</v>
      </c>
      <c r="D155" s="8" t="str">
        <f>"+="</f>
        <v>+=</v>
      </c>
      <c r="E155" s="100"/>
      <c r="F155" s="100"/>
      <c r="G155" s="100"/>
      <c r="H155" s="537"/>
      <c r="I155" s="537"/>
      <c r="J155" s="537"/>
    </row>
    <row r="156">
      <c r="A156" s="3">
        <f t="shared" si="1"/>
        <v>156</v>
      </c>
      <c r="B156" s="532" t="s">
        <v>1016</v>
      </c>
      <c r="C156" s="3" t="str">
        <f t="shared" si="2"/>
        <v>=&gt;</v>
      </c>
      <c r="D156" s="8" t="str">
        <f>"-="</f>
        <v>-=</v>
      </c>
      <c r="E156" s="100"/>
      <c r="F156" s="100"/>
      <c r="G156" s="100"/>
      <c r="H156" s="537"/>
      <c r="I156" s="537"/>
      <c r="J156" s="537"/>
    </row>
    <row r="157">
      <c r="A157" s="3">
        <f t="shared" si="1"/>
        <v>157</v>
      </c>
      <c r="B157" s="532" t="s">
        <v>1016</v>
      </c>
      <c r="C157" s="3" t="str">
        <f t="shared" si="2"/>
        <v>=&gt;</v>
      </c>
      <c r="D157" s="8" t="str">
        <f>"*="</f>
        <v>*=</v>
      </c>
      <c r="E157" s="100"/>
      <c r="F157" s="100"/>
      <c r="G157" s="100"/>
      <c r="H157" s="537"/>
      <c r="I157" s="537"/>
      <c r="J157" s="537"/>
    </row>
    <row r="158">
      <c r="A158" s="3">
        <f t="shared" si="1"/>
        <v>158</v>
      </c>
      <c r="B158" s="532" t="s">
        <v>1016</v>
      </c>
      <c r="C158" s="3" t="str">
        <f t="shared" si="2"/>
        <v>=&gt;</v>
      </c>
      <c r="D158" s="8" t="str">
        <f>"/="</f>
        <v>/=</v>
      </c>
      <c r="E158" s="100"/>
      <c r="F158" s="100"/>
      <c r="G158" s="100"/>
      <c r="H158" s="537"/>
      <c r="I158" s="537"/>
      <c r="J158" s="537"/>
    </row>
    <row r="159">
      <c r="A159" s="3">
        <f t="shared" si="1"/>
        <v>159</v>
      </c>
      <c r="B159" s="532" t="s">
        <v>1016</v>
      </c>
      <c r="C159" s="3" t="str">
        <f t="shared" si="2"/>
        <v>=&gt;</v>
      </c>
      <c r="D159" s="8" t="str">
        <f>"%="</f>
        <v>%=</v>
      </c>
      <c r="E159" s="100"/>
      <c r="F159" s="100"/>
      <c r="G159" s="100"/>
      <c r="H159" s="537"/>
      <c r="I159" s="537"/>
      <c r="J159" s="537"/>
    </row>
    <row r="160">
      <c r="A160" s="3">
        <f t="shared" si="1"/>
        <v>160</v>
      </c>
      <c r="B160" s="549" t="s">
        <v>1020</v>
      </c>
      <c r="C160" s="3" t="str">
        <f t="shared" si="2"/>
        <v>=&gt;</v>
      </c>
      <c r="D160" s="550" t="s">
        <v>1027</v>
      </c>
      <c r="E160" s="537"/>
      <c r="F160" s="537"/>
      <c r="G160" s="537"/>
      <c r="H160" s="537"/>
      <c r="I160" s="537"/>
      <c r="J160" s="537"/>
    </row>
    <row r="161">
      <c r="A161" s="3">
        <f t="shared" si="1"/>
        <v>161</v>
      </c>
      <c r="B161" s="549" t="s">
        <v>1020</v>
      </c>
      <c r="C161" s="3" t="str">
        <f t="shared" si="2"/>
        <v>=&gt;</v>
      </c>
      <c r="D161" s="551" t="s">
        <v>1028</v>
      </c>
      <c r="E161" s="537"/>
      <c r="F161" s="537"/>
      <c r="G161" s="537"/>
      <c r="H161" s="537"/>
      <c r="I161" s="537"/>
      <c r="J161" s="537"/>
    </row>
    <row r="162">
      <c r="A162" s="3">
        <f t="shared" si="1"/>
        <v>162</v>
      </c>
      <c r="B162" s="550" t="s">
        <v>1027</v>
      </c>
      <c r="C162" s="3" t="str">
        <f t="shared" si="2"/>
        <v>=&gt;</v>
      </c>
      <c r="D162" s="542" t="s">
        <v>1029</v>
      </c>
      <c r="E162" s="3" t="s">
        <v>62</v>
      </c>
      <c r="F162" s="603" t="s">
        <v>1085</v>
      </c>
      <c r="G162" s="3" t="s">
        <v>64</v>
      </c>
      <c r="H162" s="651" t="s">
        <v>839</v>
      </c>
      <c r="I162" s="553" t="s">
        <v>1030</v>
      </c>
      <c r="J162" s="554" t="s">
        <v>1031</v>
      </c>
    </row>
    <row r="163">
      <c r="A163" s="3">
        <f t="shared" si="1"/>
        <v>163</v>
      </c>
      <c r="B163" s="553" t="s">
        <v>1030</v>
      </c>
      <c r="C163" s="3" t="str">
        <f t="shared" si="2"/>
        <v>=&gt;</v>
      </c>
      <c r="D163" s="542" t="s">
        <v>1032</v>
      </c>
      <c r="E163" s="3" t="s">
        <v>62</v>
      </c>
      <c r="F163" s="603" t="s">
        <v>1085</v>
      </c>
      <c r="G163" s="3" t="s">
        <v>64</v>
      </c>
      <c r="H163" s="651" t="s">
        <v>839</v>
      </c>
      <c r="I163" s="553" t="s">
        <v>1030</v>
      </c>
      <c r="J163" s="537"/>
    </row>
    <row r="164">
      <c r="A164" s="3">
        <f t="shared" si="1"/>
        <v>164</v>
      </c>
      <c r="B164" s="553" t="s">
        <v>1030</v>
      </c>
      <c r="C164" s="3" t="str">
        <f t="shared" si="2"/>
        <v>=&gt;</v>
      </c>
      <c r="D164" s="542" t="s">
        <v>8</v>
      </c>
      <c r="E164" s="537"/>
      <c r="F164" s="537"/>
      <c r="G164" s="537"/>
      <c r="H164" s="537"/>
      <c r="I164" s="537"/>
      <c r="J164" s="537"/>
    </row>
    <row r="165">
      <c r="A165" s="3">
        <f t="shared" si="1"/>
        <v>165</v>
      </c>
      <c r="B165" s="554" t="s">
        <v>1031</v>
      </c>
      <c r="C165" s="3" t="str">
        <f t="shared" si="2"/>
        <v>=&gt;</v>
      </c>
      <c r="D165" s="542" t="s">
        <v>1033</v>
      </c>
      <c r="E165" s="651" t="s">
        <v>839</v>
      </c>
      <c r="F165" s="537"/>
      <c r="G165" s="537"/>
      <c r="H165" s="537"/>
      <c r="I165" s="537"/>
      <c r="J165" s="537"/>
    </row>
    <row r="166">
      <c r="A166" s="3">
        <f t="shared" si="1"/>
        <v>166</v>
      </c>
      <c r="B166" s="554" t="s">
        <v>1031</v>
      </c>
      <c r="C166" s="3" t="str">
        <f t="shared" si="2"/>
        <v>=&gt;</v>
      </c>
      <c r="D166" s="542" t="s">
        <v>8</v>
      </c>
      <c r="E166" s="537"/>
      <c r="F166" s="537"/>
      <c r="G166" s="537"/>
      <c r="H166" s="537"/>
      <c r="I166" s="537"/>
      <c r="J166" s="537"/>
    </row>
    <row r="167">
      <c r="A167" s="3">
        <f t="shared" si="1"/>
        <v>167</v>
      </c>
      <c r="B167" s="551" t="s">
        <v>1028</v>
      </c>
      <c r="C167" s="3" t="str">
        <f t="shared" si="2"/>
        <v>=&gt;</v>
      </c>
      <c r="D167" s="542" t="s">
        <v>1034</v>
      </c>
      <c r="E167" s="3" t="s">
        <v>62</v>
      </c>
      <c r="F167" s="603" t="s">
        <v>1085</v>
      </c>
      <c r="G167" s="3" t="s">
        <v>64</v>
      </c>
      <c r="H167" s="555" t="s">
        <v>1035</v>
      </c>
      <c r="I167" s="537"/>
      <c r="J167" s="537"/>
    </row>
    <row r="168">
      <c r="A168" s="3">
        <f t="shared" si="1"/>
        <v>168</v>
      </c>
      <c r="B168" s="555" t="s">
        <v>1035</v>
      </c>
      <c r="C168" s="3" t="str">
        <f t="shared" si="2"/>
        <v>=&gt;</v>
      </c>
      <c r="D168" s="542" t="s">
        <v>17</v>
      </c>
      <c r="E168" s="556" t="s">
        <v>1036</v>
      </c>
      <c r="F168" s="557" t="s">
        <v>1037</v>
      </c>
      <c r="G168" s="3" t="s">
        <v>19</v>
      </c>
      <c r="H168" s="537"/>
      <c r="I168" s="537"/>
      <c r="J168" s="537"/>
    </row>
    <row r="169">
      <c r="A169" s="3">
        <f t="shared" si="1"/>
        <v>169</v>
      </c>
      <c r="B169" s="556" t="s">
        <v>1036</v>
      </c>
      <c r="C169" s="3" t="str">
        <f t="shared" si="2"/>
        <v>=&gt;</v>
      </c>
      <c r="D169" s="542" t="s">
        <v>1038</v>
      </c>
      <c r="E169" s="558" t="s">
        <v>1039</v>
      </c>
      <c r="F169" s="3" t="s">
        <v>180</v>
      </c>
      <c r="G169" s="524" t="s">
        <v>1013</v>
      </c>
      <c r="H169" s="556" t="s">
        <v>1036</v>
      </c>
      <c r="I169" s="100"/>
      <c r="J169" s="537"/>
    </row>
    <row r="170">
      <c r="A170" s="3">
        <f t="shared" si="1"/>
        <v>170</v>
      </c>
      <c r="B170" s="556" t="s">
        <v>1036</v>
      </c>
      <c r="C170" s="3" t="str">
        <f t="shared" si="2"/>
        <v>=&gt;</v>
      </c>
      <c r="D170" s="542" t="s">
        <v>8</v>
      </c>
      <c r="E170" s="537"/>
      <c r="F170" s="537"/>
      <c r="G170" s="537"/>
      <c r="H170" s="537"/>
      <c r="I170" s="537"/>
      <c r="J170" s="537"/>
    </row>
    <row r="171">
      <c r="A171" s="3">
        <f t="shared" si="1"/>
        <v>171</v>
      </c>
      <c r="B171" s="558" t="s">
        <v>1039</v>
      </c>
      <c r="C171" s="3" t="str">
        <f t="shared" si="2"/>
        <v>=&gt;</v>
      </c>
      <c r="D171" s="3" t="s">
        <v>868</v>
      </c>
      <c r="E171" s="537"/>
      <c r="F171" s="537"/>
      <c r="G171" s="537"/>
      <c r="H171" s="537"/>
      <c r="I171" s="537"/>
      <c r="J171" s="537"/>
    </row>
    <row r="172">
      <c r="A172" s="3">
        <f t="shared" si="1"/>
        <v>172</v>
      </c>
      <c r="B172" s="558" t="s">
        <v>1039</v>
      </c>
      <c r="C172" s="3" t="str">
        <f t="shared" si="2"/>
        <v>=&gt;</v>
      </c>
      <c r="D172" s="542" t="s">
        <v>904</v>
      </c>
      <c r="E172" s="537"/>
      <c r="F172" s="537"/>
      <c r="G172" s="537"/>
      <c r="H172" s="537"/>
      <c r="I172" s="537"/>
      <c r="J172" s="537"/>
    </row>
    <row r="173">
      <c r="A173" s="3">
        <f t="shared" si="1"/>
        <v>173</v>
      </c>
      <c r="B173" s="557" t="s">
        <v>1037</v>
      </c>
      <c r="C173" s="3" t="str">
        <f t="shared" si="2"/>
        <v>=&gt;</v>
      </c>
      <c r="D173" s="542" t="s">
        <v>1070</v>
      </c>
      <c r="E173" s="3" t="s">
        <v>180</v>
      </c>
      <c r="F173" s="524" t="s">
        <v>1013</v>
      </c>
      <c r="G173" s="537"/>
      <c r="H173" s="537"/>
      <c r="I173" s="537"/>
      <c r="J173" s="537"/>
    </row>
    <row r="174">
      <c r="A174" s="3">
        <f t="shared" si="1"/>
        <v>174</v>
      </c>
      <c r="B174" s="557" t="s">
        <v>1037</v>
      </c>
      <c r="C174" s="3" t="str">
        <f t="shared" si="2"/>
        <v>=&gt;</v>
      </c>
      <c r="D174" s="542" t="s">
        <v>8</v>
      </c>
      <c r="E174" s="537"/>
      <c r="F174" s="537"/>
      <c r="G174" s="537"/>
      <c r="H174" s="537"/>
      <c r="I174" s="537"/>
      <c r="J174" s="537"/>
    </row>
    <row r="175">
      <c r="A175" s="3">
        <f t="shared" si="1"/>
        <v>175</v>
      </c>
      <c r="B175" s="569" t="s">
        <v>1021</v>
      </c>
      <c r="C175" s="3" t="str">
        <f t="shared" si="2"/>
        <v>=&gt;</v>
      </c>
      <c r="D175" s="570" t="s">
        <v>1049</v>
      </c>
      <c r="E175" s="537"/>
      <c r="F175" s="537"/>
      <c r="G175" s="537"/>
      <c r="H175" s="537"/>
      <c r="I175" s="537"/>
      <c r="J175" s="537"/>
    </row>
    <row r="176">
      <c r="A176" s="3">
        <f t="shared" si="1"/>
        <v>176</v>
      </c>
      <c r="B176" s="569" t="s">
        <v>1021</v>
      </c>
      <c r="C176" s="3" t="str">
        <f t="shared" si="2"/>
        <v>=&gt;</v>
      </c>
      <c r="D176" s="571" t="s">
        <v>1050</v>
      </c>
      <c r="E176" s="537"/>
      <c r="F176" s="537"/>
      <c r="G176" s="537"/>
      <c r="H176" s="537"/>
      <c r="I176" s="537"/>
      <c r="J176" s="537"/>
    </row>
    <row r="177">
      <c r="A177" s="3">
        <f t="shared" si="1"/>
        <v>177</v>
      </c>
      <c r="B177" s="569" t="s">
        <v>1021</v>
      </c>
      <c r="C177" s="3" t="str">
        <f t="shared" si="2"/>
        <v>=&gt;</v>
      </c>
      <c r="D177" s="572" t="s">
        <v>1051</v>
      </c>
      <c r="E177" s="537"/>
      <c r="F177" s="537"/>
      <c r="G177" s="537"/>
      <c r="H177" s="537"/>
      <c r="I177" s="537"/>
      <c r="J177" s="537"/>
    </row>
    <row r="178">
      <c r="A178" s="3">
        <f t="shared" si="1"/>
        <v>178</v>
      </c>
      <c r="B178" s="570" t="s">
        <v>1049</v>
      </c>
      <c r="C178" s="3" t="str">
        <f t="shared" si="2"/>
        <v>=&gt;</v>
      </c>
      <c r="D178" s="542" t="s">
        <v>1052</v>
      </c>
      <c r="E178" s="3" t="s">
        <v>62</v>
      </c>
      <c r="F178" s="573" t="s">
        <v>1053</v>
      </c>
      <c r="G178" s="574" t="s">
        <v>189</v>
      </c>
      <c r="H178" s="603" t="s">
        <v>1085</v>
      </c>
      <c r="I178" s="3" t="s">
        <v>64</v>
      </c>
      <c r="J178" s="651" t="s">
        <v>839</v>
      </c>
    </row>
    <row r="179">
      <c r="A179" s="3">
        <f t="shared" si="1"/>
        <v>179</v>
      </c>
      <c r="B179" s="573" t="s">
        <v>1053</v>
      </c>
      <c r="C179" s="3" t="str">
        <f t="shared" si="2"/>
        <v>=&gt;</v>
      </c>
      <c r="D179" s="3" t="s">
        <v>14</v>
      </c>
      <c r="E179" s="601" t="s">
        <v>1083</v>
      </c>
      <c r="F179" s="3" t="s">
        <v>6</v>
      </c>
      <c r="G179" s="537"/>
      <c r="H179" s="537"/>
      <c r="I179" s="537"/>
      <c r="J179" s="537"/>
    </row>
    <row r="180">
      <c r="A180" s="3">
        <f t="shared" si="1"/>
        <v>180</v>
      </c>
      <c r="B180" s="574" t="s">
        <v>189</v>
      </c>
      <c r="C180" s="3" t="str">
        <f t="shared" si="2"/>
        <v>=&gt;</v>
      </c>
      <c r="D180" s="3" t="s">
        <v>14</v>
      </c>
      <c r="E180" s="545" t="s">
        <v>1024</v>
      </c>
      <c r="F180" s="537"/>
      <c r="G180" s="537"/>
      <c r="H180" s="537"/>
      <c r="I180" s="537"/>
      <c r="J180" s="537"/>
    </row>
    <row r="181">
      <c r="A181" s="3">
        <f t="shared" si="1"/>
        <v>181</v>
      </c>
      <c r="B181" s="571" t="s">
        <v>1050</v>
      </c>
      <c r="C181" s="3" t="str">
        <f t="shared" si="2"/>
        <v>=&gt;</v>
      </c>
      <c r="D181" s="542" t="s">
        <v>1075</v>
      </c>
      <c r="E181" s="3" t="s">
        <v>62</v>
      </c>
      <c r="F181" s="603" t="s">
        <v>1085</v>
      </c>
      <c r="G181" s="3" t="s">
        <v>64</v>
      </c>
      <c r="H181" s="651" t="s">
        <v>839</v>
      </c>
      <c r="I181" s="537"/>
      <c r="J181" s="537"/>
    </row>
    <row r="182">
      <c r="A182" s="3">
        <f t="shared" si="1"/>
        <v>182</v>
      </c>
      <c r="B182" s="572" t="s">
        <v>1051</v>
      </c>
      <c r="C182" s="3" t="str">
        <f t="shared" si="2"/>
        <v>=&gt;</v>
      </c>
      <c r="D182" s="542" t="s">
        <v>1076</v>
      </c>
      <c r="E182" s="651" t="s">
        <v>839</v>
      </c>
      <c r="F182" s="3" t="s">
        <v>1075</v>
      </c>
      <c r="G182" s="3" t="s">
        <v>62</v>
      </c>
      <c r="H182" s="603" t="s">
        <v>1085</v>
      </c>
      <c r="I182" s="3" t="s">
        <v>64</v>
      </c>
      <c r="J182" s="3" t="s">
        <v>6</v>
      </c>
    </row>
    <row r="183">
      <c r="A183" s="3">
        <f t="shared" si="1"/>
        <v>183</v>
      </c>
      <c r="B183" s="591" t="s">
        <v>1062</v>
      </c>
      <c r="C183" s="3" t="str">
        <f t="shared" si="2"/>
        <v>=&gt;</v>
      </c>
      <c r="D183" s="592" t="s">
        <v>1071</v>
      </c>
      <c r="E183" s="537"/>
      <c r="F183" s="537"/>
      <c r="G183" s="537"/>
      <c r="H183" s="537"/>
      <c r="I183" s="537"/>
      <c r="J183" s="537"/>
    </row>
    <row r="184">
      <c r="A184" s="3">
        <f t="shared" si="1"/>
        <v>184</v>
      </c>
      <c r="B184" s="591" t="s">
        <v>1062</v>
      </c>
      <c r="C184" s="3" t="str">
        <f t="shared" si="2"/>
        <v>=&gt;</v>
      </c>
      <c r="D184" s="593" t="s">
        <v>1043</v>
      </c>
      <c r="E184" s="537"/>
      <c r="F184" s="537"/>
      <c r="G184" s="537"/>
      <c r="H184" s="537"/>
      <c r="I184" s="537"/>
      <c r="J184" s="537"/>
    </row>
    <row r="185">
      <c r="A185" s="3">
        <f t="shared" si="1"/>
        <v>185</v>
      </c>
      <c r="B185" s="591" t="s">
        <v>1062</v>
      </c>
      <c r="C185" s="3" t="str">
        <f t="shared" si="2"/>
        <v>=&gt;</v>
      </c>
      <c r="D185" s="594" t="s">
        <v>1022</v>
      </c>
      <c r="E185" s="537"/>
      <c r="F185" s="537"/>
      <c r="G185" s="537"/>
      <c r="H185" s="537"/>
      <c r="I185" s="537"/>
      <c r="J185" s="537"/>
    </row>
    <row r="186">
      <c r="A186" s="3">
        <f t="shared" si="1"/>
        <v>186</v>
      </c>
      <c r="B186" s="592" t="s">
        <v>1071</v>
      </c>
      <c r="C186" s="3" t="str">
        <f t="shared" si="2"/>
        <v>=&gt;</v>
      </c>
      <c r="D186" s="3" t="s">
        <v>1072</v>
      </c>
      <c r="E186" s="3" t="s">
        <v>6</v>
      </c>
      <c r="F186" s="537"/>
      <c r="G186" s="537"/>
      <c r="H186" s="537"/>
      <c r="I186" s="537"/>
      <c r="J186" s="537"/>
    </row>
    <row r="187">
      <c r="A187" s="3">
        <f t="shared" si="1"/>
        <v>187</v>
      </c>
      <c r="B187" s="593" t="s">
        <v>1043</v>
      </c>
      <c r="C187" s="3" t="str">
        <f t="shared" si="2"/>
        <v>=&gt;</v>
      </c>
      <c r="D187" s="542" t="s">
        <v>1073</v>
      </c>
      <c r="E187" s="3" t="s">
        <v>6</v>
      </c>
      <c r="F187" s="537"/>
      <c r="G187" s="537"/>
      <c r="H187" s="537"/>
      <c r="I187" s="537"/>
      <c r="J187" s="537"/>
    </row>
    <row r="188">
      <c r="A188" s="3">
        <f t="shared" si="1"/>
        <v>188</v>
      </c>
      <c r="B188" s="594" t="s">
        <v>1022</v>
      </c>
      <c r="C188" s="3" t="str">
        <f t="shared" si="2"/>
        <v>=&gt;</v>
      </c>
      <c r="D188" s="542" t="s">
        <v>1074</v>
      </c>
      <c r="E188" s="395" t="s">
        <v>28</v>
      </c>
      <c r="F188" s="3" t="s">
        <v>6</v>
      </c>
      <c r="G188" s="537"/>
      <c r="H188" s="537"/>
      <c r="I188" s="537"/>
      <c r="J188" s="53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4.38"/>
    <col customWidth="1" min="3" max="3" width="3.0"/>
    <col customWidth="1" min="4" max="11" width="25.13"/>
  </cols>
  <sheetData>
    <row r="1">
      <c r="A1" s="3">
        <f t="shared" ref="A1:A208" si="1">ROW()</f>
        <v>1</v>
      </c>
      <c r="B1" s="340" t="s">
        <v>0</v>
      </c>
      <c r="C1" s="3" t="str">
        <f t="shared" ref="C1:C13" si="2">"=&gt;"</f>
        <v>=&gt;</v>
      </c>
      <c r="D1" s="341" t="s">
        <v>836</v>
      </c>
      <c r="E1" s="342" t="s">
        <v>837</v>
      </c>
      <c r="F1" s="3" t="s">
        <v>838</v>
      </c>
      <c r="G1" s="3" t="s">
        <v>62</v>
      </c>
      <c r="H1" s="3" t="s">
        <v>64</v>
      </c>
      <c r="I1" s="651" t="s">
        <v>839</v>
      </c>
      <c r="J1" s="3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>
        <f t="shared" si="1"/>
        <v>2</v>
      </c>
      <c r="B2" s="341" t="s">
        <v>836</v>
      </c>
      <c r="C2" s="3" t="str">
        <f t="shared" si="2"/>
        <v>=&gt;</v>
      </c>
      <c r="D2" s="7" t="s">
        <v>840</v>
      </c>
      <c r="E2" s="344" t="s">
        <v>841</v>
      </c>
      <c r="F2" s="341" t="s">
        <v>836</v>
      </c>
      <c r="G2" s="3"/>
      <c r="H2" s="3"/>
      <c r="I2" s="3"/>
      <c r="J2" s="3"/>
      <c r="K2" s="3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">
        <f t="shared" si="1"/>
        <v>3</v>
      </c>
      <c r="B3" s="341" t="s">
        <v>836</v>
      </c>
      <c r="C3" s="3" t="str">
        <f t="shared" si="2"/>
        <v>=&gt;</v>
      </c>
      <c r="D3" s="7" t="s">
        <v>842</v>
      </c>
      <c r="E3" s="345" t="s">
        <v>843</v>
      </c>
      <c r="F3" s="341" t="s">
        <v>836</v>
      </c>
      <c r="G3" s="3"/>
      <c r="H3" s="3"/>
      <c r="I3" s="3"/>
      <c r="J3" s="3"/>
      <c r="K3" s="3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">
        <f t="shared" si="1"/>
        <v>4</v>
      </c>
      <c r="B4" s="341" t="s">
        <v>836</v>
      </c>
      <c r="C4" s="3" t="str">
        <f t="shared" si="2"/>
        <v>=&gt;</v>
      </c>
      <c r="D4" s="3" t="s">
        <v>844</v>
      </c>
      <c r="E4" s="346" t="s">
        <v>845</v>
      </c>
      <c r="F4" s="341" t="s">
        <v>836</v>
      </c>
      <c r="G4" s="3"/>
      <c r="H4" s="3"/>
      <c r="I4" s="3"/>
      <c r="J4" s="3"/>
      <c r="K4" s="3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">
        <f t="shared" si="1"/>
        <v>5</v>
      </c>
      <c r="B5" s="341" t="s">
        <v>836</v>
      </c>
      <c r="C5" s="3" t="str">
        <f t="shared" si="2"/>
        <v>=&gt;</v>
      </c>
      <c r="D5" s="3" t="s">
        <v>846</v>
      </c>
      <c r="E5" s="347" t="s">
        <v>847</v>
      </c>
      <c r="F5" s="341" t="s">
        <v>836</v>
      </c>
      <c r="G5" s="3"/>
      <c r="H5" s="3"/>
      <c r="I5" s="3"/>
      <c r="J5" s="3"/>
      <c r="K5" s="3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">
        <f t="shared" si="1"/>
        <v>6</v>
      </c>
      <c r="B6" s="341" t="s">
        <v>836</v>
      </c>
      <c r="C6" s="3" t="str">
        <f t="shared" si="2"/>
        <v>=&gt;</v>
      </c>
      <c r="D6" s="348" t="s">
        <v>848</v>
      </c>
      <c r="E6" s="341" t="s">
        <v>836</v>
      </c>
      <c r="F6" s="3"/>
      <c r="G6" s="3"/>
      <c r="H6" s="3"/>
      <c r="I6" s="3"/>
      <c r="J6" s="3"/>
      <c r="K6" s="3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">
        <f t="shared" si="1"/>
        <v>7</v>
      </c>
      <c r="B7" s="341" t="s">
        <v>836</v>
      </c>
      <c r="C7" s="3" t="str">
        <f t="shared" si="2"/>
        <v>=&gt;</v>
      </c>
      <c r="D7" s="3" t="s">
        <v>14</v>
      </c>
      <c r="E7" s="349" t="s">
        <v>849</v>
      </c>
      <c r="F7" s="341" t="s">
        <v>836</v>
      </c>
      <c r="G7" s="3"/>
      <c r="H7" s="3"/>
      <c r="I7" s="3"/>
      <c r="J7" s="3"/>
      <c r="K7" s="3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">
        <f t="shared" si="1"/>
        <v>8</v>
      </c>
      <c r="B8" s="341" t="s">
        <v>836</v>
      </c>
      <c r="C8" s="3" t="str">
        <f t="shared" si="2"/>
        <v>=&gt;</v>
      </c>
      <c r="D8" s="3" t="s">
        <v>8</v>
      </c>
      <c r="E8" s="3"/>
      <c r="F8" s="3"/>
      <c r="G8" s="3"/>
      <c r="H8" s="3"/>
      <c r="I8" s="3"/>
      <c r="J8" s="3"/>
      <c r="K8" s="3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">
        <f t="shared" si="1"/>
        <v>9</v>
      </c>
      <c r="B9" s="344" t="s">
        <v>841</v>
      </c>
      <c r="C9" s="3" t="str">
        <f t="shared" si="2"/>
        <v>=&gt;</v>
      </c>
      <c r="D9" s="7" t="s">
        <v>850</v>
      </c>
      <c r="E9" s="350" t="s">
        <v>851</v>
      </c>
      <c r="F9" s="21" t="s">
        <v>6</v>
      </c>
      <c r="G9" s="7"/>
      <c r="H9" s="15"/>
      <c r="I9" s="3"/>
      <c r="J9" s="3"/>
      <c r="K9" s="3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">
        <f t="shared" si="1"/>
        <v>10</v>
      </c>
      <c r="B10" s="344" t="s">
        <v>841</v>
      </c>
      <c r="C10" s="3" t="str">
        <f t="shared" si="2"/>
        <v>=&gt;</v>
      </c>
      <c r="D10" s="351" t="s">
        <v>852</v>
      </c>
      <c r="E10" s="21"/>
      <c r="F10" s="21"/>
      <c r="G10" s="7"/>
      <c r="H10" s="15"/>
      <c r="I10" s="3"/>
      <c r="J10" s="3"/>
      <c r="K10" s="3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">
        <f t="shared" si="1"/>
        <v>11</v>
      </c>
      <c r="B11" s="350" t="s">
        <v>851</v>
      </c>
      <c r="C11" s="3" t="str">
        <f t="shared" si="2"/>
        <v>=&gt;</v>
      </c>
      <c r="D11" s="3" t="s">
        <v>14</v>
      </c>
      <c r="E11" s="352" t="s">
        <v>853</v>
      </c>
      <c r="F11" s="353" t="s">
        <v>854</v>
      </c>
      <c r="G11" s="7"/>
      <c r="H11" s="15"/>
      <c r="I11" s="3"/>
      <c r="J11" s="3"/>
      <c r="K11" s="3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">
        <f t="shared" si="1"/>
        <v>12</v>
      </c>
      <c r="B12" s="352" t="s">
        <v>853</v>
      </c>
      <c r="C12" s="3" t="str">
        <f t="shared" si="2"/>
        <v>=&gt;</v>
      </c>
      <c r="D12" s="3" t="str">
        <f>"="</f>
        <v>=</v>
      </c>
      <c r="E12" s="354" t="s">
        <v>855</v>
      </c>
      <c r="F12" s="21"/>
      <c r="G12" s="7"/>
      <c r="H12" s="15"/>
      <c r="I12" s="3"/>
      <c r="J12" s="3"/>
      <c r="K12" s="3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">
        <f t="shared" si="1"/>
        <v>13</v>
      </c>
      <c r="B13" s="352" t="s">
        <v>853</v>
      </c>
      <c r="C13" s="3" t="str">
        <f t="shared" si="2"/>
        <v>=&gt;</v>
      </c>
      <c r="D13" s="3" t="s">
        <v>8</v>
      </c>
      <c r="E13" s="3"/>
      <c r="F13" s="21"/>
      <c r="G13" s="7"/>
      <c r="H13" s="15"/>
      <c r="I13" s="3"/>
      <c r="J13" s="3"/>
      <c r="K13" s="3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">
        <f t="shared" si="1"/>
        <v>14</v>
      </c>
      <c r="B14" s="353" t="s">
        <v>854</v>
      </c>
      <c r="C14" s="3"/>
      <c r="D14" s="3" t="s">
        <v>38</v>
      </c>
      <c r="E14" s="3" t="s">
        <v>14</v>
      </c>
      <c r="F14" s="352" t="s">
        <v>853</v>
      </c>
      <c r="G14" s="353" t="s">
        <v>854</v>
      </c>
      <c r="H14" s="15"/>
      <c r="I14" s="3"/>
      <c r="J14" s="3"/>
      <c r="K14" s="3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">
        <f t="shared" si="1"/>
        <v>15</v>
      </c>
      <c r="B15" s="353" t="s">
        <v>854</v>
      </c>
      <c r="C15" s="3"/>
      <c r="D15" s="3" t="s">
        <v>8</v>
      </c>
      <c r="E15" s="8"/>
      <c r="F15" s="3"/>
      <c r="G15" s="8"/>
      <c r="H15" s="15"/>
      <c r="I15" s="3"/>
      <c r="J15" s="3"/>
      <c r="K15" s="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">
        <f t="shared" si="1"/>
        <v>16</v>
      </c>
      <c r="B16" s="345" t="s">
        <v>843</v>
      </c>
      <c r="C16" s="3" t="str">
        <f t="shared" ref="C16:C20" si="3">"=&gt;"</f>
        <v>=&gt;</v>
      </c>
      <c r="D16" s="7" t="s">
        <v>850</v>
      </c>
      <c r="E16" s="468" t="s">
        <v>967</v>
      </c>
      <c r="F16" s="21" t="s">
        <v>6</v>
      </c>
      <c r="G16" s="15"/>
      <c r="H16" s="15"/>
      <c r="I16" s="3"/>
      <c r="J16" s="3"/>
      <c r="K16" s="3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">
        <f t="shared" si="1"/>
        <v>17</v>
      </c>
      <c r="B17" s="345" t="s">
        <v>843</v>
      </c>
      <c r="C17" s="3" t="str">
        <f t="shared" si="3"/>
        <v>=&gt;</v>
      </c>
      <c r="D17" s="351" t="s">
        <v>852</v>
      </c>
      <c r="E17" s="21"/>
      <c r="F17" s="21"/>
      <c r="G17" s="7"/>
      <c r="H17" s="7"/>
      <c r="I17" s="3"/>
      <c r="J17" s="3"/>
      <c r="K17" s="3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">
        <f t="shared" si="1"/>
        <v>18</v>
      </c>
      <c r="B18" s="468" t="s">
        <v>967</v>
      </c>
      <c r="C18" s="3" t="str">
        <f t="shared" si="3"/>
        <v>=&gt;</v>
      </c>
      <c r="D18" s="3" t="s">
        <v>14</v>
      </c>
      <c r="E18" s="469" t="s">
        <v>968</v>
      </c>
      <c r="F18" s="470" t="s">
        <v>969</v>
      </c>
      <c r="G18" s="7"/>
      <c r="H18" s="7"/>
      <c r="I18" s="3"/>
      <c r="J18" s="3"/>
      <c r="K18" s="3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">
        <f t="shared" si="1"/>
        <v>19</v>
      </c>
      <c r="B19" s="469" t="s">
        <v>968</v>
      </c>
      <c r="C19" s="3" t="str">
        <f t="shared" si="3"/>
        <v>=&gt;</v>
      </c>
      <c r="D19" s="3" t="str">
        <f>"="</f>
        <v>=</v>
      </c>
      <c r="E19" s="471" t="s">
        <v>916</v>
      </c>
      <c r="F19" s="21"/>
      <c r="G19" s="7"/>
      <c r="H19" s="7"/>
      <c r="I19" s="3"/>
      <c r="J19" s="3"/>
      <c r="K19" s="3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">
        <f t="shared" si="1"/>
        <v>20</v>
      </c>
      <c r="B20" s="469" t="s">
        <v>968</v>
      </c>
      <c r="C20" s="3" t="str">
        <f t="shared" si="3"/>
        <v>=&gt;</v>
      </c>
      <c r="D20" s="3" t="s">
        <v>8</v>
      </c>
      <c r="E20" s="3"/>
      <c r="F20" s="21"/>
      <c r="G20" s="7"/>
      <c r="H20" s="7"/>
      <c r="I20" s="3"/>
      <c r="J20" s="3"/>
      <c r="K20" s="3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">
        <f t="shared" si="1"/>
        <v>21</v>
      </c>
      <c r="B21" s="470" t="s">
        <v>969</v>
      </c>
      <c r="C21" s="3"/>
      <c r="D21" s="3" t="s">
        <v>38</v>
      </c>
      <c r="E21" s="3" t="s">
        <v>14</v>
      </c>
      <c r="F21" s="469" t="s">
        <v>968</v>
      </c>
      <c r="G21" s="470" t="s">
        <v>969</v>
      </c>
      <c r="H21" s="7"/>
      <c r="I21" s="3"/>
      <c r="J21" s="3"/>
      <c r="K21" s="3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">
        <f t="shared" si="1"/>
        <v>22</v>
      </c>
      <c r="B22" s="470" t="s">
        <v>969</v>
      </c>
      <c r="C22" s="3"/>
      <c r="D22" s="3" t="s">
        <v>8</v>
      </c>
      <c r="E22" s="8"/>
      <c r="F22" s="3"/>
      <c r="G22" s="8"/>
      <c r="H22" s="7"/>
      <c r="I22" s="3"/>
      <c r="J22" s="3"/>
      <c r="K22" s="3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">
        <f t="shared" si="1"/>
        <v>23</v>
      </c>
      <c r="B23" s="346" t="s">
        <v>845</v>
      </c>
      <c r="C23" s="3" t="str">
        <f t="shared" ref="C23:C27" si="4">"=&gt;"</f>
        <v>=&gt;</v>
      </c>
      <c r="D23" s="7" t="s">
        <v>850</v>
      </c>
      <c r="E23" s="472" t="s">
        <v>970</v>
      </c>
      <c r="F23" s="21" t="s">
        <v>6</v>
      </c>
      <c r="G23" s="15"/>
      <c r="H23" s="7"/>
      <c r="I23" s="3"/>
      <c r="J23" s="3"/>
      <c r="K23" s="3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">
        <f t="shared" si="1"/>
        <v>24</v>
      </c>
      <c r="B24" s="346" t="s">
        <v>845</v>
      </c>
      <c r="C24" s="3" t="str">
        <f t="shared" si="4"/>
        <v>=&gt;</v>
      </c>
      <c r="D24" s="351" t="s">
        <v>852</v>
      </c>
      <c r="E24" s="21"/>
      <c r="F24" s="21"/>
      <c r="G24" s="7"/>
      <c r="H24" s="7"/>
      <c r="I24" s="3"/>
      <c r="J24" s="3"/>
      <c r="K24" s="3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">
        <f t="shared" si="1"/>
        <v>25</v>
      </c>
      <c r="B25" s="472" t="s">
        <v>970</v>
      </c>
      <c r="C25" s="3" t="str">
        <f t="shared" si="4"/>
        <v>=&gt;</v>
      </c>
      <c r="D25" s="3" t="s">
        <v>14</v>
      </c>
      <c r="E25" s="473" t="s">
        <v>971</v>
      </c>
      <c r="F25" s="474" t="s">
        <v>972</v>
      </c>
      <c r="G25" s="7"/>
      <c r="H25" s="7"/>
      <c r="I25" s="3"/>
      <c r="J25" s="3"/>
      <c r="K25" s="3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">
        <f t="shared" si="1"/>
        <v>26</v>
      </c>
      <c r="B26" s="473" t="s">
        <v>971</v>
      </c>
      <c r="C26" s="3" t="str">
        <f t="shared" si="4"/>
        <v>=&gt;</v>
      </c>
      <c r="D26" s="3" t="str">
        <f>"="</f>
        <v>=</v>
      </c>
      <c r="E26" s="475" t="s">
        <v>920</v>
      </c>
      <c r="F26" s="21"/>
      <c r="G26" s="7"/>
      <c r="H26" s="7"/>
      <c r="I26" s="3"/>
      <c r="J26" s="3"/>
      <c r="K26" s="3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">
        <f t="shared" si="1"/>
        <v>27</v>
      </c>
      <c r="B27" s="473" t="s">
        <v>971</v>
      </c>
      <c r="C27" s="3" t="str">
        <f t="shared" si="4"/>
        <v>=&gt;</v>
      </c>
      <c r="D27" s="3" t="s">
        <v>8</v>
      </c>
      <c r="E27" s="3"/>
      <c r="F27" s="21"/>
      <c r="G27" s="7"/>
      <c r="H27" s="7"/>
      <c r="I27" s="3"/>
      <c r="J27" s="3"/>
      <c r="K27" s="3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">
        <f t="shared" si="1"/>
        <v>28</v>
      </c>
      <c r="B28" s="474" t="s">
        <v>972</v>
      </c>
      <c r="C28" s="3"/>
      <c r="D28" s="3" t="s">
        <v>38</v>
      </c>
      <c r="E28" s="3" t="s">
        <v>14</v>
      </c>
      <c r="F28" s="473" t="s">
        <v>971</v>
      </c>
      <c r="G28" s="474" t="s">
        <v>972</v>
      </c>
      <c r="H28" s="7"/>
      <c r="I28" s="3"/>
      <c r="J28" s="3"/>
      <c r="K28" s="3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">
        <f t="shared" si="1"/>
        <v>29</v>
      </c>
      <c r="B29" s="474" t="s">
        <v>972</v>
      </c>
      <c r="C29" s="3"/>
      <c r="D29" s="3" t="s">
        <v>8</v>
      </c>
      <c r="E29" s="8"/>
      <c r="F29" s="3"/>
      <c r="G29" s="8"/>
      <c r="H29" s="7"/>
      <c r="I29" s="3"/>
      <c r="J29" s="3"/>
      <c r="K29" s="3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">
        <f t="shared" si="1"/>
        <v>30</v>
      </c>
      <c r="B30" s="347" t="s">
        <v>847</v>
      </c>
      <c r="C30" s="3" t="str">
        <f t="shared" ref="C30:C34" si="5">"=&gt;"</f>
        <v>=&gt;</v>
      </c>
      <c r="D30" s="7" t="s">
        <v>850</v>
      </c>
      <c r="E30" s="476" t="s">
        <v>973</v>
      </c>
      <c r="F30" s="21" t="s">
        <v>6</v>
      </c>
      <c r="G30" s="7"/>
      <c r="H30" s="7"/>
      <c r="I30" s="3"/>
      <c r="J30" s="3"/>
      <c r="K30" s="3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">
        <f t="shared" si="1"/>
        <v>31</v>
      </c>
      <c r="B31" s="347" t="s">
        <v>847</v>
      </c>
      <c r="C31" s="3" t="str">
        <f t="shared" si="5"/>
        <v>=&gt;</v>
      </c>
      <c r="D31" s="351" t="s">
        <v>852</v>
      </c>
      <c r="E31" s="7"/>
      <c r="F31" s="21"/>
      <c r="G31" s="21"/>
      <c r="H31" s="7"/>
      <c r="I31" s="3"/>
      <c r="J31" s="3"/>
      <c r="K31" s="3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">
        <f t="shared" si="1"/>
        <v>32</v>
      </c>
      <c r="B32" s="476" t="s">
        <v>973</v>
      </c>
      <c r="C32" s="3" t="str">
        <f t="shared" si="5"/>
        <v>=&gt;</v>
      </c>
      <c r="D32" s="3" t="s">
        <v>14</v>
      </c>
      <c r="E32" s="477" t="s">
        <v>974</v>
      </c>
      <c r="F32" s="478" t="s">
        <v>975</v>
      </c>
      <c r="G32" s="7"/>
      <c r="H32" s="7"/>
      <c r="I32" s="3"/>
      <c r="J32" s="3"/>
      <c r="K32" s="3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">
        <f t="shared" si="1"/>
        <v>33</v>
      </c>
      <c r="B33" s="477" t="s">
        <v>974</v>
      </c>
      <c r="C33" s="3" t="str">
        <f t="shared" si="5"/>
        <v>=&gt;</v>
      </c>
      <c r="D33" s="3" t="str">
        <f>"="</f>
        <v>=</v>
      </c>
      <c r="E33" s="479" t="s">
        <v>976</v>
      </c>
      <c r="F33" s="21"/>
      <c r="G33" s="7"/>
      <c r="H33" s="7"/>
      <c r="I33" s="3"/>
      <c r="J33" s="3"/>
      <c r="K33" s="3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">
        <f t="shared" si="1"/>
        <v>34</v>
      </c>
      <c r="B34" s="477" t="s">
        <v>974</v>
      </c>
      <c r="C34" s="3" t="str">
        <f t="shared" si="5"/>
        <v>=&gt;</v>
      </c>
      <c r="D34" s="3" t="s">
        <v>8</v>
      </c>
      <c r="E34" s="3"/>
      <c r="F34" s="21"/>
      <c r="G34" s="7"/>
      <c r="H34" s="7"/>
      <c r="I34" s="3"/>
      <c r="J34" s="3"/>
      <c r="K34" s="3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">
        <f t="shared" si="1"/>
        <v>35</v>
      </c>
      <c r="B35" s="478" t="s">
        <v>975</v>
      </c>
      <c r="C35" s="3"/>
      <c r="D35" s="3" t="s">
        <v>38</v>
      </c>
      <c r="E35" s="3" t="s">
        <v>14</v>
      </c>
      <c r="F35" s="477" t="s">
        <v>974</v>
      </c>
      <c r="G35" s="478" t="s">
        <v>975</v>
      </c>
      <c r="H35" s="7"/>
      <c r="I35" s="3"/>
      <c r="J35" s="3"/>
      <c r="K35" s="3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">
        <f t="shared" si="1"/>
        <v>36</v>
      </c>
      <c r="B36" s="478" t="s">
        <v>975</v>
      </c>
      <c r="C36" s="3"/>
      <c r="D36" s="3" t="s">
        <v>8</v>
      </c>
      <c r="E36" s="8"/>
      <c r="F36" s="3"/>
      <c r="G36" s="8"/>
      <c r="H36" s="7"/>
      <c r="I36" s="3"/>
      <c r="J36" s="3"/>
      <c r="K36" s="3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">
        <f t="shared" si="1"/>
        <v>37</v>
      </c>
      <c r="B37" s="349" t="s">
        <v>849</v>
      </c>
      <c r="C37" s="3" t="str">
        <f t="shared" ref="C37:C178" si="6">"=&gt;"</f>
        <v>=&gt;</v>
      </c>
      <c r="D37" s="3" t="s">
        <v>850</v>
      </c>
      <c r="E37" s="513" t="s">
        <v>1004</v>
      </c>
      <c r="F37" s="3" t="s">
        <v>6</v>
      </c>
      <c r="G37" s="514"/>
      <c r="H37" s="8"/>
      <c r="I37" s="3"/>
      <c r="J37" s="3"/>
      <c r="K37" s="3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">
        <f t="shared" si="1"/>
        <v>38</v>
      </c>
      <c r="B38" s="349" t="s">
        <v>849</v>
      </c>
      <c r="C38" s="3" t="str">
        <f t="shared" si="6"/>
        <v>=&gt;</v>
      </c>
      <c r="D38" s="351" t="s">
        <v>852</v>
      </c>
      <c r="E38" s="8"/>
      <c r="F38" s="514"/>
      <c r="G38" s="514"/>
      <c r="H38" s="514"/>
      <c r="I38" s="3"/>
      <c r="J38" s="3"/>
      <c r="K38" s="3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">
        <f t="shared" si="1"/>
        <v>39</v>
      </c>
      <c r="B39" s="351" t="s">
        <v>852</v>
      </c>
      <c r="C39" s="3" t="str">
        <f t="shared" si="6"/>
        <v>=&gt;</v>
      </c>
      <c r="D39" s="462" t="s">
        <v>962</v>
      </c>
      <c r="E39" s="3" t="s">
        <v>850</v>
      </c>
      <c r="F39" s="463" t="s">
        <v>963</v>
      </c>
      <c r="G39" s="3" t="s">
        <v>6</v>
      </c>
      <c r="H39" s="3"/>
      <c r="I39" s="8"/>
      <c r="J39" s="8"/>
      <c r="K39" s="3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">
        <f t="shared" si="1"/>
        <v>40</v>
      </c>
      <c r="B40" s="388" t="s">
        <v>890</v>
      </c>
      <c r="C40" s="3" t="str">
        <f t="shared" si="6"/>
        <v>=&gt;</v>
      </c>
      <c r="D40" s="392" t="s">
        <v>893</v>
      </c>
      <c r="E40" s="393" t="s">
        <v>894</v>
      </c>
      <c r="F40" s="3"/>
      <c r="G40" s="3"/>
      <c r="H40" s="3"/>
      <c r="I40" s="3"/>
      <c r="J40" s="3"/>
      <c r="K40" s="3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">
        <f t="shared" si="1"/>
        <v>41</v>
      </c>
      <c r="B41" s="392" t="s">
        <v>893</v>
      </c>
      <c r="C41" s="3" t="str">
        <f t="shared" si="6"/>
        <v>=&gt;</v>
      </c>
      <c r="D41" s="3" t="s">
        <v>62</v>
      </c>
      <c r="E41" s="394" t="s">
        <v>895</v>
      </c>
      <c r="F41" s="3" t="s">
        <v>64</v>
      </c>
      <c r="G41" s="8"/>
      <c r="H41" s="3"/>
      <c r="I41" s="3"/>
      <c r="J41" s="3"/>
      <c r="K41" s="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">
        <f t="shared" si="1"/>
        <v>42</v>
      </c>
      <c r="B42" s="392" t="s">
        <v>893</v>
      </c>
      <c r="C42" s="3" t="str">
        <f t="shared" si="6"/>
        <v>=&gt;</v>
      </c>
      <c r="D42" s="3" t="s">
        <v>8</v>
      </c>
      <c r="E42" s="3"/>
      <c r="F42" s="3"/>
      <c r="G42" s="8"/>
      <c r="H42" s="3"/>
      <c r="I42" s="3"/>
      <c r="J42" s="3"/>
      <c r="K42" s="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">
        <f t="shared" si="1"/>
        <v>43</v>
      </c>
      <c r="B43" s="393" t="s">
        <v>894</v>
      </c>
      <c r="C43" s="3" t="str">
        <f t="shared" si="6"/>
        <v>=&gt;</v>
      </c>
      <c r="D43" s="423" t="s">
        <v>892</v>
      </c>
      <c r="E43" s="3"/>
      <c r="F43" s="8"/>
      <c r="G43" s="8"/>
      <c r="H43" s="3"/>
      <c r="I43" s="3"/>
      <c r="J43" s="3"/>
      <c r="K43" s="3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">
        <f t="shared" si="1"/>
        <v>44</v>
      </c>
      <c r="B44" s="393" t="s">
        <v>894</v>
      </c>
      <c r="C44" s="3" t="str">
        <f t="shared" si="6"/>
        <v>=&gt;</v>
      </c>
      <c r="D44" s="424" t="s">
        <v>930</v>
      </c>
      <c r="E44" s="3"/>
      <c r="F44" s="3"/>
      <c r="G44" s="8"/>
      <c r="H44" s="3"/>
      <c r="I44" s="3"/>
      <c r="J44" s="3"/>
      <c r="K44" s="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">
        <f t="shared" si="1"/>
        <v>45</v>
      </c>
      <c r="B45" s="393" t="s">
        <v>894</v>
      </c>
      <c r="C45" s="3" t="str">
        <f t="shared" si="6"/>
        <v>=&gt;</v>
      </c>
      <c r="D45" s="3" t="s">
        <v>8</v>
      </c>
      <c r="E45" s="3"/>
      <c r="F45" s="3"/>
      <c r="G45" s="8"/>
      <c r="H45" s="3"/>
      <c r="I45" s="3"/>
      <c r="J45" s="3"/>
      <c r="K45" s="3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">
        <f t="shared" si="1"/>
        <v>46</v>
      </c>
      <c r="B46" s="423" t="s">
        <v>892</v>
      </c>
      <c r="C46" s="3" t="str">
        <f t="shared" si="6"/>
        <v>=&gt;</v>
      </c>
      <c r="D46" s="3" t="s">
        <v>30</v>
      </c>
      <c r="E46" s="354" t="s">
        <v>855</v>
      </c>
      <c r="F46" s="3" t="s">
        <v>32</v>
      </c>
      <c r="G46" s="393" t="s">
        <v>894</v>
      </c>
      <c r="H46" s="3"/>
      <c r="I46" s="3"/>
      <c r="J46" s="3"/>
      <c r="K46" s="3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">
        <f t="shared" si="1"/>
        <v>47</v>
      </c>
      <c r="B47" s="424" t="s">
        <v>930</v>
      </c>
      <c r="C47" s="3" t="str">
        <f t="shared" si="6"/>
        <v>=&gt;</v>
      </c>
      <c r="D47" s="3" t="s">
        <v>180</v>
      </c>
      <c r="E47" s="3" t="s">
        <v>14</v>
      </c>
      <c r="F47" s="393" t="s">
        <v>894</v>
      </c>
      <c r="G47" s="3"/>
      <c r="H47" s="3"/>
      <c r="I47" s="3"/>
      <c r="J47" s="3"/>
      <c r="K47" s="3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">
        <f t="shared" si="1"/>
        <v>48</v>
      </c>
      <c r="B48" s="394" t="s">
        <v>895</v>
      </c>
      <c r="C48" s="3" t="str">
        <f t="shared" si="6"/>
        <v>=&gt;</v>
      </c>
      <c r="D48" s="395" t="s">
        <v>28</v>
      </c>
      <c r="E48" s="396" t="s">
        <v>896</v>
      </c>
      <c r="F48" s="3"/>
      <c r="G48" s="8"/>
      <c r="H48" s="3"/>
      <c r="I48" s="3"/>
      <c r="J48" s="3"/>
      <c r="K48" s="3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">
        <f t="shared" si="1"/>
        <v>49</v>
      </c>
      <c r="B49" s="394" t="s">
        <v>895</v>
      </c>
      <c r="C49" s="3" t="str">
        <f t="shared" si="6"/>
        <v>=&gt;</v>
      </c>
      <c r="D49" s="3" t="s">
        <v>8</v>
      </c>
      <c r="E49" s="3"/>
      <c r="F49" s="8"/>
      <c r="G49" s="3"/>
      <c r="H49" s="3"/>
      <c r="I49" s="3"/>
      <c r="J49" s="3"/>
      <c r="K49" s="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">
        <f t="shared" si="1"/>
        <v>50</v>
      </c>
      <c r="B50" s="399" t="s">
        <v>897</v>
      </c>
      <c r="C50" s="3" t="str">
        <f t="shared" si="6"/>
        <v>=&gt;</v>
      </c>
      <c r="D50" s="400" t="s">
        <v>899</v>
      </c>
      <c r="E50" s="3"/>
      <c r="F50" s="8"/>
      <c r="G50" s="3"/>
      <c r="H50" s="3"/>
      <c r="I50" s="3"/>
      <c r="J50" s="3"/>
      <c r="K50" s="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">
        <f t="shared" si="1"/>
        <v>51</v>
      </c>
      <c r="B51" s="399" t="s">
        <v>897</v>
      </c>
      <c r="C51" s="3" t="str">
        <f t="shared" si="6"/>
        <v>=&gt;</v>
      </c>
      <c r="D51" s="3" t="s">
        <v>14</v>
      </c>
      <c r="E51" s="401" t="s">
        <v>900</v>
      </c>
      <c r="F51" s="3"/>
      <c r="G51" s="3"/>
      <c r="H51" s="3"/>
      <c r="I51" s="3"/>
      <c r="J51" s="3"/>
      <c r="K51" s="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">
        <f t="shared" si="1"/>
        <v>52</v>
      </c>
      <c r="B52" s="399" t="s">
        <v>897</v>
      </c>
      <c r="C52" s="3" t="str">
        <f t="shared" si="6"/>
        <v>=&gt;</v>
      </c>
      <c r="D52" s="3" t="s">
        <v>8</v>
      </c>
      <c r="E52" s="3"/>
      <c r="F52" s="3"/>
      <c r="G52" s="3"/>
      <c r="H52" s="3"/>
      <c r="I52" s="3"/>
      <c r="J52" s="3"/>
      <c r="K52" s="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">
        <f t="shared" si="1"/>
        <v>53</v>
      </c>
      <c r="B53" s="400" t="s">
        <v>899</v>
      </c>
      <c r="C53" s="3" t="str">
        <f t="shared" si="6"/>
        <v>=&gt;</v>
      </c>
      <c r="D53" s="655" t="s">
        <v>860</v>
      </c>
      <c r="E53" s="403" t="s">
        <v>901</v>
      </c>
      <c r="F53" s="3"/>
      <c r="G53" s="3"/>
      <c r="H53" s="3"/>
      <c r="I53" s="3"/>
      <c r="J53" s="3"/>
      <c r="K53" s="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">
        <f t="shared" si="1"/>
        <v>54</v>
      </c>
      <c r="B54" s="400" t="s">
        <v>899</v>
      </c>
      <c r="C54" s="3" t="str">
        <f t="shared" si="6"/>
        <v>=&gt;</v>
      </c>
      <c r="D54" s="656" t="s">
        <v>872</v>
      </c>
      <c r="E54" s="403" t="s">
        <v>901</v>
      </c>
      <c r="F54" s="3"/>
      <c r="G54" s="3"/>
      <c r="H54" s="3"/>
      <c r="I54" s="3"/>
      <c r="J54" s="3"/>
      <c r="K54" s="3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">
        <f t="shared" si="1"/>
        <v>55</v>
      </c>
      <c r="B55" s="400" t="s">
        <v>899</v>
      </c>
      <c r="C55" s="3" t="str">
        <f t="shared" si="6"/>
        <v>=&gt;</v>
      </c>
      <c r="D55" s="657" t="s">
        <v>879</v>
      </c>
      <c r="E55" s="403" t="s">
        <v>901</v>
      </c>
      <c r="F55" s="3"/>
      <c r="G55" s="3"/>
      <c r="H55" s="3"/>
      <c r="I55" s="3"/>
      <c r="J55" s="3"/>
      <c r="K55" s="3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">
        <f t="shared" si="1"/>
        <v>56</v>
      </c>
      <c r="B56" s="400" t="s">
        <v>899</v>
      </c>
      <c r="C56" s="3" t="str">
        <f t="shared" si="6"/>
        <v>=&gt;</v>
      </c>
      <c r="D56" s="658" t="s">
        <v>876</v>
      </c>
      <c r="E56" s="403" t="s">
        <v>901</v>
      </c>
      <c r="F56" s="3"/>
      <c r="G56" s="3"/>
      <c r="H56" s="3"/>
      <c r="I56" s="3"/>
      <c r="J56" s="3"/>
      <c r="K56" s="3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">
        <f t="shared" si="1"/>
        <v>57</v>
      </c>
      <c r="B57" s="400" t="s">
        <v>899</v>
      </c>
      <c r="C57" s="3" t="str">
        <f t="shared" si="6"/>
        <v>=&gt;</v>
      </c>
      <c r="D57" s="3" t="s">
        <v>30</v>
      </c>
      <c r="E57" s="399" t="s">
        <v>897</v>
      </c>
      <c r="F57" s="3" t="s">
        <v>32</v>
      </c>
      <c r="G57" s="403" t="s">
        <v>901</v>
      </c>
      <c r="H57" s="8"/>
      <c r="I57" s="3"/>
      <c r="J57" s="3"/>
      <c r="K57" s="3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>
        <f t="shared" si="1"/>
        <v>58</v>
      </c>
      <c r="B58" s="403" t="s">
        <v>901</v>
      </c>
      <c r="C58" s="3" t="str">
        <f t="shared" si="6"/>
        <v>=&gt;</v>
      </c>
      <c r="D58" s="3" t="s">
        <v>38</v>
      </c>
      <c r="E58" s="404" t="s">
        <v>905</v>
      </c>
      <c r="F58" s="3"/>
      <c r="G58" s="3"/>
      <c r="H58" s="3"/>
      <c r="I58" s="3"/>
      <c r="J58" s="3"/>
      <c r="K58" s="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">
        <f t="shared" si="1"/>
        <v>59</v>
      </c>
      <c r="B59" s="403" t="s">
        <v>901</v>
      </c>
      <c r="C59" s="3" t="str">
        <f t="shared" si="6"/>
        <v>=&gt;</v>
      </c>
      <c r="D59" s="3" t="s">
        <v>8</v>
      </c>
      <c r="E59" s="3"/>
      <c r="F59" s="3"/>
      <c r="G59" s="3"/>
      <c r="H59" s="3"/>
      <c r="I59" s="3"/>
      <c r="J59" s="3"/>
      <c r="K59" s="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">
        <f t="shared" si="1"/>
        <v>60</v>
      </c>
      <c r="B60" s="404" t="s">
        <v>905</v>
      </c>
      <c r="C60" s="3" t="str">
        <f t="shared" si="6"/>
        <v>=&gt;</v>
      </c>
      <c r="D60" s="3" t="s">
        <v>14</v>
      </c>
      <c r="E60" s="403" t="s">
        <v>901</v>
      </c>
      <c r="F60" s="3"/>
      <c r="G60" s="3"/>
      <c r="H60" s="3"/>
      <c r="I60" s="3"/>
      <c r="J60" s="3"/>
      <c r="K60" s="3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">
        <f t="shared" si="1"/>
        <v>61</v>
      </c>
      <c r="B61" s="404" t="s">
        <v>905</v>
      </c>
      <c r="C61" s="3" t="str">
        <f t="shared" si="6"/>
        <v>=&gt;</v>
      </c>
      <c r="D61" s="400" t="s">
        <v>899</v>
      </c>
      <c r="E61" s="3"/>
      <c r="F61" s="3"/>
      <c r="G61" s="3"/>
      <c r="H61" s="3"/>
      <c r="I61" s="3"/>
      <c r="J61" s="3"/>
      <c r="K61" s="3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">
        <f t="shared" si="1"/>
        <v>62</v>
      </c>
      <c r="B62" s="401" t="s">
        <v>900</v>
      </c>
      <c r="C62" s="3" t="str">
        <f t="shared" si="6"/>
        <v>=&gt;</v>
      </c>
      <c r="D62" s="3" t="s">
        <v>38</v>
      </c>
      <c r="E62" s="404" t="s">
        <v>905</v>
      </c>
      <c r="F62" s="3"/>
      <c r="G62" s="3"/>
      <c r="H62" s="3"/>
      <c r="I62" s="3"/>
      <c r="J62" s="3"/>
      <c r="K62" s="3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">
        <f t="shared" si="1"/>
        <v>63</v>
      </c>
      <c r="B63" s="401" t="s">
        <v>900</v>
      </c>
      <c r="C63" s="3" t="str">
        <f t="shared" si="6"/>
        <v>=&gt;</v>
      </c>
      <c r="D63" s="3" t="str">
        <f>"="</f>
        <v>=</v>
      </c>
      <c r="E63" s="395" t="s">
        <v>28</v>
      </c>
      <c r="F63" s="3" t="s">
        <v>6</v>
      </c>
      <c r="G63" s="422" t="s">
        <v>929</v>
      </c>
      <c r="H63" s="3"/>
      <c r="I63" s="3"/>
      <c r="J63" s="3"/>
      <c r="K63" s="3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">
        <f t="shared" si="1"/>
        <v>64</v>
      </c>
      <c r="B64" s="401" t="s">
        <v>900</v>
      </c>
      <c r="C64" s="3" t="str">
        <f t="shared" si="6"/>
        <v>=&gt;</v>
      </c>
      <c r="D64" s="3" t="s">
        <v>8</v>
      </c>
      <c r="E64" s="3"/>
      <c r="F64" s="3"/>
      <c r="G64" s="3"/>
      <c r="H64" s="3"/>
      <c r="I64" s="3"/>
      <c r="J64" s="3"/>
      <c r="K64" s="3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">
        <f t="shared" si="1"/>
        <v>65</v>
      </c>
      <c r="B65" s="422" t="s">
        <v>929</v>
      </c>
      <c r="C65" s="3" t="str">
        <f t="shared" si="6"/>
        <v>=&gt;</v>
      </c>
      <c r="D65" s="3" t="s">
        <v>14</v>
      </c>
      <c r="E65" s="3" t="str">
        <f>"="</f>
        <v>=</v>
      </c>
      <c r="F65" s="395" t="s">
        <v>28</v>
      </c>
      <c r="G65" s="3" t="s">
        <v>6</v>
      </c>
      <c r="H65" s="422" t="s">
        <v>929</v>
      </c>
      <c r="I65" s="3"/>
      <c r="J65" s="3"/>
      <c r="K65" s="3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">
        <f t="shared" si="1"/>
        <v>66</v>
      </c>
      <c r="B66" s="422" t="s">
        <v>929</v>
      </c>
      <c r="C66" s="3" t="str">
        <f t="shared" si="6"/>
        <v>=&gt;</v>
      </c>
      <c r="D66" s="3" t="s">
        <v>8</v>
      </c>
      <c r="E66" s="3"/>
      <c r="F66" s="3"/>
      <c r="G66" s="3"/>
      <c r="H66" s="3"/>
      <c r="I66" s="3"/>
      <c r="J66" s="3"/>
      <c r="K66" s="3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">
        <f t="shared" si="1"/>
        <v>67</v>
      </c>
      <c r="B67" s="396" t="s">
        <v>896</v>
      </c>
      <c r="C67" s="3" t="str">
        <f t="shared" si="6"/>
        <v>=&gt;</v>
      </c>
      <c r="D67" s="3" t="s">
        <v>38</v>
      </c>
      <c r="E67" s="395" t="s">
        <v>28</v>
      </c>
      <c r="F67" s="396" t="s">
        <v>896</v>
      </c>
      <c r="G67" s="3"/>
      <c r="H67" s="3"/>
      <c r="I67" s="3"/>
      <c r="J67" s="3"/>
      <c r="K67" s="3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">
        <f t="shared" si="1"/>
        <v>68</v>
      </c>
      <c r="B68" s="396" t="s">
        <v>896</v>
      </c>
      <c r="C68" s="3" t="str">
        <f t="shared" si="6"/>
        <v>=&gt;</v>
      </c>
      <c r="D68" s="3" t="s">
        <v>8</v>
      </c>
      <c r="E68" s="3"/>
      <c r="F68" s="3"/>
      <c r="G68" s="3"/>
      <c r="H68" s="3"/>
      <c r="I68" s="3"/>
      <c r="J68" s="3"/>
      <c r="K68" s="3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">
        <f t="shared" si="1"/>
        <v>69</v>
      </c>
      <c r="B69" s="547" t="s">
        <v>1019</v>
      </c>
      <c r="C69" s="3" t="str">
        <f t="shared" si="6"/>
        <v>=&gt;</v>
      </c>
      <c r="D69" s="548" t="s">
        <v>1026</v>
      </c>
      <c r="E69" s="393" t="s">
        <v>894</v>
      </c>
      <c r="F69" s="8"/>
      <c r="G69" s="8"/>
      <c r="H69" s="3"/>
      <c r="I69" s="3"/>
      <c r="J69" s="3"/>
      <c r="K69" s="3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">
        <f t="shared" si="1"/>
        <v>70</v>
      </c>
      <c r="B70" s="548" t="s">
        <v>1026</v>
      </c>
      <c r="C70" s="3" t="str">
        <f t="shared" si="6"/>
        <v>=&gt;</v>
      </c>
      <c r="D70" s="428" t="s">
        <v>911</v>
      </c>
      <c r="E70" s="8" t="s">
        <v>62</v>
      </c>
      <c r="F70" s="364" t="s">
        <v>865</v>
      </c>
      <c r="G70" s="413" t="s">
        <v>38</v>
      </c>
      <c r="H70" s="366" t="s">
        <v>28</v>
      </c>
      <c r="I70" s="8" t="s">
        <v>64</v>
      </c>
      <c r="J70" s="3"/>
      <c r="K70" s="3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">
        <f t="shared" si="1"/>
        <v>71</v>
      </c>
      <c r="B71" s="548" t="s">
        <v>1026</v>
      </c>
      <c r="C71" s="3" t="str">
        <f t="shared" si="6"/>
        <v>=&gt;</v>
      </c>
      <c r="D71" s="428" t="s">
        <v>915</v>
      </c>
      <c r="E71" s="8" t="s">
        <v>62</v>
      </c>
      <c r="F71" s="412" t="s">
        <v>916</v>
      </c>
      <c r="G71" s="8" t="s">
        <v>64</v>
      </c>
      <c r="H71" s="40"/>
      <c r="I71" s="3"/>
      <c r="J71" s="3"/>
      <c r="K71" s="3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">
        <f t="shared" si="1"/>
        <v>72</v>
      </c>
      <c r="B72" s="548" t="s">
        <v>1026</v>
      </c>
      <c r="C72" s="3" t="str">
        <f t="shared" si="6"/>
        <v>=&gt;</v>
      </c>
      <c r="D72" s="428" t="s">
        <v>918</v>
      </c>
      <c r="E72" s="8" t="s">
        <v>62</v>
      </c>
      <c r="F72" s="412" t="s">
        <v>916</v>
      </c>
      <c r="G72" s="413" t="s">
        <v>38</v>
      </c>
      <c r="H72" s="355" t="s">
        <v>855</v>
      </c>
      <c r="I72" s="413" t="s">
        <v>38</v>
      </c>
      <c r="J72" s="355" t="s">
        <v>855</v>
      </c>
      <c r="K72" s="7" t="s">
        <v>64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">
        <f t="shared" si="1"/>
        <v>73</v>
      </c>
      <c r="B73" s="548" t="s">
        <v>1026</v>
      </c>
      <c r="C73" s="3" t="str">
        <f t="shared" si="6"/>
        <v>=&gt;</v>
      </c>
      <c r="D73" s="428" t="s">
        <v>919</v>
      </c>
      <c r="E73" s="8" t="s">
        <v>62</v>
      </c>
      <c r="F73" s="355" t="s">
        <v>855</v>
      </c>
      <c r="G73" s="413" t="s">
        <v>38</v>
      </c>
      <c r="H73" s="414" t="s">
        <v>920</v>
      </c>
      <c r="I73" s="8" t="s">
        <v>64</v>
      </c>
      <c r="J73" s="3"/>
      <c r="K73" s="3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">
        <f t="shared" si="1"/>
        <v>74</v>
      </c>
      <c r="B74" s="548" t="s">
        <v>1026</v>
      </c>
      <c r="C74" s="3" t="str">
        <f t="shared" si="6"/>
        <v>=&gt;</v>
      </c>
      <c r="D74" s="428" t="s">
        <v>867</v>
      </c>
      <c r="E74" s="8" t="s">
        <v>62</v>
      </c>
      <c r="F74" s="355" t="s">
        <v>855</v>
      </c>
      <c r="G74" s="8" t="s">
        <v>64</v>
      </c>
      <c r="H74" s="40"/>
      <c r="I74" s="3"/>
      <c r="J74" s="3"/>
      <c r="K74" s="3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">
        <f t="shared" si="1"/>
        <v>75</v>
      </c>
      <c r="B75" s="548" t="s">
        <v>1026</v>
      </c>
      <c r="C75" s="3" t="str">
        <f t="shared" si="6"/>
        <v>=&gt;</v>
      </c>
      <c r="D75" s="428" t="s">
        <v>908</v>
      </c>
      <c r="E75" s="8" t="s">
        <v>62</v>
      </c>
      <c r="F75" s="407" t="s">
        <v>909</v>
      </c>
      <c r="G75" s="413" t="s">
        <v>38</v>
      </c>
      <c r="H75" s="407" t="s">
        <v>909</v>
      </c>
      <c r="I75" s="8" t="s">
        <v>64</v>
      </c>
      <c r="J75" s="3"/>
      <c r="K75" s="3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">
        <f t="shared" si="1"/>
        <v>76</v>
      </c>
      <c r="B76" s="548" t="s">
        <v>1026</v>
      </c>
      <c r="C76" s="3" t="str">
        <f t="shared" si="6"/>
        <v>=&gt;</v>
      </c>
      <c r="D76" s="428" t="s">
        <v>133</v>
      </c>
      <c r="E76" s="8" t="s">
        <v>62</v>
      </c>
      <c r="F76" s="355" t="s">
        <v>855</v>
      </c>
      <c r="G76" s="413" t="s">
        <v>38</v>
      </c>
      <c r="H76" s="355" t="s">
        <v>855</v>
      </c>
      <c r="I76" s="8" t="s">
        <v>64</v>
      </c>
      <c r="J76" s="3"/>
      <c r="K76" s="3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">
        <f t="shared" si="1"/>
        <v>77</v>
      </c>
      <c r="B77" s="548" t="s">
        <v>1026</v>
      </c>
      <c r="C77" s="3" t="str">
        <f t="shared" si="6"/>
        <v>=&gt;</v>
      </c>
      <c r="D77" s="428" t="s">
        <v>906</v>
      </c>
      <c r="E77" s="8" t="s">
        <v>62</v>
      </c>
      <c r="F77" s="8" t="s">
        <v>64</v>
      </c>
      <c r="G77" s="40"/>
      <c r="H77" s="8"/>
      <c r="I77" s="3"/>
      <c r="J77" s="3"/>
      <c r="K77" s="3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">
        <f t="shared" si="1"/>
        <v>78</v>
      </c>
      <c r="B78" s="548" t="s">
        <v>1026</v>
      </c>
      <c r="C78" s="3" t="str">
        <f t="shared" si="6"/>
        <v>=&gt;</v>
      </c>
      <c r="D78" s="428" t="s">
        <v>914</v>
      </c>
      <c r="E78" s="8" t="s">
        <v>62</v>
      </c>
      <c r="F78" s="364" t="s">
        <v>865</v>
      </c>
      <c r="G78" s="413" t="s">
        <v>38</v>
      </c>
      <c r="H78" s="366" t="s">
        <v>28</v>
      </c>
      <c r="I78" s="8" t="s">
        <v>64</v>
      </c>
      <c r="J78" s="3"/>
      <c r="K78" s="3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">
        <f t="shared" si="1"/>
        <v>79</v>
      </c>
      <c r="B79" s="548" t="s">
        <v>1026</v>
      </c>
      <c r="C79" s="3" t="str">
        <f t="shared" si="6"/>
        <v>=&gt;</v>
      </c>
      <c r="D79" s="428" t="s">
        <v>913</v>
      </c>
      <c r="E79" s="8" t="s">
        <v>62</v>
      </c>
      <c r="F79" s="364" t="s">
        <v>865</v>
      </c>
      <c r="G79" s="8" t="s">
        <v>64</v>
      </c>
      <c r="H79" s="40"/>
      <c r="I79" s="3"/>
      <c r="J79" s="3"/>
      <c r="K79" s="3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">
        <f t="shared" si="1"/>
        <v>80</v>
      </c>
      <c r="B80" s="548" t="s">
        <v>1026</v>
      </c>
      <c r="C80" s="3" t="str">
        <f t="shared" si="6"/>
        <v>=&gt;</v>
      </c>
      <c r="D80" s="428" t="s">
        <v>866</v>
      </c>
      <c r="E80" s="8" t="s">
        <v>62</v>
      </c>
      <c r="F80" s="364" t="s">
        <v>865</v>
      </c>
      <c r="G80" s="413" t="s">
        <v>38</v>
      </c>
      <c r="H80" s="366" t="s">
        <v>28</v>
      </c>
      <c r="I80" s="8" t="s">
        <v>64</v>
      </c>
      <c r="J80" s="3"/>
      <c r="K80" s="3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">
        <f t="shared" si="1"/>
        <v>81</v>
      </c>
      <c r="B81" s="548" t="s">
        <v>1026</v>
      </c>
      <c r="C81" s="3" t="str">
        <f t="shared" si="6"/>
        <v>=&gt;</v>
      </c>
      <c r="D81" s="428" t="s">
        <v>864</v>
      </c>
      <c r="E81" s="8" t="s">
        <v>62</v>
      </c>
      <c r="F81" s="364" t="s">
        <v>865</v>
      </c>
      <c r="G81" s="8" t="s">
        <v>64</v>
      </c>
      <c r="H81" s="3"/>
      <c r="I81" s="3"/>
      <c r="J81" s="3"/>
      <c r="K81" s="3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">
        <f t="shared" si="1"/>
        <v>82</v>
      </c>
      <c r="B82" s="548" t="s">
        <v>1026</v>
      </c>
      <c r="C82" s="3" t="str">
        <f t="shared" si="6"/>
        <v>=&gt;</v>
      </c>
      <c r="D82" s="428" t="s">
        <v>912</v>
      </c>
      <c r="E82" s="8" t="s">
        <v>62</v>
      </c>
      <c r="F82" s="364" t="s">
        <v>865</v>
      </c>
      <c r="G82" s="8" t="s">
        <v>64</v>
      </c>
      <c r="H82" s="3"/>
      <c r="I82" s="3"/>
      <c r="J82" s="3"/>
      <c r="K82" s="3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">
        <f t="shared" si="1"/>
        <v>83</v>
      </c>
      <c r="B83" s="548" t="s">
        <v>1026</v>
      </c>
      <c r="C83" s="3" t="str">
        <f t="shared" si="6"/>
        <v>=&gt;</v>
      </c>
      <c r="D83" s="428" t="s">
        <v>134</v>
      </c>
      <c r="E83" s="8" t="s">
        <v>62</v>
      </c>
      <c r="F83" s="355" t="s">
        <v>855</v>
      </c>
      <c r="G83" s="8" t="s">
        <v>64</v>
      </c>
      <c r="H83" s="3"/>
      <c r="I83" s="3"/>
      <c r="J83" s="3"/>
      <c r="K83" s="3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">
        <f t="shared" si="1"/>
        <v>84</v>
      </c>
      <c r="B84" s="548" t="s">
        <v>1026</v>
      </c>
      <c r="C84" s="3" t="str">
        <f t="shared" si="6"/>
        <v>=&gt;</v>
      </c>
      <c r="D84" s="428" t="s">
        <v>917</v>
      </c>
      <c r="E84" s="8" t="s">
        <v>62</v>
      </c>
      <c r="F84" s="8" t="s">
        <v>64</v>
      </c>
      <c r="G84" s="8"/>
      <c r="H84" s="3"/>
      <c r="I84" s="3"/>
      <c r="J84" s="3"/>
      <c r="K84" s="3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">
        <f t="shared" si="1"/>
        <v>85</v>
      </c>
      <c r="B85" s="548" t="s">
        <v>1026</v>
      </c>
      <c r="C85" s="3" t="str">
        <f t="shared" si="6"/>
        <v>=&gt;</v>
      </c>
      <c r="D85" s="428" t="s">
        <v>921</v>
      </c>
      <c r="E85" s="8" t="s">
        <v>62</v>
      </c>
      <c r="F85" s="363" t="s">
        <v>863</v>
      </c>
      <c r="G85" s="8" t="s">
        <v>64</v>
      </c>
      <c r="H85" s="3"/>
      <c r="I85" s="3"/>
      <c r="J85" s="3"/>
      <c r="K85" s="3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">
        <f t="shared" si="1"/>
        <v>86</v>
      </c>
      <c r="B86" s="548" t="s">
        <v>1026</v>
      </c>
      <c r="C86" s="3" t="str">
        <f t="shared" si="6"/>
        <v>=&gt;</v>
      </c>
      <c r="D86" s="428" t="s">
        <v>862</v>
      </c>
      <c r="E86" s="8" t="s">
        <v>62</v>
      </c>
      <c r="F86" s="363" t="s">
        <v>863</v>
      </c>
      <c r="G86" s="8" t="s">
        <v>64</v>
      </c>
      <c r="H86" s="3"/>
      <c r="I86" s="3"/>
      <c r="J86" s="3"/>
      <c r="K86" s="3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">
        <f t="shared" si="1"/>
        <v>87</v>
      </c>
      <c r="B87" s="548" t="s">
        <v>1026</v>
      </c>
      <c r="C87" s="3" t="str">
        <f t="shared" si="6"/>
        <v>=&gt;</v>
      </c>
      <c r="D87" s="428" t="s">
        <v>907</v>
      </c>
      <c r="E87" s="8" t="s">
        <v>62</v>
      </c>
      <c r="F87" s="363" t="s">
        <v>863</v>
      </c>
      <c r="G87" s="8" t="s">
        <v>64</v>
      </c>
      <c r="H87" s="3"/>
      <c r="I87" s="3"/>
      <c r="J87" s="3"/>
      <c r="K87" s="3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">
        <f t="shared" si="1"/>
        <v>88</v>
      </c>
      <c r="B88" s="533" t="s">
        <v>1017</v>
      </c>
      <c r="C88" s="3" t="str">
        <f t="shared" si="6"/>
        <v>=&gt;</v>
      </c>
      <c r="D88" s="546" t="s">
        <v>1025</v>
      </c>
      <c r="E88" s="393" t="s">
        <v>894</v>
      </c>
      <c r="F88" s="3"/>
      <c r="G88" s="8"/>
      <c r="H88" s="3"/>
      <c r="I88" s="3"/>
      <c r="J88" s="3"/>
      <c r="K88" s="3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">
        <f t="shared" si="1"/>
        <v>89</v>
      </c>
      <c r="B89" s="546" t="s">
        <v>1025</v>
      </c>
      <c r="C89" s="3" t="str">
        <f t="shared" si="6"/>
        <v>=&gt;</v>
      </c>
      <c r="D89" s="3" t="s">
        <v>62</v>
      </c>
      <c r="E89" s="394" t="s">
        <v>895</v>
      </c>
      <c r="F89" s="3" t="s">
        <v>64</v>
      </c>
      <c r="G89" s="8"/>
      <c r="H89" s="3"/>
      <c r="I89" s="3"/>
      <c r="J89" s="3"/>
      <c r="K89" s="3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>
        <f t="shared" si="1"/>
        <v>90</v>
      </c>
      <c r="B90" s="462" t="s">
        <v>962</v>
      </c>
      <c r="C90" s="3" t="str">
        <f t="shared" si="6"/>
        <v>=&gt;</v>
      </c>
      <c r="D90" s="3" t="s">
        <v>30</v>
      </c>
      <c r="E90" s="3" t="s">
        <v>32</v>
      </c>
      <c r="F90" s="464" t="s">
        <v>964</v>
      </c>
      <c r="G90" s="3"/>
      <c r="H90" s="3"/>
      <c r="I90" s="3"/>
      <c r="J90" s="3"/>
      <c r="K90" s="3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>
        <f t="shared" si="1"/>
        <v>91</v>
      </c>
      <c r="B91" s="464" t="s">
        <v>964</v>
      </c>
      <c r="C91" s="3" t="str">
        <f t="shared" si="6"/>
        <v>=&gt;</v>
      </c>
      <c r="D91" s="462" t="s">
        <v>962</v>
      </c>
      <c r="E91" s="3"/>
      <c r="F91" s="3"/>
      <c r="G91" s="3"/>
      <c r="H91" s="3"/>
      <c r="I91" s="3"/>
      <c r="J91" s="3"/>
      <c r="K91" s="3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>
        <f t="shared" si="1"/>
        <v>92</v>
      </c>
      <c r="B92" s="464" t="s">
        <v>964</v>
      </c>
      <c r="C92" s="3" t="str">
        <f t="shared" si="6"/>
        <v>=&gt;</v>
      </c>
      <c r="D92" s="3" t="s">
        <v>8</v>
      </c>
      <c r="E92" s="3"/>
      <c r="F92" s="3"/>
      <c r="G92" s="3"/>
      <c r="H92" s="8"/>
      <c r="I92" s="3"/>
      <c r="J92" s="3"/>
      <c r="K92" s="3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>
        <f t="shared" si="1"/>
        <v>93</v>
      </c>
      <c r="B93" s="463" t="s">
        <v>963</v>
      </c>
      <c r="C93" s="3" t="str">
        <f t="shared" si="6"/>
        <v>=&gt;</v>
      </c>
      <c r="D93" s="3" t="s">
        <v>14</v>
      </c>
      <c r="E93" s="465" t="s">
        <v>965</v>
      </c>
      <c r="F93" s="466" t="s">
        <v>966</v>
      </c>
      <c r="G93" s="3"/>
      <c r="H93" s="3"/>
      <c r="I93" s="3"/>
      <c r="J93" s="3"/>
      <c r="K93" s="3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>
        <f t="shared" si="1"/>
        <v>94</v>
      </c>
      <c r="B94" s="465" t="s">
        <v>965</v>
      </c>
      <c r="C94" s="3" t="str">
        <f t="shared" si="6"/>
        <v>=&gt;</v>
      </c>
      <c r="D94" s="3" t="str">
        <f>"="</f>
        <v>=</v>
      </c>
      <c r="E94" s="467" t="s">
        <v>865</v>
      </c>
      <c r="F94" s="3"/>
      <c r="G94" s="3"/>
      <c r="H94" s="3"/>
      <c r="I94" s="3"/>
      <c r="J94" s="3"/>
      <c r="K94" s="3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>
        <f t="shared" si="1"/>
        <v>95</v>
      </c>
      <c r="B95" s="465" t="s">
        <v>965</v>
      </c>
      <c r="C95" s="3" t="str">
        <f t="shared" si="6"/>
        <v>=&gt;</v>
      </c>
      <c r="D95" s="3" t="s">
        <v>8</v>
      </c>
      <c r="E95" s="3"/>
      <c r="F95" s="3"/>
      <c r="G95" s="3"/>
      <c r="H95" s="3"/>
      <c r="I95" s="3"/>
      <c r="J95" s="3"/>
      <c r="K95" s="3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>
        <f t="shared" si="1"/>
        <v>96</v>
      </c>
      <c r="B96" s="466" t="s">
        <v>966</v>
      </c>
      <c r="C96" s="3" t="str">
        <f t="shared" si="6"/>
        <v>=&gt;</v>
      </c>
      <c r="D96" s="3" t="s">
        <v>38</v>
      </c>
      <c r="E96" s="463" t="s">
        <v>963</v>
      </c>
      <c r="F96" s="3"/>
      <c r="G96" s="3"/>
      <c r="H96" s="3"/>
      <c r="I96" s="3"/>
      <c r="J96" s="3"/>
      <c r="K96" s="3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>
        <f t="shared" si="1"/>
        <v>97</v>
      </c>
      <c r="B97" s="466" t="s">
        <v>966</v>
      </c>
      <c r="C97" s="3" t="str">
        <f t="shared" si="6"/>
        <v>=&gt;</v>
      </c>
      <c r="D97" s="3" t="s">
        <v>8</v>
      </c>
      <c r="E97" s="3"/>
      <c r="F97" s="3"/>
      <c r="G97" s="3"/>
      <c r="H97" s="3"/>
      <c r="I97" s="3"/>
      <c r="J97" s="3"/>
      <c r="K97" s="3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>
        <f t="shared" si="1"/>
        <v>98</v>
      </c>
      <c r="B98" s="348" t="s">
        <v>848</v>
      </c>
      <c r="C98" s="3" t="str">
        <f t="shared" si="6"/>
        <v>=&gt;</v>
      </c>
      <c r="D98" s="3" t="s">
        <v>999</v>
      </c>
      <c r="E98" s="3" t="s">
        <v>850</v>
      </c>
      <c r="F98" s="3" t="s">
        <v>14</v>
      </c>
      <c r="G98" s="3" t="str">
        <f>"="</f>
        <v>=</v>
      </c>
      <c r="H98" s="3" t="s">
        <v>30</v>
      </c>
      <c r="I98" s="509" t="s">
        <v>1000</v>
      </c>
      <c r="J98" s="3" t="s">
        <v>32</v>
      </c>
      <c r="K98" s="3" t="s">
        <v>6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>
        <f t="shared" si="1"/>
        <v>99</v>
      </c>
      <c r="B99" s="509" t="s">
        <v>1000</v>
      </c>
      <c r="C99" s="3" t="str">
        <f t="shared" si="6"/>
        <v>=&gt;</v>
      </c>
      <c r="D99" s="510" t="s">
        <v>1001</v>
      </c>
      <c r="E99" s="3" t="s">
        <v>6</v>
      </c>
      <c r="F99" s="511" t="s">
        <v>1002</v>
      </c>
      <c r="G99" s="8"/>
      <c r="H99" s="8"/>
      <c r="I99" s="8"/>
      <c r="J99" s="3"/>
      <c r="K99" s="3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>
        <f t="shared" si="1"/>
        <v>100</v>
      </c>
      <c r="B100" s="510" t="s">
        <v>1001</v>
      </c>
      <c r="C100" s="3" t="str">
        <f t="shared" si="6"/>
        <v>=&gt;</v>
      </c>
      <c r="D100" s="512" t="s">
        <v>1003</v>
      </c>
      <c r="E100" s="3" t="s">
        <v>850</v>
      </c>
      <c r="F100" s="3" t="s">
        <v>14</v>
      </c>
      <c r="G100" s="8"/>
      <c r="H100" s="8"/>
      <c r="I100" s="8"/>
      <c r="J100" s="3"/>
      <c r="K100" s="3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>
        <f t="shared" si="1"/>
        <v>101</v>
      </c>
      <c r="B101" s="512" t="s">
        <v>1003</v>
      </c>
      <c r="C101" s="3" t="str">
        <f t="shared" si="6"/>
        <v>=&gt;</v>
      </c>
      <c r="D101" s="3" t="s">
        <v>840</v>
      </c>
      <c r="E101" s="464" t="s">
        <v>964</v>
      </c>
      <c r="F101" s="8"/>
      <c r="G101" s="8"/>
      <c r="H101" s="8"/>
      <c r="I101" s="8"/>
      <c r="J101" s="3"/>
      <c r="K101" s="3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>
        <f t="shared" si="1"/>
        <v>102</v>
      </c>
      <c r="B102" s="512" t="s">
        <v>1003</v>
      </c>
      <c r="C102" s="3" t="str">
        <f t="shared" si="6"/>
        <v>=&gt;</v>
      </c>
      <c r="D102" s="3" t="s">
        <v>844</v>
      </c>
      <c r="E102" s="464" t="s">
        <v>964</v>
      </c>
      <c r="F102" s="3"/>
      <c r="G102" s="3"/>
      <c r="H102" s="3"/>
      <c r="I102" s="3"/>
      <c r="J102" s="3"/>
      <c r="K102" s="3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>
        <f t="shared" si="1"/>
        <v>103</v>
      </c>
      <c r="B103" s="512" t="s">
        <v>1003</v>
      </c>
      <c r="C103" s="3" t="str">
        <f t="shared" si="6"/>
        <v>=&gt;</v>
      </c>
      <c r="D103" s="3" t="s">
        <v>846</v>
      </c>
      <c r="E103" s="464" t="s">
        <v>964</v>
      </c>
      <c r="F103" s="3"/>
      <c r="G103" s="3"/>
      <c r="H103" s="3"/>
      <c r="I103" s="3"/>
      <c r="J103" s="3"/>
      <c r="K103" s="3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>
        <f t="shared" si="1"/>
        <v>104</v>
      </c>
      <c r="B104" s="512" t="s">
        <v>1003</v>
      </c>
      <c r="C104" s="3" t="str">
        <f t="shared" si="6"/>
        <v>=&gt;</v>
      </c>
      <c r="D104" s="3" t="s">
        <v>842</v>
      </c>
      <c r="E104" s="464" t="s">
        <v>964</v>
      </c>
      <c r="F104" s="3"/>
      <c r="G104" s="3"/>
      <c r="H104" s="3"/>
      <c r="I104" s="3"/>
      <c r="J104" s="3"/>
      <c r="K104" s="3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>
        <f t="shared" si="1"/>
        <v>105</v>
      </c>
      <c r="B105" s="512" t="s">
        <v>1003</v>
      </c>
      <c r="C105" s="3" t="str">
        <f t="shared" si="6"/>
        <v>=&gt;</v>
      </c>
      <c r="D105" s="3" t="s">
        <v>14</v>
      </c>
      <c r="E105" s="464" t="s">
        <v>964</v>
      </c>
      <c r="F105" s="3"/>
      <c r="G105" s="3"/>
      <c r="H105" s="3"/>
      <c r="I105" s="3"/>
      <c r="J105" s="3"/>
      <c r="K105" s="3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>
        <f t="shared" si="1"/>
        <v>106</v>
      </c>
      <c r="B106" s="511" t="s">
        <v>1002</v>
      </c>
      <c r="C106" s="3" t="str">
        <f t="shared" si="6"/>
        <v>=&gt;</v>
      </c>
      <c r="D106" s="509" t="s">
        <v>1000</v>
      </c>
      <c r="E106" s="3"/>
      <c r="F106" s="3"/>
      <c r="G106" s="3"/>
      <c r="H106" s="3"/>
      <c r="I106" s="3"/>
      <c r="J106" s="3"/>
      <c r="K106" s="3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>
        <f t="shared" si="1"/>
        <v>107</v>
      </c>
      <c r="B107" s="511" t="s">
        <v>1002</v>
      </c>
      <c r="C107" s="3" t="str">
        <f t="shared" si="6"/>
        <v>=&gt;</v>
      </c>
      <c r="D107" s="3" t="s">
        <v>8</v>
      </c>
      <c r="E107" s="3"/>
      <c r="F107" s="3"/>
      <c r="G107" s="3"/>
      <c r="H107" s="8"/>
      <c r="I107" s="3"/>
      <c r="J107" s="3"/>
      <c r="K107" s="3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>
        <f t="shared" si="1"/>
        <v>108</v>
      </c>
      <c r="B108" s="513" t="s">
        <v>1004</v>
      </c>
      <c r="C108" s="3" t="str">
        <f t="shared" si="6"/>
        <v>=&gt;</v>
      </c>
      <c r="D108" s="3" t="s">
        <v>14</v>
      </c>
      <c r="E108" s="515" t="s">
        <v>1005</v>
      </c>
      <c r="F108" s="516" t="s">
        <v>1006</v>
      </c>
      <c r="G108" s="514"/>
      <c r="H108" s="3"/>
      <c r="I108" s="3"/>
      <c r="J108" s="3"/>
      <c r="K108" s="3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>
        <f t="shared" si="1"/>
        <v>109</v>
      </c>
      <c r="B109" s="515" t="s">
        <v>1005</v>
      </c>
      <c r="C109" s="3" t="str">
        <f t="shared" si="6"/>
        <v>=&gt;</v>
      </c>
      <c r="D109" s="3" t="str">
        <f>"="</f>
        <v>=</v>
      </c>
      <c r="E109" s="517" t="s">
        <v>1007</v>
      </c>
      <c r="F109" s="3"/>
      <c r="G109" s="3"/>
      <c r="H109" s="3"/>
      <c r="I109" s="3"/>
      <c r="J109" s="3"/>
      <c r="K109" s="3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>
        <f t="shared" si="1"/>
        <v>110</v>
      </c>
      <c r="B110" s="515" t="s">
        <v>1005</v>
      </c>
      <c r="C110" s="3" t="str">
        <f t="shared" si="6"/>
        <v>=&gt;</v>
      </c>
      <c r="D110" s="3" t="s">
        <v>8</v>
      </c>
      <c r="E110" s="3"/>
      <c r="F110" s="3"/>
      <c r="G110" s="3"/>
      <c r="H110" s="3"/>
      <c r="I110" s="3"/>
      <c r="J110" s="3"/>
      <c r="K110" s="3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>
        <f t="shared" si="1"/>
        <v>111</v>
      </c>
      <c r="B111" s="516" t="s">
        <v>1006</v>
      </c>
      <c r="C111" s="3" t="str">
        <f t="shared" si="6"/>
        <v>=&gt;</v>
      </c>
      <c r="D111" s="3" t="s">
        <v>38</v>
      </c>
      <c r="E111" s="513" t="s">
        <v>1004</v>
      </c>
      <c r="F111" s="3"/>
      <c r="G111" s="3"/>
      <c r="H111" s="3"/>
      <c r="I111" s="3"/>
      <c r="J111" s="3"/>
      <c r="K111" s="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>
        <f t="shared" si="1"/>
        <v>112</v>
      </c>
      <c r="B112" s="516" t="s">
        <v>1006</v>
      </c>
      <c r="C112" s="3" t="str">
        <f t="shared" si="6"/>
        <v>=&gt;</v>
      </c>
      <c r="D112" s="3" t="s">
        <v>8</v>
      </c>
      <c r="E112" s="3"/>
      <c r="F112" s="3"/>
      <c r="G112" s="3"/>
      <c r="H112" s="3"/>
      <c r="I112" s="3"/>
      <c r="J112" s="3"/>
      <c r="K112" s="3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>
        <f t="shared" si="1"/>
        <v>113</v>
      </c>
      <c r="B113" s="342" t="s">
        <v>837</v>
      </c>
      <c r="C113" s="3" t="str">
        <f t="shared" si="6"/>
        <v>=&gt;</v>
      </c>
      <c r="D113" s="3" t="s">
        <v>1008</v>
      </c>
      <c r="E113" s="520" t="s">
        <v>1009</v>
      </c>
      <c r="F113" s="3" t="s">
        <v>62</v>
      </c>
      <c r="G113" s="521" t="s">
        <v>1010</v>
      </c>
      <c r="H113" s="3" t="s">
        <v>64</v>
      </c>
      <c r="I113" s="651" t="s">
        <v>839</v>
      </c>
      <c r="J113" s="342" t="s">
        <v>837</v>
      </c>
      <c r="K113" s="3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>
        <f t="shared" si="1"/>
        <v>114</v>
      </c>
      <c r="B114" s="342" t="s">
        <v>837</v>
      </c>
      <c r="C114" s="3" t="str">
        <f t="shared" si="6"/>
        <v>=&gt;</v>
      </c>
      <c r="D114" s="3" t="s">
        <v>8</v>
      </c>
      <c r="E114" s="3"/>
      <c r="F114" s="3"/>
      <c r="G114" s="3"/>
      <c r="H114" s="8"/>
      <c r="I114" s="3"/>
      <c r="J114" s="3"/>
      <c r="K114" s="8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>
        <f t="shared" si="1"/>
        <v>115</v>
      </c>
      <c r="B115" s="520" t="s">
        <v>1009</v>
      </c>
      <c r="C115" s="3" t="str">
        <f t="shared" si="6"/>
        <v>=&gt;</v>
      </c>
      <c r="D115" s="510" t="s">
        <v>1001</v>
      </c>
      <c r="E115" s="3"/>
      <c r="F115" s="3"/>
      <c r="G115" s="3"/>
      <c r="H115" s="3"/>
      <c r="I115" s="3"/>
      <c r="J115" s="3"/>
      <c r="K115" s="3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>
        <f t="shared" si="1"/>
        <v>116</v>
      </c>
      <c r="B116" s="521" t="s">
        <v>1010</v>
      </c>
      <c r="C116" s="3" t="str">
        <f t="shared" si="6"/>
        <v>=&gt;</v>
      </c>
      <c r="D116" s="510" t="s">
        <v>1001</v>
      </c>
      <c r="E116" s="522" t="s">
        <v>1011</v>
      </c>
      <c r="F116" s="3"/>
      <c r="G116" s="3"/>
      <c r="H116" s="3"/>
      <c r="I116" s="3"/>
      <c r="J116" s="3"/>
      <c r="K116" s="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>
        <f t="shared" si="1"/>
        <v>117</v>
      </c>
      <c r="B117" s="521" t="s">
        <v>1010</v>
      </c>
      <c r="C117" s="3" t="str">
        <f t="shared" si="6"/>
        <v>=&gt;</v>
      </c>
      <c r="D117" s="3" t="s">
        <v>8</v>
      </c>
      <c r="E117" s="3"/>
      <c r="F117" s="3"/>
      <c r="G117" s="3"/>
      <c r="H117" s="3"/>
      <c r="I117" s="3"/>
      <c r="J117" s="3"/>
      <c r="K117" s="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>
        <f t="shared" si="1"/>
        <v>118</v>
      </c>
      <c r="B118" s="522" t="s">
        <v>1011</v>
      </c>
      <c r="C118" s="3" t="str">
        <f t="shared" si="6"/>
        <v>=&gt;</v>
      </c>
      <c r="D118" s="3" t="s">
        <v>38</v>
      </c>
      <c r="E118" s="510" t="s">
        <v>1001</v>
      </c>
      <c r="F118" s="522" t="s">
        <v>1011</v>
      </c>
      <c r="G118" s="3"/>
      <c r="H118" s="3"/>
      <c r="I118" s="3"/>
      <c r="J118" s="3"/>
      <c r="K118" s="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>
        <f t="shared" si="1"/>
        <v>119</v>
      </c>
      <c r="B119" s="522" t="s">
        <v>1011</v>
      </c>
      <c r="C119" s="3" t="str">
        <f t="shared" si="6"/>
        <v>=&gt;</v>
      </c>
      <c r="D119" s="3" t="s">
        <v>8</v>
      </c>
      <c r="E119" s="3"/>
      <c r="F119" s="3"/>
      <c r="G119" s="3"/>
      <c r="H119" s="3"/>
      <c r="I119" s="3"/>
      <c r="J119" s="3"/>
      <c r="K119" s="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>
        <f t="shared" si="1"/>
        <v>120</v>
      </c>
      <c r="B120" s="651" t="s">
        <v>839</v>
      </c>
      <c r="C120" s="3" t="str">
        <f t="shared" si="6"/>
        <v>=&gt;</v>
      </c>
      <c r="D120" s="3" t="s">
        <v>17</v>
      </c>
      <c r="E120" s="523" t="s">
        <v>1012</v>
      </c>
      <c r="F120" s="524" t="s">
        <v>1013</v>
      </c>
      <c r="G120" s="3" t="s">
        <v>19</v>
      </c>
      <c r="H120" s="3"/>
      <c r="I120" s="3"/>
      <c r="J120" s="8"/>
      <c r="K120" s="8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>
        <f t="shared" si="1"/>
        <v>121</v>
      </c>
      <c r="B121" s="523" t="s">
        <v>1012</v>
      </c>
      <c r="C121" s="3" t="str">
        <f t="shared" si="6"/>
        <v>=&gt;</v>
      </c>
      <c r="D121" s="3" t="s">
        <v>840</v>
      </c>
      <c r="E121" s="525" t="s">
        <v>841</v>
      </c>
      <c r="F121" s="523" t="s">
        <v>1012</v>
      </c>
      <c r="G121" s="526"/>
      <c r="H121" s="526"/>
      <c r="I121" s="526"/>
      <c r="J121" s="526"/>
      <c r="K121" s="526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3">
        <f t="shared" si="1"/>
        <v>122</v>
      </c>
      <c r="B122" s="523" t="s">
        <v>1012</v>
      </c>
      <c r="C122" s="3" t="str">
        <f t="shared" si="6"/>
        <v>=&gt;</v>
      </c>
      <c r="D122" s="3" t="s">
        <v>842</v>
      </c>
      <c r="E122" s="527" t="s">
        <v>843</v>
      </c>
      <c r="F122" s="523" t="s">
        <v>1012</v>
      </c>
      <c r="G122" s="526"/>
      <c r="H122" s="526"/>
      <c r="I122" s="526"/>
      <c r="J122" s="526"/>
      <c r="K122" s="526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3">
        <f t="shared" si="1"/>
        <v>123</v>
      </c>
      <c r="B123" s="523" t="s">
        <v>1012</v>
      </c>
      <c r="C123" s="3" t="str">
        <f t="shared" si="6"/>
        <v>=&gt;</v>
      </c>
      <c r="D123" s="3" t="s">
        <v>844</v>
      </c>
      <c r="E123" s="528" t="s">
        <v>845</v>
      </c>
      <c r="F123" s="523" t="s">
        <v>1012</v>
      </c>
      <c r="G123" s="526"/>
      <c r="H123" s="526"/>
      <c r="I123" s="526"/>
      <c r="J123" s="526"/>
      <c r="K123" s="526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3">
        <f t="shared" si="1"/>
        <v>124</v>
      </c>
      <c r="B124" s="523" t="s">
        <v>1012</v>
      </c>
      <c r="C124" s="3" t="str">
        <f t="shared" si="6"/>
        <v>=&gt;</v>
      </c>
      <c r="D124" s="3" t="s">
        <v>846</v>
      </c>
      <c r="E124" s="529" t="s">
        <v>847</v>
      </c>
      <c r="F124" s="523" t="s">
        <v>1012</v>
      </c>
      <c r="G124" s="526"/>
      <c r="H124" s="526"/>
      <c r="I124" s="526"/>
      <c r="J124" s="526"/>
      <c r="K124" s="526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3">
        <f t="shared" si="1"/>
        <v>125</v>
      </c>
      <c r="B125" s="523" t="s">
        <v>1012</v>
      </c>
      <c r="C125" s="3" t="str">
        <f t="shared" si="6"/>
        <v>=&gt;</v>
      </c>
      <c r="D125" s="3" t="s">
        <v>14</v>
      </c>
      <c r="E125" s="530" t="s">
        <v>1014</v>
      </c>
      <c r="F125" s="8"/>
      <c r="G125" s="3"/>
      <c r="H125" s="3"/>
      <c r="I125" s="3"/>
      <c r="J125" s="3"/>
      <c r="K125" s="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>
        <f t="shared" si="1"/>
        <v>126</v>
      </c>
      <c r="B126" s="523" t="s">
        <v>1012</v>
      </c>
      <c r="C126" s="3" t="str">
        <f t="shared" si="6"/>
        <v>=&gt;</v>
      </c>
      <c r="D126" s="3" t="s">
        <v>8</v>
      </c>
      <c r="E126" s="3"/>
      <c r="F126" s="3"/>
      <c r="G126" s="3"/>
      <c r="H126" s="3"/>
      <c r="I126" s="3"/>
      <c r="J126" s="3"/>
      <c r="K126" s="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>
        <f t="shared" si="1"/>
        <v>127</v>
      </c>
      <c r="B127" s="524" t="s">
        <v>1013</v>
      </c>
      <c r="C127" s="3" t="str">
        <f t="shared" si="6"/>
        <v>=&gt;</v>
      </c>
      <c r="D127" s="543" t="s">
        <v>1018</v>
      </c>
      <c r="E127" s="524" t="s">
        <v>1013</v>
      </c>
      <c r="F127" s="8"/>
      <c r="G127" s="8"/>
      <c r="H127" s="8"/>
      <c r="I127" s="3"/>
      <c r="J127" s="3"/>
      <c r="K127" s="8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>
        <f t="shared" si="1"/>
        <v>128</v>
      </c>
      <c r="B128" s="524" t="s">
        <v>1013</v>
      </c>
      <c r="C128" s="3" t="str">
        <f t="shared" si="6"/>
        <v>=&gt;</v>
      </c>
      <c r="D128" s="654" t="s">
        <v>1019</v>
      </c>
      <c r="E128" s="3" t="s">
        <v>6</v>
      </c>
      <c r="F128" s="524" t="s">
        <v>1013</v>
      </c>
      <c r="G128" s="8"/>
      <c r="H128" s="8"/>
      <c r="I128" s="3"/>
      <c r="J128" s="3"/>
      <c r="K128" s="8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>
        <f t="shared" si="1"/>
        <v>129</v>
      </c>
      <c r="B129" s="524" t="s">
        <v>1013</v>
      </c>
      <c r="C129" s="3" t="str">
        <f t="shared" si="6"/>
        <v>=&gt;</v>
      </c>
      <c r="D129" s="549" t="s">
        <v>1020</v>
      </c>
      <c r="E129" s="524" t="s">
        <v>1013</v>
      </c>
      <c r="F129" s="3"/>
      <c r="G129" s="3"/>
      <c r="H129" s="3"/>
      <c r="I129" s="3"/>
      <c r="J129" s="3"/>
      <c r="K129" s="8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>
        <f t="shared" si="1"/>
        <v>130</v>
      </c>
      <c r="B130" s="524" t="s">
        <v>1013</v>
      </c>
      <c r="C130" s="3" t="str">
        <f t="shared" si="6"/>
        <v>=&gt;</v>
      </c>
      <c r="D130" s="569" t="s">
        <v>1021</v>
      </c>
      <c r="E130" s="524" t="s">
        <v>1013</v>
      </c>
      <c r="F130" s="3"/>
      <c r="G130" s="3"/>
      <c r="H130" s="3"/>
      <c r="I130" s="3"/>
      <c r="J130" s="3"/>
      <c r="K130" s="8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>
        <f t="shared" si="1"/>
        <v>131</v>
      </c>
      <c r="B131" s="524" t="s">
        <v>1013</v>
      </c>
      <c r="C131" s="3" t="str">
        <f t="shared" si="6"/>
        <v>=&gt;</v>
      </c>
      <c r="D131" s="591" t="s">
        <v>1062</v>
      </c>
      <c r="E131" s="524" t="s">
        <v>1013</v>
      </c>
      <c r="F131" s="8"/>
      <c r="G131" s="8"/>
      <c r="H131" s="8"/>
      <c r="I131" s="3"/>
      <c r="J131" s="3"/>
      <c r="K131" s="8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>
        <f t="shared" si="1"/>
        <v>132</v>
      </c>
      <c r="B132" s="524" t="s">
        <v>1013</v>
      </c>
      <c r="C132" s="3" t="str">
        <f t="shared" si="6"/>
        <v>=&gt;</v>
      </c>
      <c r="D132" s="3" t="s">
        <v>8</v>
      </c>
      <c r="E132" s="8"/>
      <c r="F132" s="8"/>
      <c r="G132" s="8"/>
      <c r="H132" s="8"/>
      <c r="I132" s="3"/>
      <c r="J132" s="3"/>
      <c r="K132" s="8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>
        <f t="shared" si="1"/>
        <v>133</v>
      </c>
      <c r="B133" s="530" t="s">
        <v>1014</v>
      </c>
      <c r="C133" s="3" t="str">
        <f t="shared" si="6"/>
        <v>=&gt;</v>
      </c>
      <c r="D133" s="3" t="s">
        <v>850</v>
      </c>
      <c r="E133" s="513" t="s">
        <v>1004</v>
      </c>
      <c r="F133" s="3" t="s">
        <v>6</v>
      </c>
      <c r="G133" s="523" t="s">
        <v>1012</v>
      </c>
      <c r="H133" s="8"/>
      <c r="I133" s="3"/>
      <c r="J133" s="3"/>
      <c r="K133" s="8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>
        <f t="shared" si="1"/>
        <v>134</v>
      </c>
      <c r="B134" s="530" t="s">
        <v>1014</v>
      </c>
      <c r="C134" s="3" t="str">
        <f t="shared" si="6"/>
        <v>=&gt;</v>
      </c>
      <c r="D134" s="3" t="s">
        <v>30</v>
      </c>
      <c r="E134" s="531" t="s">
        <v>1015</v>
      </c>
      <c r="F134" s="8"/>
      <c r="G134" s="8"/>
      <c r="H134" s="8"/>
      <c r="I134" s="3"/>
      <c r="J134" s="3"/>
      <c r="K134" s="8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>
        <f t="shared" si="1"/>
        <v>135</v>
      </c>
      <c r="B135" s="530" t="s">
        <v>1014</v>
      </c>
      <c r="C135" s="3" t="str">
        <f t="shared" si="6"/>
        <v>=&gt;</v>
      </c>
      <c r="D135" s="424" t="s">
        <v>930</v>
      </c>
      <c r="E135" s="532" t="s">
        <v>1016</v>
      </c>
      <c r="F135" s="395" t="s">
        <v>28</v>
      </c>
      <c r="G135" s="3" t="s">
        <v>6</v>
      </c>
      <c r="H135" s="524" t="s">
        <v>1013</v>
      </c>
      <c r="I135" s="3"/>
      <c r="J135" s="3"/>
      <c r="K135" s="8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>
        <f t="shared" si="1"/>
        <v>136</v>
      </c>
      <c r="B136" s="530" t="s">
        <v>1014</v>
      </c>
      <c r="C136" s="3" t="str">
        <f t="shared" si="6"/>
        <v>=&gt;</v>
      </c>
      <c r="D136" s="532" t="s">
        <v>1016</v>
      </c>
      <c r="E136" s="395" t="s">
        <v>28</v>
      </c>
      <c r="F136" s="3" t="s">
        <v>6</v>
      </c>
      <c r="G136" s="524" t="s">
        <v>1013</v>
      </c>
      <c r="H136" s="8"/>
      <c r="I136" s="3"/>
      <c r="J136" s="3"/>
      <c r="K136" s="8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>
        <f t="shared" si="1"/>
        <v>137</v>
      </c>
      <c r="B137" s="530" t="s">
        <v>1014</v>
      </c>
      <c r="C137" s="3" t="str">
        <f t="shared" si="6"/>
        <v>=&gt;</v>
      </c>
      <c r="D137" s="533" t="s">
        <v>1017</v>
      </c>
      <c r="E137" s="8" t="s">
        <v>6</v>
      </c>
      <c r="F137" s="524" t="s">
        <v>1013</v>
      </c>
      <c r="G137" s="8"/>
      <c r="H137" s="8"/>
      <c r="I137" s="3"/>
      <c r="J137" s="3"/>
      <c r="K137" s="8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>
        <f t="shared" si="1"/>
        <v>138</v>
      </c>
      <c r="B138" s="531" t="s">
        <v>1015</v>
      </c>
      <c r="C138" s="3" t="str">
        <f t="shared" si="6"/>
        <v>=&gt;</v>
      </c>
      <c r="D138" s="8" t="s">
        <v>32</v>
      </c>
      <c r="E138" s="464" t="s">
        <v>964</v>
      </c>
      <c r="F138" s="3" t="s">
        <v>850</v>
      </c>
      <c r="G138" s="534" t="s">
        <v>963</v>
      </c>
      <c r="H138" s="3" t="s">
        <v>6</v>
      </c>
      <c r="I138" s="523" t="s">
        <v>1012</v>
      </c>
      <c r="J138" s="3"/>
      <c r="K138" s="8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>
        <f t="shared" si="1"/>
        <v>139</v>
      </c>
      <c r="B139" s="531" t="s">
        <v>1015</v>
      </c>
      <c r="C139" s="3" t="str">
        <f t="shared" si="6"/>
        <v>=&gt;</v>
      </c>
      <c r="D139" s="354" t="s">
        <v>855</v>
      </c>
      <c r="E139" s="8" t="s">
        <v>32</v>
      </c>
      <c r="F139" s="535" t="s">
        <v>894</v>
      </c>
      <c r="G139" s="532" t="s">
        <v>1016</v>
      </c>
      <c r="H139" s="395" t="s">
        <v>28</v>
      </c>
      <c r="I139" s="3" t="s">
        <v>6</v>
      </c>
      <c r="J139" s="524" t="s">
        <v>1013</v>
      </c>
      <c r="K139" s="8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>
        <f t="shared" si="1"/>
        <v>140</v>
      </c>
      <c r="B140" s="543" t="s">
        <v>1018</v>
      </c>
      <c r="C140" s="3" t="str">
        <f t="shared" si="6"/>
        <v>=&gt;</v>
      </c>
      <c r="D140" s="3" t="s">
        <v>14</v>
      </c>
      <c r="E140" s="544" t="s">
        <v>1023</v>
      </c>
      <c r="F140" s="524" t="s">
        <v>1013</v>
      </c>
      <c r="G140" s="8"/>
      <c r="H140" s="8"/>
      <c r="I140" s="3"/>
      <c r="J140" s="3"/>
      <c r="K140" s="8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>
        <f t="shared" si="1"/>
        <v>141</v>
      </c>
      <c r="B141" s="544" t="s">
        <v>1023</v>
      </c>
      <c r="C141" s="3" t="str">
        <f t="shared" si="6"/>
        <v>=&gt;</v>
      </c>
      <c r="D141" s="533" t="s">
        <v>1017</v>
      </c>
      <c r="E141" s="8" t="s">
        <v>6</v>
      </c>
      <c r="F141" s="8"/>
      <c r="G141" s="8"/>
      <c r="H141" s="3"/>
      <c r="I141" s="3"/>
      <c r="J141" s="3"/>
      <c r="K141" s="8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>
        <f t="shared" si="1"/>
        <v>142</v>
      </c>
      <c r="B142" s="544" t="s">
        <v>1023</v>
      </c>
      <c r="C142" s="3" t="str">
        <f t="shared" si="6"/>
        <v>=&gt;</v>
      </c>
      <c r="D142" s="545" t="s">
        <v>1024</v>
      </c>
      <c r="E142" s="8"/>
      <c r="F142" s="8"/>
      <c r="G142" s="8"/>
      <c r="H142" s="3"/>
      <c r="I142" s="3"/>
      <c r="J142" s="3"/>
      <c r="K142" s="8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>
        <f t="shared" si="1"/>
        <v>143</v>
      </c>
      <c r="B143" s="545" t="s">
        <v>1024</v>
      </c>
      <c r="C143" s="3" t="str">
        <f t="shared" si="6"/>
        <v>=&gt;</v>
      </c>
      <c r="D143" s="535" t="s">
        <v>894</v>
      </c>
      <c r="E143" s="532" t="s">
        <v>1016</v>
      </c>
      <c r="F143" s="395" t="s">
        <v>28</v>
      </c>
      <c r="G143" s="3" t="s">
        <v>6</v>
      </c>
      <c r="H143" s="8"/>
      <c r="I143" s="3"/>
      <c r="J143" s="3"/>
      <c r="K143" s="8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>
        <f t="shared" si="1"/>
        <v>144</v>
      </c>
      <c r="B144" s="532" t="s">
        <v>1016</v>
      </c>
      <c r="C144" s="3" t="str">
        <f t="shared" si="6"/>
        <v>=&gt;</v>
      </c>
      <c r="D144" s="8" t="str">
        <f>"="</f>
        <v>=</v>
      </c>
      <c r="E144" s="8"/>
      <c r="F144" s="8"/>
      <c r="G144" s="8"/>
      <c r="H144" s="3"/>
      <c r="I144" s="3"/>
      <c r="J144" s="3"/>
      <c r="K144" s="8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>
        <f t="shared" si="1"/>
        <v>145</v>
      </c>
      <c r="B145" s="532" t="s">
        <v>1016</v>
      </c>
      <c r="C145" s="3" t="str">
        <f t="shared" si="6"/>
        <v>=&gt;</v>
      </c>
      <c r="D145" s="8" t="str">
        <f>"+="</f>
        <v>+=</v>
      </c>
      <c r="E145" s="8"/>
      <c r="F145" s="8"/>
      <c r="G145" s="8"/>
      <c r="H145" s="3"/>
      <c r="I145" s="3"/>
      <c r="J145" s="3"/>
      <c r="K145" s="8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>
        <f t="shared" si="1"/>
        <v>146</v>
      </c>
      <c r="B146" s="532" t="s">
        <v>1016</v>
      </c>
      <c r="C146" s="3" t="str">
        <f t="shared" si="6"/>
        <v>=&gt;</v>
      </c>
      <c r="D146" s="8" t="str">
        <f>"-="</f>
        <v>-=</v>
      </c>
      <c r="E146" s="8"/>
      <c r="F146" s="8"/>
      <c r="G146" s="8"/>
      <c r="H146" s="3"/>
      <c r="I146" s="3"/>
      <c r="J146" s="3"/>
      <c r="K146" s="8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>
        <f t="shared" si="1"/>
        <v>147</v>
      </c>
      <c r="B147" s="532" t="s">
        <v>1016</v>
      </c>
      <c r="C147" s="3" t="str">
        <f t="shared" si="6"/>
        <v>=&gt;</v>
      </c>
      <c r="D147" s="8" t="str">
        <f>"*="</f>
        <v>*=</v>
      </c>
      <c r="E147" s="8"/>
      <c r="F147" s="8"/>
      <c r="G147" s="8"/>
      <c r="H147" s="3"/>
      <c r="I147" s="3"/>
      <c r="J147" s="3"/>
      <c r="K147" s="8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>
        <f t="shared" si="1"/>
        <v>148</v>
      </c>
      <c r="B148" s="532" t="s">
        <v>1016</v>
      </c>
      <c r="C148" s="3" t="str">
        <f t="shared" si="6"/>
        <v>=&gt;</v>
      </c>
      <c r="D148" s="8" t="str">
        <f>"/="</f>
        <v>/=</v>
      </c>
      <c r="E148" s="8"/>
      <c r="F148" s="8"/>
      <c r="G148" s="8"/>
      <c r="H148" s="3"/>
      <c r="I148" s="3"/>
      <c r="J148" s="3"/>
      <c r="K148" s="8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>
        <f t="shared" si="1"/>
        <v>149</v>
      </c>
      <c r="B149" s="532" t="s">
        <v>1016</v>
      </c>
      <c r="C149" s="3" t="str">
        <f t="shared" si="6"/>
        <v>=&gt;</v>
      </c>
      <c r="D149" s="8" t="str">
        <f>"%="</f>
        <v>%=</v>
      </c>
      <c r="E149" s="8"/>
      <c r="F149" s="8"/>
      <c r="G149" s="8"/>
      <c r="H149" s="3"/>
      <c r="I149" s="3"/>
      <c r="J149" s="3"/>
      <c r="K149" s="8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>
        <f t="shared" si="1"/>
        <v>150</v>
      </c>
      <c r="B150" s="549" t="s">
        <v>1020</v>
      </c>
      <c r="C150" s="3" t="str">
        <f t="shared" si="6"/>
        <v>=&gt;</v>
      </c>
      <c r="D150" s="550" t="s">
        <v>1027</v>
      </c>
      <c r="E150" s="3"/>
      <c r="F150" s="3"/>
      <c r="G150" s="3"/>
      <c r="H150" s="3"/>
      <c r="I150" s="3"/>
      <c r="J150" s="3"/>
      <c r="K150" s="8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>
        <f t="shared" si="1"/>
        <v>151</v>
      </c>
      <c r="B151" s="549" t="s">
        <v>1020</v>
      </c>
      <c r="C151" s="3" t="str">
        <f t="shared" si="6"/>
        <v>=&gt;</v>
      </c>
      <c r="D151" s="551" t="s">
        <v>1028</v>
      </c>
      <c r="E151" s="3"/>
      <c r="F151" s="3"/>
      <c r="G151" s="3"/>
      <c r="H151" s="3"/>
      <c r="I151" s="3"/>
      <c r="J151" s="3"/>
      <c r="K151" s="8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>
        <f t="shared" si="1"/>
        <v>152</v>
      </c>
      <c r="B152" s="550" t="s">
        <v>1027</v>
      </c>
      <c r="C152" s="3" t="str">
        <f t="shared" si="6"/>
        <v>=&gt;</v>
      </c>
      <c r="D152" s="542" t="s">
        <v>1029</v>
      </c>
      <c r="E152" s="3" t="s">
        <v>62</v>
      </c>
      <c r="F152" s="479" t="s">
        <v>976</v>
      </c>
      <c r="G152" s="3" t="s">
        <v>64</v>
      </c>
      <c r="H152" s="651" t="s">
        <v>839</v>
      </c>
      <c r="I152" s="553" t="s">
        <v>1030</v>
      </c>
      <c r="J152" s="554" t="s">
        <v>1031</v>
      </c>
      <c r="K152" s="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>
        <f t="shared" si="1"/>
        <v>153</v>
      </c>
      <c r="B153" s="553" t="s">
        <v>1030</v>
      </c>
      <c r="C153" s="3" t="str">
        <f t="shared" si="6"/>
        <v>=&gt;</v>
      </c>
      <c r="D153" s="542" t="s">
        <v>1032</v>
      </c>
      <c r="E153" s="3" t="s">
        <v>62</v>
      </c>
      <c r="F153" s="479" t="s">
        <v>976</v>
      </c>
      <c r="G153" s="3" t="s">
        <v>64</v>
      </c>
      <c r="H153" s="651" t="s">
        <v>839</v>
      </c>
      <c r="I153" s="553" t="s">
        <v>1030</v>
      </c>
      <c r="J153" s="3"/>
      <c r="K153" s="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>
        <f t="shared" si="1"/>
        <v>154</v>
      </c>
      <c r="B154" s="553" t="s">
        <v>1030</v>
      </c>
      <c r="C154" s="3" t="str">
        <f t="shared" si="6"/>
        <v>=&gt;</v>
      </c>
      <c r="D154" s="542" t="s">
        <v>8</v>
      </c>
      <c r="E154" s="3"/>
      <c r="F154" s="3"/>
      <c r="G154" s="3"/>
      <c r="H154" s="3"/>
      <c r="I154" s="3"/>
      <c r="J154" s="3"/>
      <c r="K154" s="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>
        <f t="shared" si="1"/>
        <v>155</v>
      </c>
      <c r="B155" s="554" t="s">
        <v>1031</v>
      </c>
      <c r="C155" s="3" t="str">
        <f t="shared" si="6"/>
        <v>=&gt;</v>
      </c>
      <c r="D155" s="542" t="s">
        <v>1033</v>
      </c>
      <c r="E155" s="651" t="s">
        <v>839</v>
      </c>
      <c r="F155" s="3"/>
      <c r="G155" s="3"/>
      <c r="H155" s="3"/>
      <c r="I155" s="3"/>
      <c r="J155" s="3"/>
      <c r="K155" s="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>
        <f t="shared" si="1"/>
        <v>156</v>
      </c>
      <c r="B156" s="554" t="s">
        <v>1031</v>
      </c>
      <c r="C156" s="3" t="str">
        <f t="shared" si="6"/>
        <v>=&gt;</v>
      </c>
      <c r="D156" s="542" t="s">
        <v>8</v>
      </c>
      <c r="E156" s="3"/>
      <c r="F156" s="3"/>
      <c r="G156" s="3"/>
      <c r="H156" s="3"/>
      <c r="I156" s="3"/>
      <c r="J156" s="3"/>
      <c r="K156" s="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>
        <f t="shared" si="1"/>
        <v>157</v>
      </c>
      <c r="B157" s="551" t="s">
        <v>1028</v>
      </c>
      <c r="C157" s="3" t="str">
        <f t="shared" si="6"/>
        <v>=&gt;</v>
      </c>
      <c r="D157" s="542" t="s">
        <v>1034</v>
      </c>
      <c r="E157" s="3" t="s">
        <v>62</v>
      </c>
      <c r="F157" s="659" t="s">
        <v>863</v>
      </c>
      <c r="G157" s="3" t="s">
        <v>64</v>
      </c>
      <c r="H157" s="555" t="s">
        <v>1035</v>
      </c>
      <c r="I157" s="3"/>
      <c r="J157" s="3"/>
      <c r="K157" s="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>
        <f t="shared" si="1"/>
        <v>158</v>
      </c>
      <c r="B158" s="555" t="s">
        <v>1035</v>
      </c>
      <c r="C158" s="3" t="str">
        <f t="shared" si="6"/>
        <v>=&gt;</v>
      </c>
      <c r="D158" s="542" t="s">
        <v>17</v>
      </c>
      <c r="E158" s="556" t="s">
        <v>1036</v>
      </c>
      <c r="F158" s="557" t="s">
        <v>1037</v>
      </c>
      <c r="G158" s="3" t="s">
        <v>19</v>
      </c>
      <c r="H158" s="3"/>
      <c r="I158" s="3"/>
      <c r="J158" s="3"/>
      <c r="K158" s="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>
        <f t="shared" si="1"/>
        <v>159</v>
      </c>
      <c r="B159" s="556" t="s">
        <v>1036</v>
      </c>
      <c r="C159" s="3" t="str">
        <f t="shared" si="6"/>
        <v>=&gt;</v>
      </c>
      <c r="D159" s="542" t="s">
        <v>1038</v>
      </c>
      <c r="E159" s="558" t="s">
        <v>1039</v>
      </c>
      <c r="F159" s="3" t="s">
        <v>180</v>
      </c>
      <c r="G159" s="524" t="s">
        <v>1013</v>
      </c>
      <c r="H159" s="556" t="s">
        <v>1036</v>
      </c>
      <c r="I159" s="8"/>
      <c r="J159" s="3"/>
      <c r="K159" s="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>
        <f t="shared" si="1"/>
        <v>160</v>
      </c>
      <c r="B160" s="556" t="s">
        <v>1036</v>
      </c>
      <c r="C160" s="3" t="str">
        <f t="shared" si="6"/>
        <v>=&gt;</v>
      </c>
      <c r="D160" s="542" t="s">
        <v>8</v>
      </c>
      <c r="E160" s="3"/>
      <c r="F160" s="3"/>
      <c r="G160" s="3"/>
      <c r="H160" s="3"/>
      <c r="I160" s="3"/>
      <c r="J160" s="3"/>
      <c r="K160" s="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>
        <f t="shared" si="1"/>
        <v>161</v>
      </c>
      <c r="B161" s="558" t="s">
        <v>1039</v>
      </c>
      <c r="C161" s="3" t="str">
        <f t="shared" si="6"/>
        <v>=&gt;</v>
      </c>
      <c r="D161" s="3" t="s">
        <v>868</v>
      </c>
      <c r="E161" s="3"/>
      <c r="F161" s="3"/>
      <c r="G161" s="3"/>
      <c r="H161" s="3"/>
      <c r="I161" s="3"/>
      <c r="J161" s="3"/>
      <c r="K161" s="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>
        <f t="shared" si="1"/>
        <v>162</v>
      </c>
      <c r="B162" s="558" t="s">
        <v>1039</v>
      </c>
      <c r="C162" s="3" t="str">
        <f t="shared" si="6"/>
        <v>=&gt;</v>
      </c>
      <c r="D162" s="542" t="s">
        <v>904</v>
      </c>
      <c r="E162" s="3"/>
      <c r="F162" s="3"/>
      <c r="G162" s="3"/>
      <c r="H162" s="3"/>
      <c r="I162" s="3"/>
      <c r="J162" s="3"/>
      <c r="K162" s="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>
        <f t="shared" si="1"/>
        <v>163</v>
      </c>
      <c r="B163" s="557" t="s">
        <v>1037</v>
      </c>
      <c r="C163" s="3" t="str">
        <f t="shared" si="6"/>
        <v>=&gt;</v>
      </c>
      <c r="D163" s="542" t="s">
        <v>1070</v>
      </c>
      <c r="E163" s="3" t="s">
        <v>180</v>
      </c>
      <c r="F163" s="524" t="s">
        <v>1013</v>
      </c>
      <c r="G163" s="3"/>
      <c r="H163" s="3"/>
      <c r="I163" s="3"/>
      <c r="J163" s="3"/>
      <c r="K163" s="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>
        <f t="shared" si="1"/>
        <v>164</v>
      </c>
      <c r="B164" s="557" t="s">
        <v>1037</v>
      </c>
      <c r="C164" s="3" t="str">
        <f t="shared" si="6"/>
        <v>=&gt;</v>
      </c>
      <c r="D164" s="542" t="s">
        <v>8</v>
      </c>
      <c r="E164" s="3"/>
      <c r="F164" s="3"/>
      <c r="G164" s="3"/>
      <c r="H164" s="3"/>
      <c r="I164" s="3"/>
      <c r="J164" s="3"/>
      <c r="K164" s="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>
        <f t="shared" si="1"/>
        <v>165</v>
      </c>
      <c r="B165" s="569" t="s">
        <v>1021</v>
      </c>
      <c r="C165" s="3" t="str">
        <f t="shared" si="6"/>
        <v>=&gt;</v>
      </c>
      <c r="D165" s="570" t="s">
        <v>1049</v>
      </c>
      <c r="E165" s="3"/>
      <c r="F165" s="3"/>
      <c r="G165" s="3"/>
      <c r="H165" s="3"/>
      <c r="I165" s="3"/>
      <c r="J165" s="3"/>
      <c r="K165" s="8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>
        <f t="shared" si="1"/>
        <v>166</v>
      </c>
      <c r="B166" s="569" t="s">
        <v>1021</v>
      </c>
      <c r="C166" s="3" t="str">
        <f t="shared" si="6"/>
        <v>=&gt;</v>
      </c>
      <c r="D166" s="571" t="s">
        <v>1050</v>
      </c>
      <c r="E166" s="3"/>
      <c r="F166" s="3"/>
      <c r="G166" s="3"/>
      <c r="H166" s="3"/>
      <c r="I166" s="3"/>
      <c r="J166" s="3"/>
      <c r="K166" s="8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>
        <f t="shared" si="1"/>
        <v>167</v>
      </c>
      <c r="B167" s="569" t="s">
        <v>1021</v>
      </c>
      <c r="C167" s="3" t="str">
        <f t="shared" si="6"/>
        <v>=&gt;</v>
      </c>
      <c r="D167" s="572" t="s">
        <v>1051</v>
      </c>
      <c r="E167" s="3"/>
      <c r="F167" s="3"/>
      <c r="G167" s="3"/>
      <c r="H167" s="3"/>
      <c r="I167" s="3"/>
      <c r="J167" s="3"/>
      <c r="K167" s="8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>
        <f t="shared" si="1"/>
        <v>168</v>
      </c>
      <c r="B168" s="570" t="s">
        <v>1049</v>
      </c>
      <c r="C168" s="3" t="str">
        <f t="shared" si="6"/>
        <v>=&gt;</v>
      </c>
      <c r="D168" s="542" t="s">
        <v>1052</v>
      </c>
      <c r="E168" s="3" t="s">
        <v>62</v>
      </c>
      <c r="F168" s="573" t="s">
        <v>1053</v>
      </c>
      <c r="G168" s="574" t="s">
        <v>189</v>
      </c>
      <c r="H168" s="479" t="s">
        <v>976</v>
      </c>
      <c r="I168" s="3" t="s">
        <v>64</v>
      </c>
      <c r="J168" s="651" t="s">
        <v>839</v>
      </c>
      <c r="K168" s="8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>
        <f t="shared" si="1"/>
        <v>169</v>
      </c>
      <c r="B169" s="573" t="s">
        <v>1053</v>
      </c>
      <c r="C169" s="3" t="str">
        <f t="shared" si="6"/>
        <v>=&gt;</v>
      </c>
      <c r="D169" s="3" t="s">
        <v>14</v>
      </c>
      <c r="E169" s="660" t="s">
        <v>1024</v>
      </c>
      <c r="F169" s="3"/>
      <c r="G169" s="3"/>
      <c r="H169" s="3"/>
      <c r="I169" s="3"/>
      <c r="J169" s="3"/>
      <c r="K169" s="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>
        <f t="shared" si="1"/>
        <v>170</v>
      </c>
      <c r="B170" s="574" t="s">
        <v>189</v>
      </c>
      <c r="C170" s="3" t="str">
        <f t="shared" si="6"/>
        <v>=&gt;</v>
      </c>
      <c r="D170" s="3" t="s">
        <v>14</v>
      </c>
      <c r="E170" s="545" t="s">
        <v>1024</v>
      </c>
      <c r="F170" s="3"/>
      <c r="G170" s="3"/>
      <c r="H170" s="3"/>
      <c r="I170" s="3"/>
      <c r="J170" s="3"/>
      <c r="K170" s="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>
        <f t="shared" si="1"/>
        <v>171</v>
      </c>
      <c r="B171" s="571" t="s">
        <v>1050</v>
      </c>
      <c r="C171" s="3" t="str">
        <f t="shared" si="6"/>
        <v>=&gt;</v>
      </c>
      <c r="D171" s="542" t="s">
        <v>1075</v>
      </c>
      <c r="E171" s="3" t="s">
        <v>62</v>
      </c>
      <c r="F171" s="479" t="s">
        <v>976</v>
      </c>
      <c r="G171" s="3" t="s">
        <v>64</v>
      </c>
      <c r="H171" s="651" t="s">
        <v>839</v>
      </c>
      <c r="I171" s="3"/>
      <c r="J171" s="3"/>
      <c r="K171" s="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>
        <f t="shared" si="1"/>
        <v>172</v>
      </c>
      <c r="B172" s="572" t="s">
        <v>1051</v>
      </c>
      <c r="C172" s="3" t="str">
        <f t="shared" si="6"/>
        <v>=&gt;</v>
      </c>
      <c r="D172" s="542" t="s">
        <v>1076</v>
      </c>
      <c r="E172" s="651" t="s">
        <v>839</v>
      </c>
      <c r="F172" s="3" t="s">
        <v>1075</v>
      </c>
      <c r="G172" s="3" t="s">
        <v>62</v>
      </c>
      <c r="H172" s="479" t="s">
        <v>976</v>
      </c>
      <c r="I172" s="3" t="s">
        <v>64</v>
      </c>
      <c r="J172" s="3" t="s">
        <v>6</v>
      </c>
      <c r="K172" s="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>
        <f t="shared" si="1"/>
        <v>173</v>
      </c>
      <c r="B173" s="591" t="s">
        <v>1062</v>
      </c>
      <c r="C173" s="3" t="str">
        <f t="shared" si="6"/>
        <v>=&gt;</v>
      </c>
      <c r="D173" s="592" t="s">
        <v>1071</v>
      </c>
      <c r="E173" s="3"/>
      <c r="F173" s="3"/>
      <c r="G173" s="3"/>
      <c r="H173" s="3"/>
      <c r="I173" s="3"/>
      <c r="J173" s="3"/>
      <c r="K173" s="8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>
        <f t="shared" si="1"/>
        <v>174</v>
      </c>
      <c r="B174" s="591" t="s">
        <v>1062</v>
      </c>
      <c r="C174" s="3" t="str">
        <f t="shared" si="6"/>
        <v>=&gt;</v>
      </c>
      <c r="D174" s="593" t="s">
        <v>1043</v>
      </c>
      <c r="E174" s="3"/>
      <c r="F174" s="3"/>
      <c r="G174" s="3"/>
      <c r="H174" s="3"/>
      <c r="I174" s="3"/>
      <c r="J174" s="3"/>
      <c r="K174" s="8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>
        <f t="shared" si="1"/>
        <v>175</v>
      </c>
      <c r="B175" s="591" t="s">
        <v>1062</v>
      </c>
      <c r="C175" s="3" t="str">
        <f t="shared" si="6"/>
        <v>=&gt;</v>
      </c>
      <c r="D175" s="594" t="s">
        <v>1022</v>
      </c>
      <c r="E175" s="3"/>
      <c r="F175" s="3"/>
      <c r="G175" s="3"/>
      <c r="H175" s="3"/>
      <c r="I175" s="3"/>
      <c r="J175" s="3"/>
      <c r="K175" s="8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>
        <f t="shared" si="1"/>
        <v>176</v>
      </c>
      <c r="B176" s="592" t="s">
        <v>1071</v>
      </c>
      <c r="C176" s="3" t="str">
        <f t="shared" si="6"/>
        <v>=&gt;</v>
      </c>
      <c r="D176" s="3" t="s">
        <v>1072</v>
      </c>
      <c r="E176" s="3" t="s">
        <v>6</v>
      </c>
      <c r="F176" s="3"/>
      <c r="G176" s="3"/>
      <c r="H176" s="3"/>
      <c r="I176" s="3"/>
      <c r="J176" s="3"/>
      <c r="K176" s="8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>
        <f t="shared" si="1"/>
        <v>177</v>
      </c>
      <c r="B177" s="593" t="s">
        <v>1043</v>
      </c>
      <c r="C177" s="3" t="str">
        <f t="shared" si="6"/>
        <v>=&gt;</v>
      </c>
      <c r="D177" s="542" t="s">
        <v>1073</v>
      </c>
      <c r="E177" s="3" t="s">
        <v>6</v>
      </c>
      <c r="F177" s="3"/>
      <c r="G177" s="3"/>
      <c r="H177" s="3"/>
      <c r="I177" s="3"/>
      <c r="J177" s="3"/>
      <c r="K177" s="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>
        <f t="shared" si="1"/>
        <v>178</v>
      </c>
      <c r="B178" s="594" t="s">
        <v>1022</v>
      </c>
      <c r="C178" s="3" t="str">
        <f t="shared" si="6"/>
        <v>=&gt;</v>
      </c>
      <c r="D178" s="542" t="s">
        <v>1074</v>
      </c>
      <c r="E178" s="395" t="s">
        <v>28</v>
      </c>
      <c r="F178" s="3" t="s">
        <v>6</v>
      </c>
      <c r="G178" s="3"/>
      <c r="H178" s="3"/>
      <c r="I178" s="3"/>
      <c r="J178" s="3"/>
      <c r="K178" s="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>
        <f t="shared" si="1"/>
        <v>179</v>
      </c>
      <c r="B179" s="367" t="s">
        <v>863</v>
      </c>
      <c r="C179" s="417" t="s">
        <v>199</v>
      </c>
      <c r="D179" s="360" t="s">
        <v>860</v>
      </c>
      <c r="E179" s="368" t="s">
        <v>869</v>
      </c>
      <c r="F179" s="369" t="s">
        <v>870</v>
      </c>
      <c r="G179" s="370" t="s">
        <v>871</v>
      </c>
      <c r="H179" s="8"/>
      <c r="I179" s="8"/>
      <c r="J179" s="8"/>
      <c r="K179" s="8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>
        <f t="shared" si="1"/>
        <v>180</v>
      </c>
      <c r="B180" s="367" t="s">
        <v>863</v>
      </c>
      <c r="C180" s="417" t="s">
        <v>199</v>
      </c>
      <c r="D180" s="371" t="s">
        <v>872</v>
      </c>
      <c r="E180" s="372" t="s">
        <v>873</v>
      </c>
      <c r="F180" s="373" t="s">
        <v>874</v>
      </c>
      <c r="G180" s="374" t="s">
        <v>875</v>
      </c>
      <c r="H180" s="8"/>
      <c r="I180" s="8"/>
      <c r="J180" s="8"/>
      <c r="K180" s="8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>
        <f t="shared" si="1"/>
        <v>181</v>
      </c>
      <c r="B181" s="367" t="s">
        <v>863</v>
      </c>
      <c r="C181" s="417" t="s">
        <v>199</v>
      </c>
      <c r="D181" s="375" t="s">
        <v>876</v>
      </c>
      <c r="E181" s="376" t="s">
        <v>877</v>
      </c>
      <c r="F181" s="377" t="s">
        <v>878</v>
      </c>
      <c r="G181" s="8"/>
      <c r="H181" s="8"/>
      <c r="I181" s="8"/>
      <c r="J181" s="8"/>
      <c r="K181" s="8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>
        <f t="shared" si="1"/>
        <v>182</v>
      </c>
      <c r="B182" s="367" t="s">
        <v>863</v>
      </c>
      <c r="C182" s="417" t="s">
        <v>199</v>
      </c>
      <c r="D182" s="378" t="s">
        <v>879</v>
      </c>
      <c r="E182" s="379" t="s">
        <v>880</v>
      </c>
      <c r="F182" s="8"/>
      <c r="G182" s="8"/>
      <c r="H182" s="8"/>
      <c r="I182" s="8"/>
      <c r="J182" s="8"/>
      <c r="K182" s="8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>
        <f t="shared" si="1"/>
        <v>183</v>
      </c>
      <c r="B183" s="367" t="s">
        <v>863</v>
      </c>
      <c r="C183" s="417" t="s">
        <v>199</v>
      </c>
      <c r="D183" s="361" t="s">
        <v>861</v>
      </c>
      <c r="E183" s="380" t="s">
        <v>881</v>
      </c>
      <c r="F183" s="381" t="s">
        <v>882</v>
      </c>
      <c r="G183" s="382" t="s">
        <v>883</v>
      </c>
      <c r="H183" s="8"/>
      <c r="I183" s="8"/>
      <c r="J183" s="8"/>
      <c r="K183" s="8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>
        <f t="shared" si="1"/>
        <v>184</v>
      </c>
      <c r="B184" s="367" t="s">
        <v>863</v>
      </c>
      <c r="C184" s="417" t="s">
        <v>199</v>
      </c>
      <c r="D184" s="8" t="s">
        <v>62</v>
      </c>
      <c r="E184" s="383" t="s">
        <v>884</v>
      </c>
      <c r="F184" s="8"/>
      <c r="G184" s="8"/>
      <c r="H184" s="8"/>
      <c r="I184" s="8"/>
      <c r="J184" s="8"/>
      <c r="K184" s="8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>
        <f t="shared" si="1"/>
        <v>185</v>
      </c>
      <c r="B185" s="367" t="s">
        <v>863</v>
      </c>
      <c r="C185" s="417" t="s">
        <v>199</v>
      </c>
      <c r="D185" s="8" t="s">
        <v>885</v>
      </c>
      <c r="E185" s="384" t="s">
        <v>886</v>
      </c>
      <c r="F185" s="8"/>
      <c r="G185" s="8"/>
      <c r="H185" s="8"/>
      <c r="I185" s="8"/>
      <c r="J185" s="8"/>
      <c r="K185" s="8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>
        <f t="shared" si="1"/>
        <v>186</v>
      </c>
      <c r="B186" s="383" t="s">
        <v>884</v>
      </c>
      <c r="C186" s="417" t="s">
        <v>199</v>
      </c>
      <c r="D186" s="360" t="s">
        <v>860</v>
      </c>
      <c r="E186" s="368" t="s">
        <v>869</v>
      </c>
      <c r="F186" s="369" t="s">
        <v>870</v>
      </c>
      <c r="G186" s="454" t="s">
        <v>956</v>
      </c>
      <c r="H186" s="8"/>
      <c r="I186" s="8"/>
      <c r="J186" s="8"/>
      <c r="K186" s="8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>
        <f t="shared" si="1"/>
        <v>187</v>
      </c>
      <c r="B187" s="383" t="s">
        <v>884</v>
      </c>
      <c r="C187" s="417" t="s">
        <v>199</v>
      </c>
      <c r="D187" s="371" t="s">
        <v>872</v>
      </c>
      <c r="E187" s="372" t="s">
        <v>873</v>
      </c>
      <c r="F187" s="373" t="s">
        <v>874</v>
      </c>
      <c r="G187" s="455" t="s">
        <v>957</v>
      </c>
      <c r="H187" s="8"/>
      <c r="I187" s="8"/>
      <c r="J187" s="8"/>
      <c r="K187" s="8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>
        <f t="shared" si="1"/>
        <v>188</v>
      </c>
      <c r="B188" s="383" t="s">
        <v>884</v>
      </c>
      <c r="C188" s="417" t="s">
        <v>199</v>
      </c>
      <c r="D188" s="375" t="s">
        <v>876</v>
      </c>
      <c r="E188" s="376" t="s">
        <v>877</v>
      </c>
      <c r="F188" s="456" t="s">
        <v>958</v>
      </c>
      <c r="G188" s="8"/>
      <c r="H188" s="8"/>
      <c r="I188" s="8"/>
      <c r="J188" s="8"/>
      <c r="K188" s="8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>
        <f t="shared" si="1"/>
        <v>189</v>
      </c>
      <c r="B189" s="383" t="s">
        <v>884</v>
      </c>
      <c r="C189" s="417" t="s">
        <v>199</v>
      </c>
      <c r="D189" s="378" t="s">
        <v>879</v>
      </c>
      <c r="E189" s="379" t="s">
        <v>880</v>
      </c>
      <c r="F189" s="457" t="s">
        <v>959</v>
      </c>
      <c r="G189" s="8"/>
      <c r="H189" s="8"/>
      <c r="I189" s="8"/>
      <c r="J189" s="8"/>
      <c r="K189" s="8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>
        <f t="shared" si="1"/>
        <v>190</v>
      </c>
      <c r="B190" s="383" t="s">
        <v>884</v>
      </c>
      <c r="C190" s="417" t="s">
        <v>199</v>
      </c>
      <c r="D190" s="361" t="s">
        <v>861</v>
      </c>
      <c r="E190" s="380" t="s">
        <v>881</v>
      </c>
      <c r="F190" s="381" t="s">
        <v>882</v>
      </c>
      <c r="G190" s="458" t="s">
        <v>960</v>
      </c>
      <c r="H190" s="8"/>
      <c r="I190" s="8"/>
      <c r="J190" s="8"/>
      <c r="K190" s="8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>
        <f t="shared" si="1"/>
        <v>191</v>
      </c>
      <c r="B191" s="383" t="s">
        <v>884</v>
      </c>
      <c r="C191" s="417" t="s">
        <v>199</v>
      </c>
      <c r="D191" s="8" t="s">
        <v>62</v>
      </c>
      <c r="E191" s="383" t="s">
        <v>884</v>
      </c>
      <c r="F191" s="459" t="s">
        <v>961</v>
      </c>
      <c r="G191" s="8"/>
      <c r="H191" s="8"/>
      <c r="I191" s="8"/>
      <c r="J191" s="8"/>
      <c r="K191" s="8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>
        <f t="shared" si="1"/>
        <v>192</v>
      </c>
      <c r="B192" s="383" t="s">
        <v>884</v>
      </c>
      <c r="C192" s="417" t="s">
        <v>199</v>
      </c>
      <c r="D192" s="8" t="s">
        <v>885</v>
      </c>
      <c r="E192" s="384" t="s">
        <v>886</v>
      </c>
      <c r="F192" s="457" t="s">
        <v>959</v>
      </c>
      <c r="G192" s="8"/>
      <c r="H192" s="8"/>
      <c r="I192" s="8"/>
      <c r="J192" s="8"/>
      <c r="K192" s="8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>
        <f t="shared" si="1"/>
        <v>193</v>
      </c>
      <c r="B193" s="454" t="s">
        <v>956</v>
      </c>
      <c r="C193" s="417" t="s">
        <v>199</v>
      </c>
      <c r="D193" s="8" t="s">
        <v>64</v>
      </c>
      <c r="E193" s="368" t="s">
        <v>869</v>
      </c>
      <c r="F193" s="369" t="s">
        <v>870</v>
      </c>
      <c r="G193" s="370" t="s">
        <v>871</v>
      </c>
      <c r="H193" s="8"/>
      <c r="I193" s="8"/>
      <c r="J193" s="8"/>
      <c r="K193" s="8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>
        <f t="shared" si="1"/>
        <v>194</v>
      </c>
      <c r="B194" s="454" t="s">
        <v>956</v>
      </c>
      <c r="C194" s="417" t="s">
        <v>199</v>
      </c>
      <c r="D194" s="417" t="s">
        <v>934</v>
      </c>
      <c r="E194" s="431" t="s">
        <v>935</v>
      </c>
      <c r="F194" s="379" t="s">
        <v>880</v>
      </c>
      <c r="G194" s="457" t="s">
        <v>959</v>
      </c>
      <c r="H194" s="8"/>
      <c r="I194" s="8"/>
      <c r="J194" s="8"/>
      <c r="K194" s="8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>
        <f t="shared" si="1"/>
        <v>195</v>
      </c>
      <c r="B195" s="454" t="s">
        <v>956</v>
      </c>
      <c r="C195" s="417" t="s">
        <v>199</v>
      </c>
      <c r="D195" s="8" t="s">
        <v>163</v>
      </c>
      <c r="E195" s="431" t="s">
        <v>935</v>
      </c>
      <c r="F195" s="379" t="s">
        <v>880</v>
      </c>
      <c r="G195" s="457" t="s">
        <v>959</v>
      </c>
      <c r="H195" s="8"/>
      <c r="I195" s="8"/>
      <c r="J195" s="8"/>
      <c r="K195" s="8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>
        <f t="shared" si="1"/>
        <v>196</v>
      </c>
      <c r="B196" s="454" t="s">
        <v>956</v>
      </c>
      <c r="C196" s="417" t="s">
        <v>199</v>
      </c>
      <c r="D196" s="8" t="s">
        <v>167</v>
      </c>
      <c r="E196" s="431" t="s">
        <v>935</v>
      </c>
      <c r="F196" s="379" t="s">
        <v>880</v>
      </c>
      <c r="G196" s="457" t="s">
        <v>959</v>
      </c>
      <c r="H196" s="8"/>
      <c r="I196" s="8"/>
      <c r="J196" s="8"/>
      <c r="K196" s="8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>
        <f t="shared" si="1"/>
        <v>197</v>
      </c>
      <c r="B197" s="454" t="s">
        <v>956</v>
      </c>
      <c r="C197" s="417" t="s">
        <v>199</v>
      </c>
      <c r="D197" s="8" t="s">
        <v>166</v>
      </c>
      <c r="E197" s="431" t="s">
        <v>935</v>
      </c>
      <c r="F197" s="379" t="s">
        <v>880</v>
      </c>
      <c r="G197" s="457" t="s">
        <v>959</v>
      </c>
      <c r="H197" s="8"/>
      <c r="I197" s="8"/>
      <c r="J197" s="8"/>
      <c r="K197" s="8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>
        <f t="shared" si="1"/>
        <v>198</v>
      </c>
      <c r="B198" s="454" t="s">
        <v>956</v>
      </c>
      <c r="C198" s="417" t="s">
        <v>199</v>
      </c>
      <c r="D198" s="8" t="s">
        <v>165</v>
      </c>
      <c r="E198" s="431" t="s">
        <v>935</v>
      </c>
      <c r="F198" s="379" t="s">
        <v>880</v>
      </c>
      <c r="G198" s="457" t="s">
        <v>959</v>
      </c>
      <c r="H198" s="8"/>
      <c r="I198" s="8"/>
      <c r="J198" s="8"/>
      <c r="K198" s="8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>
        <f t="shared" si="1"/>
        <v>199</v>
      </c>
      <c r="B199" s="454" t="s">
        <v>956</v>
      </c>
      <c r="C199" s="417" t="s">
        <v>199</v>
      </c>
      <c r="D199" s="8" t="s">
        <v>164</v>
      </c>
      <c r="E199" s="431" t="s">
        <v>935</v>
      </c>
      <c r="F199" s="379" t="s">
        <v>880</v>
      </c>
      <c r="G199" s="457" t="s">
        <v>959</v>
      </c>
      <c r="H199" s="8"/>
      <c r="I199" s="8"/>
      <c r="J199" s="8"/>
      <c r="K199" s="8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>
        <f t="shared" si="1"/>
        <v>200</v>
      </c>
      <c r="B200" s="455" t="s">
        <v>957</v>
      </c>
      <c r="C200" s="417" t="s">
        <v>199</v>
      </c>
      <c r="D200" s="8" t="s">
        <v>64</v>
      </c>
      <c r="E200" s="372" t="s">
        <v>873</v>
      </c>
      <c r="F200" s="373" t="s">
        <v>874</v>
      </c>
      <c r="G200" s="374" t="s">
        <v>875</v>
      </c>
      <c r="H200" s="8"/>
      <c r="I200" s="8"/>
      <c r="J200" s="8"/>
      <c r="K200" s="8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>
        <f t="shared" si="1"/>
        <v>201</v>
      </c>
      <c r="B201" s="455" t="s">
        <v>957</v>
      </c>
      <c r="C201" s="417" t="s">
        <v>199</v>
      </c>
      <c r="D201" s="417" t="s">
        <v>934</v>
      </c>
      <c r="E201" s="443" t="s">
        <v>947</v>
      </c>
      <c r="F201" s="379" t="s">
        <v>880</v>
      </c>
      <c r="G201" s="457" t="s">
        <v>959</v>
      </c>
      <c r="H201" s="8"/>
      <c r="I201" s="8"/>
      <c r="J201" s="8"/>
      <c r="K201" s="8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>
        <f t="shared" si="1"/>
        <v>202</v>
      </c>
      <c r="B202" s="455" t="s">
        <v>957</v>
      </c>
      <c r="C202" s="417" t="s">
        <v>199</v>
      </c>
      <c r="D202" s="8" t="s">
        <v>163</v>
      </c>
      <c r="E202" s="443" t="s">
        <v>947</v>
      </c>
      <c r="F202" s="379" t="s">
        <v>880</v>
      </c>
      <c r="G202" s="457" t="s">
        <v>959</v>
      </c>
      <c r="H202" s="8"/>
      <c r="I202" s="8"/>
      <c r="J202" s="8"/>
      <c r="K202" s="8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>
        <f t="shared" si="1"/>
        <v>203</v>
      </c>
      <c r="B203" s="455" t="s">
        <v>957</v>
      </c>
      <c r="C203" s="417" t="s">
        <v>199</v>
      </c>
      <c r="D203" s="8" t="s">
        <v>167</v>
      </c>
      <c r="E203" s="443" t="s">
        <v>947</v>
      </c>
      <c r="F203" s="379" t="s">
        <v>880</v>
      </c>
      <c r="G203" s="457" t="s">
        <v>959</v>
      </c>
      <c r="H203" s="8"/>
      <c r="I203" s="8"/>
      <c r="J203" s="8"/>
      <c r="K203" s="8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>
        <f t="shared" si="1"/>
        <v>204</v>
      </c>
      <c r="B204" s="455" t="s">
        <v>957</v>
      </c>
      <c r="C204" s="417" t="s">
        <v>199</v>
      </c>
      <c r="D204" s="8" t="s">
        <v>166</v>
      </c>
      <c r="E204" s="443" t="s">
        <v>947</v>
      </c>
      <c r="F204" s="379" t="s">
        <v>880</v>
      </c>
      <c r="G204" s="457" t="s">
        <v>959</v>
      </c>
      <c r="H204" s="8"/>
      <c r="I204" s="8"/>
      <c r="J204" s="8"/>
      <c r="K204" s="8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>
        <f t="shared" si="1"/>
        <v>205</v>
      </c>
      <c r="B205" s="455" t="s">
        <v>957</v>
      </c>
      <c r="C205" s="417" t="s">
        <v>199</v>
      </c>
      <c r="D205" s="8" t="s">
        <v>165</v>
      </c>
      <c r="E205" s="443" t="s">
        <v>947</v>
      </c>
      <c r="F205" s="379" t="s">
        <v>880</v>
      </c>
      <c r="G205" s="457" t="s">
        <v>959</v>
      </c>
      <c r="H205" s="8"/>
      <c r="I205" s="8"/>
      <c r="J205" s="8"/>
      <c r="K205" s="8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>
        <f t="shared" si="1"/>
        <v>206</v>
      </c>
      <c r="B206" s="455" t="s">
        <v>957</v>
      </c>
      <c r="C206" s="417" t="s">
        <v>199</v>
      </c>
      <c r="D206" s="428" t="s">
        <v>164</v>
      </c>
      <c r="E206" s="443" t="s">
        <v>947</v>
      </c>
      <c r="F206" s="379" t="s">
        <v>880</v>
      </c>
      <c r="G206" s="457" t="s">
        <v>959</v>
      </c>
      <c r="H206" s="8"/>
      <c r="I206" s="8"/>
      <c r="J206" s="8"/>
      <c r="K206" s="8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>
        <f t="shared" si="1"/>
        <v>207</v>
      </c>
      <c r="B207" s="456" t="s">
        <v>958</v>
      </c>
      <c r="C207" s="417" t="s">
        <v>199</v>
      </c>
      <c r="D207" s="8" t="s">
        <v>64</v>
      </c>
      <c r="E207" s="376" t="s">
        <v>877</v>
      </c>
      <c r="F207" s="377" t="s">
        <v>878</v>
      </c>
      <c r="G207" s="8"/>
      <c r="H207" s="8"/>
      <c r="I207" s="8"/>
      <c r="J207" s="8"/>
      <c r="K207" s="8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>
        <f t="shared" si="1"/>
        <v>208</v>
      </c>
      <c r="B208" s="456" t="s">
        <v>958</v>
      </c>
      <c r="C208" s="417" t="s">
        <v>199</v>
      </c>
      <c r="D208" s="417" t="s">
        <v>934</v>
      </c>
      <c r="E208" s="448" t="s">
        <v>952</v>
      </c>
      <c r="F208" s="379" t="s">
        <v>880</v>
      </c>
      <c r="G208" s="457" t="s">
        <v>959</v>
      </c>
      <c r="H208" s="8"/>
      <c r="I208" s="8"/>
      <c r="J208" s="8"/>
      <c r="K208" s="8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7">
        <v>210.0</v>
      </c>
      <c r="B209" s="460" t="s">
        <v>958</v>
      </c>
      <c r="C209" s="417" t="s">
        <v>199</v>
      </c>
      <c r="D209" s="21" t="s">
        <v>167</v>
      </c>
      <c r="E209" s="450" t="s">
        <v>952</v>
      </c>
      <c r="F209" s="379" t="s">
        <v>880</v>
      </c>
      <c r="G209" s="457" t="s">
        <v>959</v>
      </c>
      <c r="H209" s="8"/>
      <c r="I209" s="8"/>
      <c r="J209" s="8"/>
      <c r="K209" s="8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7">
        <v>211.0</v>
      </c>
      <c r="B210" s="460" t="s">
        <v>958</v>
      </c>
      <c r="C210" s="417" t="s">
        <v>199</v>
      </c>
      <c r="D210" s="21" t="s">
        <v>166</v>
      </c>
      <c r="E210" s="450" t="s">
        <v>952</v>
      </c>
      <c r="F210" s="379" t="s">
        <v>880</v>
      </c>
      <c r="G210" s="457" t="s">
        <v>959</v>
      </c>
      <c r="H210" s="8"/>
      <c r="I210" s="8"/>
      <c r="J210" s="8"/>
      <c r="K210" s="8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7">
        <v>212.0</v>
      </c>
      <c r="B211" s="460" t="s">
        <v>958</v>
      </c>
      <c r="C211" s="417" t="s">
        <v>199</v>
      </c>
      <c r="D211" s="21" t="s">
        <v>165</v>
      </c>
      <c r="E211" s="450" t="s">
        <v>952</v>
      </c>
      <c r="F211" s="379" t="s">
        <v>880</v>
      </c>
      <c r="G211" s="457" t="s">
        <v>959</v>
      </c>
      <c r="H211" s="8"/>
      <c r="I211" s="8"/>
      <c r="J211" s="8"/>
      <c r="K211" s="8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7">
        <v>213.0</v>
      </c>
      <c r="B212" s="460" t="s">
        <v>958</v>
      </c>
      <c r="C212" s="417" t="s">
        <v>199</v>
      </c>
      <c r="D212" s="21" t="s">
        <v>164</v>
      </c>
      <c r="E212" s="450" t="s">
        <v>952</v>
      </c>
      <c r="F212" s="379" t="s">
        <v>880</v>
      </c>
      <c r="G212" s="457" t="s">
        <v>959</v>
      </c>
      <c r="H212" s="8"/>
      <c r="I212" s="8"/>
      <c r="J212" s="8"/>
      <c r="K212" s="8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>
        <f t="shared" ref="A213:A489" si="7">ROW()</f>
        <v>213</v>
      </c>
      <c r="B213" s="456" t="s">
        <v>958</v>
      </c>
      <c r="C213" s="417" t="s">
        <v>199</v>
      </c>
      <c r="D213" s="8" t="s">
        <v>163</v>
      </c>
      <c r="E213" s="448" t="s">
        <v>952</v>
      </c>
      <c r="F213" s="379" t="s">
        <v>880</v>
      </c>
      <c r="G213" s="457" t="s">
        <v>959</v>
      </c>
      <c r="H213" s="8"/>
      <c r="I213" s="8"/>
      <c r="J213" s="8"/>
      <c r="K213" s="8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>
        <f t="shared" si="7"/>
        <v>214</v>
      </c>
      <c r="B214" s="458" t="s">
        <v>960</v>
      </c>
      <c r="C214" s="417" t="s">
        <v>199</v>
      </c>
      <c r="D214" s="8" t="s">
        <v>64</v>
      </c>
      <c r="E214" s="380" t="s">
        <v>881</v>
      </c>
      <c r="F214" s="381" t="s">
        <v>882</v>
      </c>
      <c r="G214" s="382" t="s">
        <v>883</v>
      </c>
      <c r="H214" s="8"/>
      <c r="I214" s="8"/>
      <c r="J214" s="8"/>
      <c r="K214" s="8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>
        <f t="shared" si="7"/>
        <v>215</v>
      </c>
      <c r="B215" s="458" t="s">
        <v>960</v>
      </c>
      <c r="C215" s="417" t="s">
        <v>199</v>
      </c>
      <c r="D215" s="417" t="s">
        <v>934</v>
      </c>
      <c r="E215" s="453" t="s">
        <v>955</v>
      </c>
      <c r="F215" s="379" t="s">
        <v>880</v>
      </c>
      <c r="G215" s="457" t="s">
        <v>959</v>
      </c>
      <c r="H215" s="8"/>
      <c r="I215" s="8"/>
      <c r="J215" s="8"/>
      <c r="K215" s="8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>
        <f t="shared" si="7"/>
        <v>216</v>
      </c>
      <c r="B216" s="458" t="s">
        <v>960</v>
      </c>
      <c r="C216" s="417" t="s">
        <v>199</v>
      </c>
      <c r="D216" s="8" t="s">
        <v>163</v>
      </c>
      <c r="E216" s="453" t="s">
        <v>955</v>
      </c>
      <c r="F216" s="379" t="s">
        <v>880</v>
      </c>
      <c r="G216" s="457" t="s">
        <v>959</v>
      </c>
      <c r="H216" s="8"/>
      <c r="I216" s="8"/>
      <c r="J216" s="8"/>
      <c r="K216" s="8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>
        <f t="shared" si="7"/>
        <v>217</v>
      </c>
      <c r="B217" s="458" t="s">
        <v>960</v>
      </c>
      <c r="C217" s="417" t="s">
        <v>199</v>
      </c>
      <c r="D217" s="8" t="s">
        <v>167</v>
      </c>
      <c r="E217" s="453" t="s">
        <v>955</v>
      </c>
      <c r="F217" s="379" t="s">
        <v>880</v>
      </c>
      <c r="G217" s="457" t="s">
        <v>959</v>
      </c>
      <c r="H217" s="8"/>
      <c r="I217" s="8"/>
      <c r="J217" s="8"/>
      <c r="K217" s="8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>
        <f t="shared" si="7"/>
        <v>218</v>
      </c>
      <c r="B218" s="458" t="s">
        <v>960</v>
      </c>
      <c r="C218" s="417" t="s">
        <v>199</v>
      </c>
      <c r="D218" s="8" t="s">
        <v>166</v>
      </c>
      <c r="E218" s="453" t="s">
        <v>955</v>
      </c>
      <c r="F218" s="379" t="s">
        <v>880</v>
      </c>
      <c r="G218" s="457" t="s">
        <v>959</v>
      </c>
      <c r="H218" s="8"/>
      <c r="I218" s="8"/>
      <c r="J218" s="8"/>
      <c r="K218" s="8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>
        <f t="shared" si="7"/>
        <v>219</v>
      </c>
      <c r="B219" s="458" t="s">
        <v>960</v>
      </c>
      <c r="C219" s="417" t="s">
        <v>199</v>
      </c>
      <c r="D219" s="8" t="s">
        <v>165</v>
      </c>
      <c r="E219" s="453" t="s">
        <v>955</v>
      </c>
      <c r="F219" s="379" t="s">
        <v>880</v>
      </c>
      <c r="G219" s="457" t="s">
        <v>959</v>
      </c>
      <c r="H219" s="8"/>
      <c r="I219" s="8"/>
      <c r="J219" s="8"/>
      <c r="K219" s="8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>
        <f t="shared" si="7"/>
        <v>220</v>
      </c>
      <c r="B220" s="458" t="s">
        <v>960</v>
      </c>
      <c r="C220" s="417" t="s">
        <v>199</v>
      </c>
      <c r="D220" s="8" t="s">
        <v>164</v>
      </c>
      <c r="E220" s="453" t="s">
        <v>955</v>
      </c>
      <c r="F220" s="379" t="s">
        <v>880</v>
      </c>
      <c r="G220" s="457" t="s">
        <v>959</v>
      </c>
      <c r="H220" s="8"/>
      <c r="I220" s="8"/>
      <c r="J220" s="8"/>
      <c r="K220" s="8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>
        <f t="shared" si="7"/>
        <v>221</v>
      </c>
      <c r="B221" s="457" t="s">
        <v>959</v>
      </c>
      <c r="C221" s="417" t="s">
        <v>199</v>
      </c>
      <c r="D221" s="428" t="s">
        <v>64</v>
      </c>
      <c r="E221" s="379" t="s">
        <v>880</v>
      </c>
      <c r="F221" s="8"/>
      <c r="G221" s="8"/>
      <c r="H221" s="8"/>
      <c r="I221" s="8"/>
      <c r="J221" s="8"/>
      <c r="K221" s="8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>
        <f t="shared" si="7"/>
        <v>222</v>
      </c>
      <c r="B222" s="459" t="s">
        <v>961</v>
      </c>
      <c r="C222" s="417" t="s">
        <v>199</v>
      </c>
      <c r="D222" s="8" t="s">
        <v>64</v>
      </c>
      <c r="E222" s="380" t="s">
        <v>881</v>
      </c>
      <c r="F222" s="381" t="s">
        <v>882</v>
      </c>
      <c r="G222" s="382" t="s">
        <v>883</v>
      </c>
      <c r="H222" s="8"/>
      <c r="I222" s="8"/>
      <c r="J222" s="8"/>
      <c r="K222" s="8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>
        <f t="shared" si="7"/>
        <v>223</v>
      </c>
      <c r="B223" s="368" t="s">
        <v>869</v>
      </c>
      <c r="C223" s="417" t="s">
        <v>199</v>
      </c>
      <c r="D223" s="8" t="s">
        <v>887</v>
      </c>
      <c r="E223" s="385" t="s">
        <v>888</v>
      </c>
      <c r="F223" s="368" t="s">
        <v>869</v>
      </c>
      <c r="G223" s="8"/>
      <c r="H223" s="8"/>
      <c r="I223" s="8"/>
      <c r="J223" s="8"/>
      <c r="K223" s="8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>
        <f t="shared" si="7"/>
        <v>224</v>
      </c>
      <c r="B224" s="368" t="s">
        <v>869</v>
      </c>
      <c r="C224" s="417" t="s">
        <v>199</v>
      </c>
      <c r="D224" s="8" t="s">
        <v>120</v>
      </c>
      <c r="E224" s="385" t="s">
        <v>888</v>
      </c>
      <c r="F224" s="368" t="s">
        <v>869</v>
      </c>
      <c r="G224" s="8"/>
      <c r="H224" s="8"/>
      <c r="I224" s="8"/>
      <c r="J224" s="8"/>
      <c r="K224" s="8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>
        <f t="shared" si="7"/>
        <v>225</v>
      </c>
      <c r="B225" s="368" t="s">
        <v>869</v>
      </c>
      <c r="C225" s="417" t="s">
        <v>199</v>
      </c>
      <c r="D225" s="8" t="s">
        <v>121</v>
      </c>
      <c r="E225" s="385" t="s">
        <v>888</v>
      </c>
      <c r="F225" s="368" t="s">
        <v>869</v>
      </c>
      <c r="G225" s="8"/>
      <c r="H225" s="8"/>
      <c r="I225" s="8"/>
      <c r="J225" s="8"/>
      <c r="K225" s="8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>
        <f t="shared" si="7"/>
        <v>226</v>
      </c>
      <c r="B226" s="368" t="s">
        <v>869</v>
      </c>
      <c r="C226" s="417" t="s">
        <v>199</v>
      </c>
      <c r="D226" s="8" t="s">
        <v>8</v>
      </c>
      <c r="E226" s="8"/>
      <c r="F226" s="8"/>
      <c r="G226" s="8"/>
      <c r="H226" s="8"/>
      <c r="I226" s="8"/>
      <c r="J226" s="8"/>
      <c r="K226" s="8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>
        <f t="shared" si="7"/>
        <v>227</v>
      </c>
      <c r="B227" s="369" t="s">
        <v>870</v>
      </c>
      <c r="C227" s="417" t="s">
        <v>199</v>
      </c>
      <c r="D227" s="417" t="s">
        <v>924</v>
      </c>
      <c r="E227" s="427" t="s">
        <v>933</v>
      </c>
      <c r="F227" s="369" t="s">
        <v>870</v>
      </c>
      <c r="G227" s="8"/>
      <c r="H227" s="8"/>
      <c r="I227" s="8"/>
      <c r="J227" s="8"/>
      <c r="K227" s="8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>
        <f t="shared" si="7"/>
        <v>228</v>
      </c>
      <c r="B228" s="369" t="s">
        <v>870</v>
      </c>
      <c r="C228" s="417" t="s">
        <v>199</v>
      </c>
      <c r="D228" s="8" t="s">
        <v>41</v>
      </c>
      <c r="E228" s="427" t="s">
        <v>933</v>
      </c>
      <c r="F228" s="369" t="s">
        <v>870</v>
      </c>
      <c r="G228" s="8"/>
      <c r="H228" s="8"/>
      <c r="I228" s="8"/>
      <c r="J228" s="8"/>
      <c r="K228" s="8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>
        <f t="shared" si="7"/>
        <v>229</v>
      </c>
      <c r="B229" s="369" t="s">
        <v>870</v>
      </c>
      <c r="C229" s="417" t="s">
        <v>199</v>
      </c>
      <c r="D229" s="428" t="s">
        <v>8</v>
      </c>
      <c r="E229" s="8"/>
      <c r="F229" s="8"/>
      <c r="G229" s="8"/>
      <c r="H229" s="8"/>
      <c r="I229" s="8"/>
      <c r="J229" s="8"/>
      <c r="K229" s="8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>
        <f t="shared" si="7"/>
        <v>230</v>
      </c>
      <c r="B230" s="385" t="s">
        <v>888</v>
      </c>
      <c r="C230" s="417" t="s">
        <v>199</v>
      </c>
      <c r="D230" s="360" t="s">
        <v>860</v>
      </c>
      <c r="E230" s="8"/>
      <c r="F230" s="8"/>
      <c r="G230" s="8"/>
      <c r="H230" s="8"/>
      <c r="I230" s="8"/>
      <c r="J230" s="8"/>
      <c r="K230" s="8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>
        <f t="shared" si="7"/>
        <v>231</v>
      </c>
      <c r="B231" s="385" t="s">
        <v>888</v>
      </c>
      <c r="C231" s="417" t="s">
        <v>199</v>
      </c>
      <c r="D231" s="361" t="s">
        <v>861</v>
      </c>
      <c r="E231" s="8"/>
      <c r="F231" s="8"/>
      <c r="G231" s="8"/>
      <c r="H231" s="8"/>
      <c r="I231" s="8"/>
      <c r="J231" s="8"/>
      <c r="K231" s="8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>
        <f t="shared" si="7"/>
        <v>232</v>
      </c>
      <c r="B232" s="385" t="s">
        <v>888</v>
      </c>
      <c r="C232" s="417" t="s">
        <v>199</v>
      </c>
      <c r="D232" s="8" t="s">
        <v>62</v>
      </c>
      <c r="E232" s="386" t="s">
        <v>889</v>
      </c>
      <c r="F232" s="8"/>
      <c r="G232" s="8"/>
      <c r="H232" s="8"/>
      <c r="I232" s="8"/>
      <c r="J232" s="8"/>
      <c r="K232" s="8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>
        <f t="shared" si="7"/>
        <v>233</v>
      </c>
      <c r="B233" s="386" t="s">
        <v>889</v>
      </c>
      <c r="C233" s="417" t="s">
        <v>199</v>
      </c>
      <c r="D233" s="360" t="s">
        <v>860</v>
      </c>
      <c r="E233" s="368" t="s">
        <v>869</v>
      </c>
      <c r="F233" s="369" t="s">
        <v>870</v>
      </c>
      <c r="G233" s="425" t="s">
        <v>931</v>
      </c>
      <c r="H233" s="8"/>
      <c r="I233" s="8"/>
      <c r="J233" s="8"/>
      <c r="K233" s="8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>
        <f t="shared" si="7"/>
        <v>234</v>
      </c>
      <c r="B234" s="386" t="s">
        <v>889</v>
      </c>
      <c r="C234" s="417" t="s">
        <v>199</v>
      </c>
      <c r="D234" s="361" t="s">
        <v>861</v>
      </c>
      <c r="E234" s="368" t="s">
        <v>869</v>
      </c>
      <c r="F234" s="369" t="s">
        <v>870</v>
      </c>
      <c r="G234" s="425" t="s">
        <v>931</v>
      </c>
      <c r="H234" s="8"/>
      <c r="I234" s="8"/>
      <c r="J234" s="8"/>
      <c r="K234" s="8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>
        <f t="shared" si="7"/>
        <v>235</v>
      </c>
      <c r="B235" s="386" t="s">
        <v>889</v>
      </c>
      <c r="C235" s="417" t="s">
        <v>199</v>
      </c>
      <c r="D235" s="8" t="s">
        <v>62</v>
      </c>
      <c r="E235" s="386" t="s">
        <v>889</v>
      </c>
      <c r="F235" s="426" t="s">
        <v>932</v>
      </c>
      <c r="G235" s="8"/>
      <c r="H235" s="8"/>
      <c r="I235" s="8"/>
      <c r="J235" s="8"/>
      <c r="K235" s="8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>
        <f t="shared" si="7"/>
        <v>236</v>
      </c>
      <c r="B236" s="425" t="s">
        <v>931</v>
      </c>
      <c r="C236" s="417" t="s">
        <v>199</v>
      </c>
      <c r="D236" s="8" t="s">
        <v>64</v>
      </c>
      <c r="E236" s="8"/>
      <c r="F236" s="8"/>
      <c r="G236" s="8"/>
      <c r="H236" s="8"/>
      <c r="I236" s="8"/>
      <c r="J236" s="8"/>
      <c r="K236" s="8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>
        <f t="shared" si="7"/>
        <v>237</v>
      </c>
      <c r="B237" s="426" t="s">
        <v>932</v>
      </c>
      <c r="C237" s="417" t="s">
        <v>199</v>
      </c>
      <c r="D237" s="8" t="s">
        <v>64</v>
      </c>
      <c r="E237" s="8"/>
      <c r="F237" s="8"/>
      <c r="G237" s="8"/>
      <c r="H237" s="8"/>
      <c r="I237" s="8"/>
      <c r="J237" s="8"/>
      <c r="K237" s="8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>
        <f t="shared" si="7"/>
        <v>238</v>
      </c>
      <c r="B238" s="427" t="s">
        <v>933</v>
      </c>
      <c r="C238" s="417" t="s">
        <v>199</v>
      </c>
      <c r="D238" s="385" t="s">
        <v>888</v>
      </c>
      <c r="E238" s="429" t="s">
        <v>869</v>
      </c>
      <c r="F238" s="8"/>
      <c r="G238" s="8"/>
      <c r="H238" s="8"/>
      <c r="I238" s="8"/>
      <c r="J238" s="8"/>
      <c r="K238" s="8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>
        <f t="shared" si="7"/>
        <v>239</v>
      </c>
      <c r="B239" s="431" t="s">
        <v>935</v>
      </c>
      <c r="C239" s="417" t="s">
        <v>199</v>
      </c>
      <c r="D239" s="427" t="s">
        <v>933</v>
      </c>
      <c r="E239" s="432" t="s">
        <v>870</v>
      </c>
      <c r="F239" s="8"/>
      <c r="G239" s="8"/>
      <c r="H239" s="8"/>
      <c r="I239" s="8"/>
      <c r="J239" s="8"/>
      <c r="K239" s="8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>
        <f t="shared" si="7"/>
        <v>240</v>
      </c>
      <c r="B240" s="370" t="s">
        <v>871</v>
      </c>
      <c r="C240" s="417" t="s">
        <v>199</v>
      </c>
      <c r="D240" s="417" t="s">
        <v>934</v>
      </c>
      <c r="E240" s="430" t="s">
        <v>935</v>
      </c>
      <c r="F240" s="379" t="s">
        <v>880</v>
      </c>
      <c r="G240" s="8"/>
      <c r="H240" s="8"/>
      <c r="I240" s="8"/>
      <c r="J240" s="8"/>
      <c r="K240" s="8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>
        <f t="shared" si="7"/>
        <v>241</v>
      </c>
      <c r="B241" s="370" t="s">
        <v>871</v>
      </c>
      <c r="C241" s="417" t="s">
        <v>199</v>
      </c>
      <c r="D241" s="8" t="s">
        <v>163</v>
      </c>
      <c r="E241" s="430" t="s">
        <v>935</v>
      </c>
      <c r="F241" s="379" t="s">
        <v>880</v>
      </c>
      <c r="G241" s="8"/>
      <c r="H241" s="8"/>
      <c r="I241" s="8"/>
      <c r="J241" s="8"/>
      <c r="K241" s="8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>
        <f t="shared" si="7"/>
        <v>242</v>
      </c>
      <c r="B242" s="370" t="s">
        <v>871</v>
      </c>
      <c r="C242" s="417" t="s">
        <v>199</v>
      </c>
      <c r="D242" s="8" t="s">
        <v>167</v>
      </c>
      <c r="E242" s="430" t="s">
        <v>935</v>
      </c>
      <c r="F242" s="379" t="s">
        <v>880</v>
      </c>
      <c r="G242" s="8"/>
      <c r="H242" s="8"/>
      <c r="I242" s="8"/>
      <c r="J242" s="8"/>
      <c r="K242" s="8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>
        <f t="shared" si="7"/>
        <v>243</v>
      </c>
      <c r="B243" s="370" t="s">
        <v>871</v>
      </c>
      <c r="C243" s="417" t="s">
        <v>199</v>
      </c>
      <c r="D243" s="8" t="s">
        <v>166</v>
      </c>
      <c r="E243" s="430" t="s">
        <v>935</v>
      </c>
      <c r="F243" s="379" t="s">
        <v>880</v>
      </c>
      <c r="G243" s="8"/>
      <c r="H243" s="8"/>
      <c r="I243" s="8"/>
      <c r="J243" s="8"/>
      <c r="K243" s="8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>
        <f t="shared" si="7"/>
        <v>244</v>
      </c>
      <c r="B244" s="370" t="s">
        <v>871</v>
      </c>
      <c r="C244" s="417" t="s">
        <v>199</v>
      </c>
      <c r="D244" s="8" t="s">
        <v>165</v>
      </c>
      <c r="E244" s="430" t="s">
        <v>935</v>
      </c>
      <c r="F244" s="379" t="s">
        <v>880</v>
      </c>
      <c r="G244" s="8"/>
      <c r="H244" s="8"/>
      <c r="I244" s="8"/>
      <c r="J244" s="8"/>
      <c r="K244" s="8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>
        <f t="shared" si="7"/>
        <v>245</v>
      </c>
      <c r="B245" s="370" t="s">
        <v>871</v>
      </c>
      <c r="C245" s="417" t="s">
        <v>199</v>
      </c>
      <c r="D245" s="8" t="s">
        <v>164</v>
      </c>
      <c r="E245" s="430" t="s">
        <v>935</v>
      </c>
      <c r="F245" s="379" t="s">
        <v>880</v>
      </c>
      <c r="G245" s="8"/>
      <c r="H245" s="8"/>
      <c r="I245" s="8"/>
      <c r="J245" s="8"/>
      <c r="K245" s="8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>
        <f t="shared" si="7"/>
        <v>246</v>
      </c>
      <c r="B246" s="370" t="s">
        <v>871</v>
      </c>
      <c r="C246" s="417" t="s">
        <v>199</v>
      </c>
      <c r="D246" s="8" t="s">
        <v>8</v>
      </c>
      <c r="E246" s="428"/>
      <c r="F246" s="8"/>
      <c r="G246" s="8"/>
      <c r="H246" s="8"/>
      <c r="I246" s="8"/>
      <c r="J246" s="8"/>
      <c r="K246" s="8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>
        <f t="shared" si="7"/>
        <v>247</v>
      </c>
      <c r="B247" s="372" t="s">
        <v>873</v>
      </c>
      <c r="C247" s="417" t="s">
        <v>199</v>
      </c>
      <c r="D247" s="8" t="s">
        <v>887</v>
      </c>
      <c r="E247" s="437" t="s">
        <v>942</v>
      </c>
      <c r="F247" s="372" t="s">
        <v>873</v>
      </c>
      <c r="G247" s="8"/>
      <c r="H247" s="8"/>
      <c r="I247" s="8"/>
      <c r="J247" s="8"/>
      <c r="K247" s="8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>
        <f t="shared" si="7"/>
        <v>248</v>
      </c>
      <c r="B248" s="372" t="s">
        <v>873</v>
      </c>
      <c r="C248" s="417" t="s">
        <v>199</v>
      </c>
      <c r="D248" s="8" t="s">
        <v>120</v>
      </c>
      <c r="E248" s="437" t="s">
        <v>942</v>
      </c>
      <c r="F248" s="372" t="s">
        <v>873</v>
      </c>
      <c r="G248" s="8"/>
      <c r="H248" s="8"/>
      <c r="I248" s="8"/>
      <c r="J248" s="8"/>
      <c r="K248" s="8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>
        <f t="shared" si="7"/>
        <v>249</v>
      </c>
      <c r="B249" s="372" t="s">
        <v>873</v>
      </c>
      <c r="C249" s="417" t="s">
        <v>199</v>
      </c>
      <c r="D249" s="428" t="s">
        <v>8</v>
      </c>
      <c r="E249" s="8"/>
      <c r="F249" s="8"/>
      <c r="G249" s="8"/>
      <c r="H249" s="8"/>
      <c r="I249" s="8"/>
      <c r="J249" s="8"/>
      <c r="K249" s="8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>
        <f t="shared" si="7"/>
        <v>250</v>
      </c>
      <c r="B250" s="373" t="s">
        <v>874</v>
      </c>
      <c r="C250" s="417" t="s">
        <v>199</v>
      </c>
      <c r="D250" s="417" t="s">
        <v>924</v>
      </c>
      <c r="E250" s="442" t="s">
        <v>946</v>
      </c>
      <c r="F250" s="373" t="s">
        <v>874</v>
      </c>
      <c r="G250" s="8"/>
      <c r="H250" s="8"/>
      <c r="I250" s="8"/>
      <c r="J250" s="8"/>
      <c r="K250" s="8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>
        <f t="shared" si="7"/>
        <v>251</v>
      </c>
      <c r="B251" s="373" t="s">
        <v>874</v>
      </c>
      <c r="C251" s="417" t="s">
        <v>199</v>
      </c>
      <c r="D251" s="8" t="s">
        <v>41</v>
      </c>
      <c r="E251" s="442" t="s">
        <v>946</v>
      </c>
      <c r="F251" s="373" t="s">
        <v>874</v>
      </c>
      <c r="G251" s="8"/>
      <c r="H251" s="8"/>
      <c r="I251" s="8"/>
      <c r="J251" s="8"/>
      <c r="K251" s="8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>
        <f t="shared" si="7"/>
        <v>252</v>
      </c>
      <c r="B252" s="373" t="s">
        <v>874</v>
      </c>
      <c r="C252" s="417" t="s">
        <v>199</v>
      </c>
      <c r="D252" s="8" t="s">
        <v>8</v>
      </c>
      <c r="E252" s="8"/>
      <c r="F252" s="8"/>
      <c r="G252" s="8"/>
      <c r="H252" s="8"/>
      <c r="I252" s="8"/>
      <c r="J252" s="8"/>
      <c r="K252" s="8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>
        <f t="shared" si="7"/>
        <v>253</v>
      </c>
      <c r="B253" s="438" t="s">
        <v>942</v>
      </c>
      <c r="C253" s="417" t="s">
        <v>199</v>
      </c>
      <c r="D253" s="371" t="s">
        <v>872</v>
      </c>
      <c r="E253" s="8"/>
      <c r="F253" s="8"/>
      <c r="G253" s="8"/>
      <c r="H253" s="8"/>
      <c r="I253" s="8"/>
      <c r="J253" s="8"/>
      <c r="K253" s="8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>
        <f t="shared" si="7"/>
        <v>254</v>
      </c>
      <c r="B254" s="438" t="s">
        <v>942</v>
      </c>
      <c r="C254" s="417" t="s">
        <v>199</v>
      </c>
      <c r="D254" s="361" t="s">
        <v>861</v>
      </c>
      <c r="E254" s="8"/>
      <c r="F254" s="8"/>
      <c r="G254" s="8"/>
      <c r="H254" s="8"/>
      <c r="I254" s="8"/>
      <c r="J254" s="8"/>
      <c r="K254" s="8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>
        <f t="shared" si="7"/>
        <v>255</v>
      </c>
      <c r="B255" s="438" t="s">
        <v>942</v>
      </c>
      <c r="C255" s="417" t="s">
        <v>199</v>
      </c>
      <c r="D255" s="8" t="s">
        <v>62</v>
      </c>
      <c r="E255" s="439" t="s">
        <v>943</v>
      </c>
      <c r="F255" s="8"/>
      <c r="G255" s="8"/>
      <c r="H255" s="8"/>
      <c r="I255" s="8"/>
      <c r="J255" s="8"/>
      <c r="K255" s="8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>
        <f t="shared" si="7"/>
        <v>256</v>
      </c>
      <c r="B256" s="439" t="s">
        <v>943</v>
      </c>
      <c r="C256" s="417" t="s">
        <v>199</v>
      </c>
      <c r="D256" s="371" t="s">
        <v>872</v>
      </c>
      <c r="E256" s="372" t="s">
        <v>873</v>
      </c>
      <c r="F256" s="373" t="s">
        <v>874</v>
      </c>
      <c r="G256" s="440" t="s">
        <v>944</v>
      </c>
      <c r="H256" s="8"/>
      <c r="I256" s="8"/>
      <c r="J256" s="8"/>
      <c r="K256" s="8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>
        <f t="shared" si="7"/>
        <v>257</v>
      </c>
      <c r="B257" s="439" t="s">
        <v>943</v>
      </c>
      <c r="C257" s="417" t="s">
        <v>199</v>
      </c>
      <c r="D257" s="361" t="s">
        <v>861</v>
      </c>
      <c r="E257" s="372" t="s">
        <v>873</v>
      </c>
      <c r="F257" s="373" t="s">
        <v>874</v>
      </c>
      <c r="G257" s="440" t="s">
        <v>944</v>
      </c>
      <c r="H257" s="8"/>
      <c r="I257" s="8"/>
      <c r="J257" s="8"/>
      <c r="K257" s="8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>
        <f t="shared" si="7"/>
        <v>258</v>
      </c>
      <c r="B258" s="439" t="s">
        <v>943</v>
      </c>
      <c r="C258" s="417" t="s">
        <v>199</v>
      </c>
      <c r="D258" s="8" t="s">
        <v>62</v>
      </c>
      <c r="E258" s="439" t="s">
        <v>943</v>
      </c>
      <c r="F258" s="441" t="s">
        <v>945</v>
      </c>
      <c r="G258" s="8"/>
      <c r="H258" s="8"/>
      <c r="I258" s="8"/>
      <c r="J258" s="8"/>
      <c r="K258" s="8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>
        <f t="shared" si="7"/>
        <v>259</v>
      </c>
      <c r="B259" s="440" t="s">
        <v>944</v>
      </c>
      <c r="C259" s="417" t="s">
        <v>199</v>
      </c>
      <c r="D259" s="8" t="s">
        <v>64</v>
      </c>
      <c r="E259" s="8"/>
      <c r="F259" s="8"/>
      <c r="G259" s="8"/>
      <c r="H259" s="8"/>
      <c r="I259" s="8"/>
      <c r="J259" s="8"/>
      <c r="K259" s="8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>
        <f t="shared" si="7"/>
        <v>260</v>
      </c>
      <c r="B260" s="441" t="s">
        <v>945</v>
      </c>
      <c r="C260" s="417" t="s">
        <v>199</v>
      </c>
      <c r="D260" s="8" t="s">
        <v>64</v>
      </c>
      <c r="E260" s="8"/>
      <c r="F260" s="8"/>
      <c r="G260" s="8"/>
      <c r="H260" s="8"/>
      <c r="I260" s="8"/>
      <c r="J260" s="8"/>
      <c r="K260" s="8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>
        <f t="shared" si="7"/>
        <v>261</v>
      </c>
      <c r="B261" s="442" t="s">
        <v>946</v>
      </c>
      <c r="C261" s="417" t="s">
        <v>199</v>
      </c>
      <c r="D261" s="438" t="s">
        <v>942</v>
      </c>
      <c r="E261" s="372" t="s">
        <v>873</v>
      </c>
      <c r="F261" s="8"/>
      <c r="G261" s="8"/>
      <c r="H261" s="8"/>
      <c r="I261" s="8"/>
      <c r="J261" s="8"/>
      <c r="K261" s="8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>
        <f t="shared" si="7"/>
        <v>262</v>
      </c>
      <c r="B262" s="443" t="s">
        <v>947</v>
      </c>
      <c r="C262" s="417" t="s">
        <v>199</v>
      </c>
      <c r="D262" s="442" t="s">
        <v>946</v>
      </c>
      <c r="E262" s="373" t="s">
        <v>874</v>
      </c>
      <c r="F262" s="8"/>
      <c r="G262" s="8"/>
      <c r="H262" s="8"/>
      <c r="I262" s="8"/>
      <c r="J262" s="8"/>
      <c r="K262" s="8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>
        <f t="shared" si="7"/>
        <v>263</v>
      </c>
      <c r="B263" s="374" t="s">
        <v>875</v>
      </c>
      <c r="C263" s="417" t="s">
        <v>199</v>
      </c>
      <c r="D263" s="417" t="s">
        <v>934</v>
      </c>
      <c r="E263" s="443" t="s">
        <v>947</v>
      </c>
      <c r="F263" s="379" t="s">
        <v>880</v>
      </c>
      <c r="G263" s="8"/>
      <c r="H263" s="8"/>
      <c r="I263" s="8"/>
      <c r="J263" s="8"/>
      <c r="K263" s="8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>
        <f t="shared" si="7"/>
        <v>264</v>
      </c>
      <c r="B264" s="374" t="s">
        <v>875</v>
      </c>
      <c r="C264" s="417" t="s">
        <v>199</v>
      </c>
      <c r="D264" s="8" t="s">
        <v>163</v>
      </c>
      <c r="E264" s="443" t="s">
        <v>947</v>
      </c>
      <c r="F264" s="379" t="s">
        <v>880</v>
      </c>
      <c r="G264" s="8"/>
      <c r="H264" s="8"/>
      <c r="I264" s="8"/>
      <c r="J264" s="8"/>
      <c r="K264" s="8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>
        <f t="shared" si="7"/>
        <v>265</v>
      </c>
      <c r="B265" s="374" t="s">
        <v>875</v>
      </c>
      <c r="C265" s="417" t="s">
        <v>199</v>
      </c>
      <c r="D265" s="8" t="s">
        <v>167</v>
      </c>
      <c r="E265" s="443" t="s">
        <v>947</v>
      </c>
      <c r="F265" s="379" t="s">
        <v>880</v>
      </c>
      <c r="G265" s="8"/>
      <c r="H265" s="8"/>
      <c r="I265" s="8"/>
      <c r="J265" s="8"/>
      <c r="K265" s="8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>
        <f t="shared" si="7"/>
        <v>266</v>
      </c>
      <c r="B266" s="374" t="s">
        <v>875</v>
      </c>
      <c r="C266" s="417" t="s">
        <v>199</v>
      </c>
      <c r="D266" s="8" t="s">
        <v>166</v>
      </c>
      <c r="E266" s="443" t="s">
        <v>947</v>
      </c>
      <c r="F266" s="379" t="s">
        <v>880</v>
      </c>
      <c r="G266" s="8"/>
      <c r="H266" s="8"/>
      <c r="I266" s="8"/>
      <c r="J266" s="8"/>
      <c r="K266" s="8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>
        <f t="shared" si="7"/>
        <v>267</v>
      </c>
      <c r="B267" s="374" t="s">
        <v>875</v>
      </c>
      <c r="C267" s="417" t="s">
        <v>199</v>
      </c>
      <c r="D267" s="8" t="s">
        <v>165</v>
      </c>
      <c r="E267" s="443" t="s">
        <v>947</v>
      </c>
      <c r="F267" s="379" t="s">
        <v>880</v>
      </c>
      <c r="G267" s="8"/>
      <c r="H267" s="8"/>
      <c r="I267" s="8"/>
      <c r="J267" s="8"/>
      <c r="K267" s="8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>
        <f t="shared" si="7"/>
        <v>268</v>
      </c>
      <c r="B268" s="374" t="s">
        <v>875</v>
      </c>
      <c r="C268" s="417" t="s">
        <v>199</v>
      </c>
      <c r="D268" s="8" t="s">
        <v>164</v>
      </c>
      <c r="E268" s="443" t="s">
        <v>947</v>
      </c>
      <c r="F268" s="379" t="s">
        <v>880</v>
      </c>
      <c r="G268" s="8"/>
      <c r="H268" s="8"/>
      <c r="I268" s="8"/>
      <c r="J268" s="8"/>
      <c r="K268" s="8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>
        <f t="shared" si="7"/>
        <v>269</v>
      </c>
      <c r="B269" s="374" t="s">
        <v>875</v>
      </c>
      <c r="C269" s="417" t="s">
        <v>199</v>
      </c>
      <c r="D269" s="8" t="s">
        <v>8</v>
      </c>
      <c r="E269" s="8"/>
      <c r="F269" s="8"/>
      <c r="G269" s="8"/>
      <c r="H269" s="8"/>
      <c r="I269" s="8"/>
      <c r="J269" s="8"/>
      <c r="K269" s="8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>
        <f t="shared" si="7"/>
        <v>270</v>
      </c>
      <c r="B270" s="376" t="s">
        <v>877</v>
      </c>
      <c r="C270" s="417" t="s">
        <v>199</v>
      </c>
      <c r="D270" s="417" t="s">
        <v>924</v>
      </c>
      <c r="E270" s="444" t="s">
        <v>948</v>
      </c>
      <c r="F270" s="376" t="s">
        <v>877</v>
      </c>
      <c r="G270" s="8"/>
      <c r="H270" s="8"/>
      <c r="I270" s="8"/>
      <c r="J270" s="8"/>
      <c r="K270" s="8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>
        <f t="shared" si="7"/>
        <v>271</v>
      </c>
      <c r="B271" s="376" t="s">
        <v>877</v>
      </c>
      <c r="C271" s="417" t="s">
        <v>199</v>
      </c>
      <c r="D271" s="8" t="s">
        <v>8</v>
      </c>
      <c r="E271" s="8"/>
      <c r="F271" s="8"/>
      <c r="G271" s="8"/>
      <c r="H271" s="8"/>
      <c r="I271" s="8"/>
      <c r="J271" s="8"/>
      <c r="K271" s="8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>
        <f t="shared" si="7"/>
        <v>272</v>
      </c>
      <c r="B272" s="444" t="s">
        <v>948</v>
      </c>
      <c r="C272" s="417" t="s">
        <v>199</v>
      </c>
      <c r="D272" s="375" t="s">
        <v>876</v>
      </c>
      <c r="E272" s="8"/>
      <c r="F272" s="8"/>
      <c r="G272" s="8"/>
      <c r="H272" s="8"/>
      <c r="I272" s="8"/>
      <c r="J272" s="8"/>
      <c r="K272" s="8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>
        <f t="shared" si="7"/>
        <v>273</v>
      </c>
      <c r="B273" s="444" t="s">
        <v>948</v>
      </c>
      <c r="C273" s="417" t="s">
        <v>199</v>
      </c>
      <c r="D273" s="361" t="s">
        <v>861</v>
      </c>
      <c r="E273" s="8"/>
      <c r="F273" s="8"/>
      <c r="G273" s="8"/>
      <c r="H273" s="8"/>
      <c r="I273" s="8"/>
      <c r="J273" s="8"/>
      <c r="K273" s="8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>
        <f t="shared" si="7"/>
        <v>274</v>
      </c>
      <c r="B274" s="444" t="s">
        <v>948</v>
      </c>
      <c r="C274" s="417" t="s">
        <v>199</v>
      </c>
      <c r="D274" s="8" t="s">
        <v>62</v>
      </c>
      <c r="E274" s="445" t="s">
        <v>949</v>
      </c>
      <c r="F274" s="8"/>
      <c r="G274" s="8"/>
      <c r="H274" s="8"/>
      <c r="I274" s="8"/>
      <c r="J274" s="8"/>
      <c r="K274" s="8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>
        <f t="shared" si="7"/>
        <v>275</v>
      </c>
      <c r="B275" s="445" t="s">
        <v>949</v>
      </c>
      <c r="C275" s="417" t="s">
        <v>199</v>
      </c>
      <c r="D275" s="375" t="s">
        <v>876</v>
      </c>
      <c r="E275" s="376" t="s">
        <v>877</v>
      </c>
      <c r="F275" s="446" t="s">
        <v>950</v>
      </c>
      <c r="G275" s="8"/>
      <c r="H275" s="8"/>
      <c r="I275" s="8"/>
      <c r="J275" s="8"/>
      <c r="K275" s="8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>
        <f t="shared" si="7"/>
        <v>276</v>
      </c>
      <c r="B276" s="445" t="s">
        <v>949</v>
      </c>
      <c r="C276" s="417" t="s">
        <v>199</v>
      </c>
      <c r="D276" s="361" t="s">
        <v>861</v>
      </c>
      <c r="E276" s="376" t="s">
        <v>877</v>
      </c>
      <c r="F276" s="446" t="s">
        <v>950</v>
      </c>
      <c r="G276" s="8"/>
      <c r="H276" s="8"/>
      <c r="I276" s="8"/>
      <c r="J276" s="8"/>
      <c r="K276" s="8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>
        <f t="shared" si="7"/>
        <v>277</v>
      </c>
      <c r="B277" s="445" t="s">
        <v>949</v>
      </c>
      <c r="C277" s="417" t="s">
        <v>199</v>
      </c>
      <c r="D277" s="8" t="s">
        <v>62</v>
      </c>
      <c r="E277" s="445" t="s">
        <v>949</v>
      </c>
      <c r="F277" s="447" t="s">
        <v>951</v>
      </c>
      <c r="G277" s="8"/>
      <c r="H277" s="8"/>
      <c r="I277" s="8"/>
      <c r="J277" s="8"/>
      <c r="K277" s="8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>
        <f t="shared" si="7"/>
        <v>278</v>
      </c>
      <c r="B278" s="446" t="s">
        <v>950</v>
      </c>
      <c r="C278" s="417" t="s">
        <v>199</v>
      </c>
      <c r="D278" s="8" t="s">
        <v>64</v>
      </c>
      <c r="E278" s="8"/>
      <c r="F278" s="8"/>
      <c r="G278" s="8"/>
      <c r="H278" s="8"/>
      <c r="I278" s="8"/>
      <c r="J278" s="8"/>
      <c r="K278" s="8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>
        <f t="shared" si="7"/>
        <v>279</v>
      </c>
      <c r="B279" s="447" t="s">
        <v>951</v>
      </c>
      <c r="C279" s="417" t="s">
        <v>199</v>
      </c>
      <c r="D279" s="8" t="s">
        <v>64</v>
      </c>
      <c r="E279" s="8"/>
      <c r="F279" s="8"/>
      <c r="G279" s="8"/>
      <c r="H279" s="8"/>
      <c r="I279" s="8"/>
      <c r="J279" s="8"/>
      <c r="K279" s="8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8.75" customHeight="1">
      <c r="A280" s="3">
        <f t="shared" si="7"/>
        <v>280</v>
      </c>
      <c r="B280" s="448" t="s">
        <v>952</v>
      </c>
      <c r="C280" s="417" t="s">
        <v>199</v>
      </c>
      <c r="D280" s="444" t="s">
        <v>948</v>
      </c>
      <c r="E280" s="376" t="s">
        <v>877</v>
      </c>
      <c r="F280" s="8"/>
      <c r="G280" s="8"/>
      <c r="H280" s="8"/>
      <c r="I280" s="8"/>
      <c r="J280" s="8"/>
      <c r="K280" s="8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>
        <f t="shared" si="7"/>
        <v>281</v>
      </c>
      <c r="B281" s="461" t="s">
        <v>878</v>
      </c>
      <c r="C281" s="417" t="s">
        <v>199</v>
      </c>
      <c r="D281" s="21" t="s">
        <v>167</v>
      </c>
      <c r="E281" s="450" t="s">
        <v>952</v>
      </c>
      <c r="F281" s="379" t="s">
        <v>880</v>
      </c>
      <c r="G281" s="8"/>
      <c r="H281" s="8"/>
      <c r="I281" s="8"/>
      <c r="J281" s="8"/>
      <c r="K281" s="8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>
        <f t="shared" si="7"/>
        <v>282</v>
      </c>
      <c r="B282" s="461" t="s">
        <v>878</v>
      </c>
      <c r="C282" s="417" t="s">
        <v>199</v>
      </c>
      <c r="D282" s="21" t="s">
        <v>166</v>
      </c>
      <c r="E282" s="450" t="s">
        <v>952</v>
      </c>
      <c r="F282" s="379" t="s">
        <v>880</v>
      </c>
      <c r="G282" s="8"/>
      <c r="H282" s="8"/>
      <c r="I282" s="8"/>
      <c r="J282" s="8"/>
      <c r="K282" s="8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>
        <f t="shared" si="7"/>
        <v>283</v>
      </c>
      <c r="B283" s="461" t="s">
        <v>878</v>
      </c>
      <c r="C283" s="417" t="s">
        <v>199</v>
      </c>
      <c r="D283" s="21" t="s">
        <v>165</v>
      </c>
      <c r="E283" s="450" t="s">
        <v>952</v>
      </c>
      <c r="F283" s="379" t="s">
        <v>880</v>
      </c>
      <c r="G283" s="8"/>
      <c r="H283" s="8"/>
      <c r="I283" s="8"/>
      <c r="J283" s="8"/>
      <c r="K283" s="8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>
        <f t="shared" si="7"/>
        <v>284</v>
      </c>
      <c r="B284" s="461" t="s">
        <v>878</v>
      </c>
      <c r="C284" s="417" t="s">
        <v>199</v>
      </c>
      <c r="D284" s="21" t="s">
        <v>164</v>
      </c>
      <c r="E284" s="450" t="s">
        <v>952</v>
      </c>
      <c r="F284" s="379" t="s">
        <v>880</v>
      </c>
      <c r="G284" s="8"/>
      <c r="H284" s="8"/>
      <c r="I284" s="8"/>
      <c r="J284" s="8"/>
      <c r="K284" s="8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>
        <f t="shared" si="7"/>
        <v>285</v>
      </c>
      <c r="B285" s="377" t="s">
        <v>878</v>
      </c>
      <c r="C285" s="417" t="s">
        <v>199</v>
      </c>
      <c r="D285" s="417" t="s">
        <v>934</v>
      </c>
      <c r="E285" s="448" t="s">
        <v>952</v>
      </c>
      <c r="F285" s="379" t="s">
        <v>880</v>
      </c>
      <c r="G285" s="8"/>
      <c r="H285" s="8"/>
      <c r="I285" s="8"/>
      <c r="J285" s="8"/>
      <c r="K285" s="8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>
        <f t="shared" si="7"/>
        <v>286</v>
      </c>
      <c r="B286" s="377" t="s">
        <v>878</v>
      </c>
      <c r="C286" s="417" t="s">
        <v>199</v>
      </c>
      <c r="D286" s="8" t="s">
        <v>163</v>
      </c>
      <c r="E286" s="448" t="s">
        <v>952</v>
      </c>
      <c r="F286" s="379" t="s">
        <v>880</v>
      </c>
      <c r="G286" s="8"/>
      <c r="H286" s="8"/>
      <c r="I286" s="8"/>
      <c r="J286" s="8"/>
      <c r="K286" s="8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>
        <f t="shared" si="7"/>
        <v>287</v>
      </c>
      <c r="B287" s="377" t="s">
        <v>878</v>
      </c>
      <c r="C287" s="417" t="s">
        <v>199</v>
      </c>
      <c r="D287" s="8" t="s">
        <v>8</v>
      </c>
      <c r="E287" s="8"/>
      <c r="F287" s="8"/>
      <c r="G287" s="8"/>
      <c r="H287" s="8"/>
      <c r="I287" s="8"/>
      <c r="J287" s="8"/>
      <c r="K287" s="8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>
        <f t="shared" si="7"/>
        <v>288</v>
      </c>
      <c r="B288" s="379" t="s">
        <v>880</v>
      </c>
      <c r="C288" s="417" t="s">
        <v>199</v>
      </c>
      <c r="D288" s="8" t="s">
        <v>936</v>
      </c>
      <c r="E288" s="384" t="s">
        <v>886</v>
      </c>
      <c r="F288" s="8"/>
      <c r="G288" s="8"/>
      <c r="H288" s="8"/>
      <c r="I288" s="8"/>
      <c r="J288" s="8"/>
      <c r="K288" s="8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>
        <f t="shared" si="7"/>
        <v>289</v>
      </c>
      <c r="B289" s="379" t="s">
        <v>880</v>
      </c>
      <c r="C289" s="417" t="s">
        <v>199</v>
      </c>
      <c r="D289" s="8" t="s">
        <v>937</v>
      </c>
      <c r="E289" s="384" t="s">
        <v>886</v>
      </c>
      <c r="F289" s="8"/>
      <c r="G289" s="8"/>
      <c r="H289" s="8"/>
      <c r="I289" s="8"/>
      <c r="J289" s="8"/>
      <c r="K289" s="8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>
        <f t="shared" si="7"/>
        <v>290</v>
      </c>
      <c r="B290" s="379" t="s">
        <v>880</v>
      </c>
      <c r="C290" s="417" t="s">
        <v>199</v>
      </c>
      <c r="D290" s="417" t="s">
        <v>934</v>
      </c>
      <c r="E290" s="384" t="s">
        <v>886</v>
      </c>
      <c r="F290" s="8"/>
      <c r="G290" s="8"/>
      <c r="H290" s="8"/>
      <c r="I290" s="8"/>
      <c r="J290" s="8"/>
      <c r="K290" s="8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>
        <f t="shared" si="7"/>
        <v>291</v>
      </c>
      <c r="B291" s="379" t="s">
        <v>880</v>
      </c>
      <c r="C291" s="417" t="s">
        <v>199</v>
      </c>
      <c r="D291" s="8" t="s">
        <v>163</v>
      </c>
      <c r="E291" s="384" t="s">
        <v>886</v>
      </c>
      <c r="F291" s="8"/>
      <c r="G291" s="8"/>
      <c r="H291" s="8"/>
      <c r="I291" s="8"/>
      <c r="J291" s="8"/>
      <c r="K291" s="8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>
        <f t="shared" si="7"/>
        <v>292</v>
      </c>
      <c r="B292" s="379" t="s">
        <v>880</v>
      </c>
      <c r="C292" s="417" t="s">
        <v>199</v>
      </c>
      <c r="D292" s="8" t="s">
        <v>8</v>
      </c>
      <c r="E292" s="8"/>
      <c r="F292" s="8"/>
      <c r="G292" s="8"/>
      <c r="H292" s="8"/>
      <c r="I292" s="8"/>
      <c r="J292" s="8"/>
      <c r="K292" s="8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>
        <f t="shared" si="7"/>
        <v>293</v>
      </c>
      <c r="B293" s="384" t="s">
        <v>886</v>
      </c>
      <c r="C293" s="417" t="s">
        <v>199</v>
      </c>
      <c r="D293" s="360" t="s">
        <v>860</v>
      </c>
      <c r="E293" s="368" t="s">
        <v>869</v>
      </c>
      <c r="F293" s="369" t="s">
        <v>870</v>
      </c>
      <c r="G293" s="433" t="s">
        <v>938</v>
      </c>
      <c r="H293" s="8"/>
      <c r="I293" s="8"/>
      <c r="J293" s="8"/>
      <c r="K293" s="8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>
        <f t="shared" si="7"/>
        <v>294</v>
      </c>
      <c r="B294" s="384" t="s">
        <v>886</v>
      </c>
      <c r="C294" s="417" t="s">
        <v>199</v>
      </c>
      <c r="D294" s="371" t="s">
        <v>872</v>
      </c>
      <c r="E294" s="372" t="s">
        <v>873</v>
      </c>
      <c r="F294" s="373" t="s">
        <v>874</v>
      </c>
      <c r="G294" s="434" t="s">
        <v>939</v>
      </c>
      <c r="H294" s="8"/>
      <c r="I294" s="8"/>
      <c r="J294" s="8"/>
      <c r="K294" s="8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>
        <f t="shared" si="7"/>
        <v>295</v>
      </c>
      <c r="B295" s="384" t="s">
        <v>886</v>
      </c>
      <c r="C295" s="417" t="s">
        <v>199</v>
      </c>
      <c r="D295" s="375" t="s">
        <v>876</v>
      </c>
      <c r="E295" s="376" t="s">
        <v>877</v>
      </c>
      <c r="F295" s="435" t="s">
        <v>940</v>
      </c>
      <c r="G295" s="8"/>
      <c r="H295" s="8"/>
      <c r="I295" s="8"/>
      <c r="J295" s="8"/>
      <c r="K295" s="8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>
        <f t="shared" si="7"/>
        <v>296</v>
      </c>
      <c r="B296" s="384" t="s">
        <v>886</v>
      </c>
      <c r="C296" s="417" t="s">
        <v>199</v>
      </c>
      <c r="D296" s="378" t="s">
        <v>879</v>
      </c>
      <c r="E296" s="379" t="s">
        <v>880</v>
      </c>
      <c r="F296" s="8"/>
      <c r="G296" s="8"/>
      <c r="H296" s="8"/>
      <c r="I296" s="8"/>
      <c r="J296" s="8"/>
      <c r="K296" s="8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>
        <f t="shared" si="7"/>
        <v>297</v>
      </c>
      <c r="B297" s="384" t="s">
        <v>886</v>
      </c>
      <c r="C297" s="417" t="s">
        <v>199</v>
      </c>
      <c r="D297" s="361" t="s">
        <v>861</v>
      </c>
      <c r="E297" s="380" t="s">
        <v>881</v>
      </c>
      <c r="F297" s="381" t="s">
        <v>882</v>
      </c>
      <c r="G297" s="382" t="s">
        <v>883</v>
      </c>
      <c r="H297" s="8"/>
      <c r="I297" s="8"/>
      <c r="J297" s="8"/>
      <c r="K297" s="8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>
        <f t="shared" si="7"/>
        <v>298</v>
      </c>
      <c r="B298" s="384" t="s">
        <v>886</v>
      </c>
      <c r="C298" s="417" t="s">
        <v>199</v>
      </c>
      <c r="D298" s="8" t="s">
        <v>62</v>
      </c>
      <c r="E298" s="383" t="s">
        <v>884</v>
      </c>
      <c r="F298" s="436" t="s">
        <v>941</v>
      </c>
      <c r="G298" s="8"/>
      <c r="H298" s="8"/>
      <c r="I298" s="8"/>
      <c r="J298" s="8"/>
      <c r="K298" s="8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>
        <f t="shared" si="7"/>
        <v>299</v>
      </c>
      <c r="B299" s="384" t="s">
        <v>886</v>
      </c>
      <c r="C299" s="417" t="s">
        <v>199</v>
      </c>
      <c r="D299" s="8" t="s">
        <v>885</v>
      </c>
      <c r="E299" s="384" t="s">
        <v>886</v>
      </c>
      <c r="F299" s="8"/>
      <c r="G299" s="8"/>
      <c r="H299" s="8"/>
      <c r="I299" s="8"/>
      <c r="J299" s="8"/>
      <c r="K299" s="8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>
        <f t="shared" si="7"/>
        <v>300</v>
      </c>
      <c r="B300" s="436" t="s">
        <v>941</v>
      </c>
      <c r="C300" s="417" t="s">
        <v>199</v>
      </c>
      <c r="D300" s="8" t="s">
        <v>8</v>
      </c>
      <c r="E300" s="8"/>
      <c r="F300" s="8"/>
      <c r="G300" s="8"/>
      <c r="H300" s="8"/>
      <c r="I300" s="8"/>
      <c r="J300" s="8"/>
      <c r="K300" s="8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>
        <f t="shared" si="7"/>
        <v>301</v>
      </c>
      <c r="B301" s="433" t="s">
        <v>938</v>
      </c>
      <c r="C301" s="417" t="s">
        <v>199</v>
      </c>
      <c r="D301" s="417" t="s">
        <v>934</v>
      </c>
      <c r="E301" s="431" t="s">
        <v>935</v>
      </c>
      <c r="F301" s="379" t="s">
        <v>880</v>
      </c>
      <c r="G301" s="8"/>
      <c r="H301" s="8"/>
      <c r="I301" s="8"/>
      <c r="J301" s="8"/>
      <c r="K301" s="8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>
        <f t="shared" si="7"/>
        <v>302</v>
      </c>
      <c r="B302" s="433" t="s">
        <v>938</v>
      </c>
      <c r="C302" s="417" t="s">
        <v>199</v>
      </c>
      <c r="D302" s="8" t="s">
        <v>163</v>
      </c>
      <c r="E302" s="431" t="s">
        <v>935</v>
      </c>
      <c r="F302" s="379" t="s">
        <v>880</v>
      </c>
      <c r="G302" s="8"/>
      <c r="H302" s="8"/>
      <c r="I302" s="8"/>
      <c r="J302" s="8"/>
      <c r="K302" s="8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>
        <f t="shared" si="7"/>
        <v>303</v>
      </c>
      <c r="B303" s="433" t="s">
        <v>938</v>
      </c>
      <c r="C303" s="417" t="s">
        <v>199</v>
      </c>
      <c r="D303" s="8" t="s">
        <v>167</v>
      </c>
      <c r="E303" s="431" t="s">
        <v>935</v>
      </c>
      <c r="F303" s="379" t="s">
        <v>880</v>
      </c>
      <c r="G303" s="8"/>
      <c r="H303" s="8"/>
      <c r="I303" s="8"/>
      <c r="J303" s="8"/>
      <c r="K303" s="8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>
        <f t="shared" si="7"/>
        <v>304</v>
      </c>
      <c r="B304" s="433" t="s">
        <v>938</v>
      </c>
      <c r="C304" s="417" t="s">
        <v>199</v>
      </c>
      <c r="D304" s="8" t="s">
        <v>166</v>
      </c>
      <c r="E304" s="431" t="s">
        <v>935</v>
      </c>
      <c r="F304" s="379" t="s">
        <v>880</v>
      </c>
      <c r="G304" s="8"/>
      <c r="H304" s="8"/>
      <c r="I304" s="8"/>
      <c r="J304" s="8"/>
      <c r="K304" s="8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>
        <f t="shared" si="7"/>
        <v>305</v>
      </c>
      <c r="B305" s="433" t="s">
        <v>938</v>
      </c>
      <c r="C305" s="417" t="s">
        <v>199</v>
      </c>
      <c r="D305" s="8" t="s">
        <v>165</v>
      </c>
      <c r="E305" s="431" t="s">
        <v>935</v>
      </c>
      <c r="F305" s="379" t="s">
        <v>880</v>
      </c>
      <c r="G305" s="8"/>
      <c r="H305" s="8"/>
      <c r="I305" s="8"/>
      <c r="J305" s="8"/>
      <c r="K305" s="8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>
        <f t="shared" si="7"/>
        <v>306</v>
      </c>
      <c r="B306" s="433" t="s">
        <v>938</v>
      </c>
      <c r="C306" s="417" t="s">
        <v>199</v>
      </c>
      <c r="D306" s="8" t="s">
        <v>164</v>
      </c>
      <c r="E306" s="431" t="s">
        <v>935</v>
      </c>
      <c r="F306" s="379" t="s">
        <v>880</v>
      </c>
      <c r="G306" s="8"/>
      <c r="H306" s="8"/>
      <c r="I306" s="8"/>
      <c r="J306" s="8"/>
      <c r="K306" s="8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>
        <f t="shared" si="7"/>
        <v>307</v>
      </c>
      <c r="B307" s="434" t="s">
        <v>939</v>
      </c>
      <c r="C307" s="417" t="s">
        <v>199</v>
      </c>
      <c r="D307" s="417" t="s">
        <v>934</v>
      </c>
      <c r="E307" s="443" t="s">
        <v>947</v>
      </c>
      <c r="F307" s="379" t="s">
        <v>880</v>
      </c>
      <c r="G307" s="8"/>
      <c r="H307" s="8"/>
      <c r="I307" s="8"/>
      <c r="J307" s="8"/>
      <c r="K307" s="8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>
        <f t="shared" si="7"/>
        <v>308</v>
      </c>
      <c r="B308" s="434" t="s">
        <v>939</v>
      </c>
      <c r="C308" s="417" t="s">
        <v>199</v>
      </c>
      <c r="D308" s="8" t="s">
        <v>163</v>
      </c>
      <c r="E308" s="443" t="s">
        <v>947</v>
      </c>
      <c r="F308" s="379" t="s">
        <v>880</v>
      </c>
      <c r="G308" s="8"/>
      <c r="H308" s="8"/>
      <c r="I308" s="8"/>
      <c r="J308" s="8"/>
      <c r="K308" s="8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>
        <f t="shared" si="7"/>
        <v>309</v>
      </c>
      <c r="B309" s="434" t="s">
        <v>939</v>
      </c>
      <c r="C309" s="417" t="s">
        <v>199</v>
      </c>
      <c r="D309" s="8" t="s">
        <v>167</v>
      </c>
      <c r="E309" s="443" t="s">
        <v>947</v>
      </c>
      <c r="F309" s="379" t="s">
        <v>880</v>
      </c>
      <c r="G309" s="8"/>
      <c r="H309" s="8"/>
      <c r="I309" s="8"/>
      <c r="J309" s="8"/>
      <c r="K309" s="8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>
        <f t="shared" si="7"/>
        <v>310</v>
      </c>
      <c r="B310" s="434" t="s">
        <v>939</v>
      </c>
      <c r="C310" s="417" t="s">
        <v>199</v>
      </c>
      <c r="D310" s="8" t="s">
        <v>166</v>
      </c>
      <c r="E310" s="443" t="s">
        <v>947</v>
      </c>
      <c r="F310" s="379" t="s">
        <v>880</v>
      </c>
      <c r="G310" s="8"/>
      <c r="H310" s="8"/>
      <c r="I310" s="8"/>
      <c r="J310" s="8"/>
      <c r="K310" s="8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>
        <f t="shared" si="7"/>
        <v>311</v>
      </c>
      <c r="B311" s="434" t="s">
        <v>939</v>
      </c>
      <c r="C311" s="417" t="s">
        <v>199</v>
      </c>
      <c r="D311" s="8" t="s">
        <v>165</v>
      </c>
      <c r="E311" s="443" t="s">
        <v>947</v>
      </c>
      <c r="F311" s="379" t="s">
        <v>880</v>
      </c>
      <c r="G311" s="8"/>
      <c r="H311" s="8"/>
      <c r="I311" s="8"/>
      <c r="J311" s="8"/>
      <c r="K311" s="8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>
        <f t="shared" si="7"/>
        <v>312</v>
      </c>
      <c r="B312" s="434" t="s">
        <v>939</v>
      </c>
      <c r="C312" s="417" t="s">
        <v>199</v>
      </c>
      <c r="D312" s="8" t="s">
        <v>164</v>
      </c>
      <c r="E312" s="443" t="s">
        <v>947</v>
      </c>
      <c r="F312" s="379" t="s">
        <v>880</v>
      </c>
      <c r="G312" s="8"/>
      <c r="H312" s="8"/>
      <c r="I312" s="8"/>
      <c r="J312" s="8"/>
      <c r="K312" s="8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>
        <f t="shared" si="7"/>
        <v>313</v>
      </c>
      <c r="B313" s="435" t="s">
        <v>940</v>
      </c>
      <c r="C313" s="417" t="s">
        <v>199</v>
      </c>
      <c r="D313" s="417" t="s">
        <v>934</v>
      </c>
      <c r="E313" s="448" t="s">
        <v>952</v>
      </c>
      <c r="F313" s="379" t="s">
        <v>880</v>
      </c>
      <c r="G313" s="8"/>
      <c r="H313" s="8"/>
      <c r="I313" s="8"/>
      <c r="J313" s="8"/>
      <c r="K313" s="8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>
        <f t="shared" si="7"/>
        <v>314</v>
      </c>
      <c r="B314" s="435" t="s">
        <v>940</v>
      </c>
      <c r="C314" s="417" t="s">
        <v>199</v>
      </c>
      <c r="D314" s="8" t="s">
        <v>163</v>
      </c>
      <c r="E314" s="448" t="s">
        <v>952</v>
      </c>
      <c r="F314" s="379" t="s">
        <v>880</v>
      </c>
      <c r="G314" s="8"/>
      <c r="H314" s="8"/>
      <c r="I314" s="8"/>
      <c r="J314" s="8"/>
      <c r="K314" s="8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>
        <f t="shared" si="7"/>
        <v>315</v>
      </c>
      <c r="B315" s="449" t="s">
        <v>940</v>
      </c>
      <c r="C315" s="417" t="s">
        <v>199</v>
      </c>
      <c r="D315" s="21" t="s">
        <v>167</v>
      </c>
      <c r="E315" s="450" t="s">
        <v>952</v>
      </c>
      <c r="F315" s="379" t="s">
        <v>880</v>
      </c>
      <c r="G315" s="8"/>
      <c r="H315" s="8"/>
      <c r="I315" s="8"/>
      <c r="J315" s="8"/>
      <c r="K315" s="8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>
        <f t="shared" si="7"/>
        <v>316</v>
      </c>
      <c r="B316" s="449" t="s">
        <v>940</v>
      </c>
      <c r="C316" s="417" t="s">
        <v>199</v>
      </c>
      <c r="D316" s="21" t="s">
        <v>166</v>
      </c>
      <c r="E316" s="450" t="s">
        <v>952</v>
      </c>
      <c r="F316" s="379" t="s">
        <v>880</v>
      </c>
      <c r="G316" s="8"/>
      <c r="H316" s="8"/>
      <c r="I316" s="8"/>
      <c r="J316" s="8"/>
      <c r="K316" s="8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>
        <f t="shared" si="7"/>
        <v>317</v>
      </c>
      <c r="B317" s="449" t="s">
        <v>940</v>
      </c>
      <c r="C317" s="417" t="s">
        <v>199</v>
      </c>
      <c r="D317" s="21" t="s">
        <v>165</v>
      </c>
      <c r="E317" s="450" t="s">
        <v>952</v>
      </c>
      <c r="F317" s="379" t="s">
        <v>880</v>
      </c>
      <c r="G317" s="8"/>
      <c r="H317" s="8"/>
      <c r="I317" s="8"/>
      <c r="J317" s="8"/>
      <c r="K317" s="8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>
        <f t="shared" si="7"/>
        <v>318</v>
      </c>
      <c r="B318" s="449" t="s">
        <v>940</v>
      </c>
      <c r="C318" s="417" t="s">
        <v>199</v>
      </c>
      <c r="D318" s="21" t="s">
        <v>164</v>
      </c>
      <c r="E318" s="450" t="s">
        <v>952</v>
      </c>
      <c r="F318" s="379" t="s">
        <v>880</v>
      </c>
      <c r="G318" s="8"/>
      <c r="H318" s="8"/>
      <c r="I318" s="8"/>
      <c r="J318" s="8"/>
      <c r="K318" s="8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>
        <f t="shared" si="7"/>
        <v>319</v>
      </c>
      <c r="B319" s="380" t="s">
        <v>881</v>
      </c>
      <c r="C319" s="417" t="s">
        <v>199</v>
      </c>
      <c r="D319" s="8" t="s">
        <v>887</v>
      </c>
      <c r="E319" s="451" t="s">
        <v>953</v>
      </c>
      <c r="F319" s="380" t="s">
        <v>881</v>
      </c>
      <c r="G319" s="8"/>
      <c r="H319" s="8"/>
      <c r="I319" s="8"/>
      <c r="J319" s="8"/>
      <c r="K319" s="8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>
        <f t="shared" si="7"/>
        <v>320</v>
      </c>
      <c r="B320" s="380" t="s">
        <v>881</v>
      </c>
      <c r="C320" s="417" t="s">
        <v>199</v>
      </c>
      <c r="D320" s="8" t="s">
        <v>120</v>
      </c>
      <c r="E320" s="451" t="s">
        <v>953</v>
      </c>
      <c r="F320" s="380" t="s">
        <v>881</v>
      </c>
      <c r="G320" s="8"/>
      <c r="H320" s="8"/>
      <c r="I320" s="8"/>
      <c r="J320" s="8"/>
      <c r="K320" s="8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>
        <f t="shared" si="7"/>
        <v>321</v>
      </c>
      <c r="B321" s="380" t="s">
        <v>881</v>
      </c>
      <c r="C321" s="417" t="s">
        <v>199</v>
      </c>
      <c r="D321" s="8" t="s">
        <v>121</v>
      </c>
      <c r="E321" s="451" t="s">
        <v>953</v>
      </c>
      <c r="F321" s="380" t="s">
        <v>881</v>
      </c>
      <c r="G321" s="8"/>
      <c r="H321" s="8"/>
      <c r="I321" s="8"/>
      <c r="J321" s="8"/>
      <c r="K321" s="8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>
        <f t="shared" si="7"/>
        <v>322</v>
      </c>
      <c r="B322" s="380" t="s">
        <v>881</v>
      </c>
      <c r="C322" s="417" t="s">
        <v>199</v>
      </c>
      <c r="D322" s="8" t="s">
        <v>8</v>
      </c>
      <c r="E322" s="8"/>
      <c r="F322" s="8"/>
      <c r="G322" s="8"/>
      <c r="H322" s="8"/>
      <c r="I322" s="8"/>
      <c r="J322" s="8"/>
      <c r="K322" s="8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>
        <f t="shared" si="7"/>
        <v>323</v>
      </c>
      <c r="B323" s="381" t="s">
        <v>882</v>
      </c>
      <c r="C323" s="417" t="s">
        <v>199</v>
      </c>
      <c r="D323" s="417" t="s">
        <v>924</v>
      </c>
      <c r="E323" s="452" t="s">
        <v>954</v>
      </c>
      <c r="F323" s="381" t="s">
        <v>882</v>
      </c>
      <c r="G323" s="8"/>
      <c r="H323" s="8"/>
      <c r="I323" s="8"/>
      <c r="J323" s="8"/>
      <c r="K323" s="8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>
        <f t="shared" si="7"/>
        <v>324</v>
      </c>
      <c r="B324" s="381" t="s">
        <v>882</v>
      </c>
      <c r="C324" s="417" t="s">
        <v>199</v>
      </c>
      <c r="D324" s="8" t="s">
        <v>41</v>
      </c>
      <c r="E324" s="452" t="s">
        <v>954</v>
      </c>
      <c r="F324" s="381" t="s">
        <v>882</v>
      </c>
      <c r="G324" s="8"/>
      <c r="H324" s="8"/>
      <c r="I324" s="8"/>
      <c r="J324" s="8"/>
      <c r="K324" s="8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>
        <f t="shared" si="7"/>
        <v>325</v>
      </c>
      <c r="B325" s="381" t="s">
        <v>882</v>
      </c>
      <c r="C325" s="417" t="s">
        <v>199</v>
      </c>
      <c r="D325" s="8" t="s">
        <v>8</v>
      </c>
      <c r="E325" s="8"/>
      <c r="F325" s="8"/>
      <c r="G325" s="8"/>
      <c r="H325" s="8"/>
      <c r="I325" s="8"/>
      <c r="J325" s="8"/>
      <c r="K325" s="8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>
        <f t="shared" si="7"/>
        <v>326</v>
      </c>
      <c r="B326" s="451" t="s">
        <v>953</v>
      </c>
      <c r="C326" s="417" t="s">
        <v>199</v>
      </c>
      <c r="D326" s="361" t="s">
        <v>861</v>
      </c>
      <c r="E326" s="8"/>
      <c r="F326" s="8"/>
      <c r="G326" s="8"/>
      <c r="H326" s="8"/>
      <c r="I326" s="8"/>
      <c r="J326" s="8"/>
      <c r="K326" s="8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>
        <f t="shared" si="7"/>
        <v>327</v>
      </c>
      <c r="B327" s="451" t="s">
        <v>953</v>
      </c>
      <c r="C327" s="417" t="s">
        <v>199</v>
      </c>
      <c r="D327" s="360" t="s">
        <v>860</v>
      </c>
      <c r="E327" s="8"/>
      <c r="F327" s="8"/>
      <c r="G327" s="8"/>
      <c r="H327" s="8"/>
      <c r="I327" s="8"/>
      <c r="J327" s="8"/>
      <c r="K327" s="8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>
        <f t="shared" si="7"/>
        <v>328</v>
      </c>
      <c r="B328" s="451" t="s">
        <v>953</v>
      </c>
      <c r="C328" s="417" t="s">
        <v>199</v>
      </c>
      <c r="D328" s="371" t="s">
        <v>872</v>
      </c>
      <c r="E328" s="8"/>
      <c r="F328" s="8"/>
      <c r="G328" s="8"/>
      <c r="H328" s="8"/>
      <c r="I328" s="8"/>
      <c r="J328" s="8"/>
      <c r="K328" s="8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>
        <f t="shared" si="7"/>
        <v>329</v>
      </c>
      <c r="B329" s="451" t="s">
        <v>953</v>
      </c>
      <c r="C329" s="417" t="s">
        <v>199</v>
      </c>
      <c r="D329" s="375" t="s">
        <v>876</v>
      </c>
      <c r="E329" s="8"/>
      <c r="F329" s="8"/>
      <c r="G329" s="8"/>
      <c r="H329" s="8"/>
      <c r="I329" s="8"/>
      <c r="J329" s="8"/>
      <c r="K329" s="8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>
        <f t="shared" si="7"/>
        <v>330</v>
      </c>
      <c r="B330" s="451" t="s">
        <v>953</v>
      </c>
      <c r="C330" s="417" t="s">
        <v>199</v>
      </c>
      <c r="D330" s="378" t="s">
        <v>879</v>
      </c>
      <c r="E330" s="8"/>
      <c r="F330" s="8"/>
      <c r="G330" s="8"/>
      <c r="H330" s="8"/>
      <c r="I330" s="8"/>
      <c r="J330" s="8"/>
      <c r="K330" s="8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>
        <f t="shared" si="7"/>
        <v>331</v>
      </c>
      <c r="B331" s="451" t="s">
        <v>953</v>
      </c>
      <c r="C331" s="417" t="s">
        <v>199</v>
      </c>
      <c r="D331" s="8" t="s">
        <v>62</v>
      </c>
      <c r="E331" s="363" t="s">
        <v>863</v>
      </c>
      <c r="F331" s="8" t="s">
        <v>64</v>
      </c>
      <c r="G331" s="8"/>
      <c r="H331" s="8"/>
      <c r="I331" s="8"/>
      <c r="J331" s="8"/>
      <c r="K331" s="8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>
        <f t="shared" si="7"/>
        <v>332</v>
      </c>
      <c r="B332" s="452" t="s">
        <v>954</v>
      </c>
      <c r="C332" s="417" t="s">
        <v>199</v>
      </c>
      <c r="D332" s="451" t="s">
        <v>953</v>
      </c>
      <c r="E332" s="380" t="s">
        <v>881</v>
      </c>
      <c r="F332" s="8"/>
      <c r="G332" s="8"/>
      <c r="H332" s="8"/>
      <c r="I332" s="8"/>
      <c r="J332" s="8"/>
      <c r="K332" s="8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>
        <f t="shared" si="7"/>
        <v>333</v>
      </c>
      <c r="B333" s="453" t="s">
        <v>955</v>
      </c>
      <c r="C333" s="417" t="s">
        <v>199</v>
      </c>
      <c r="D333" s="452" t="s">
        <v>954</v>
      </c>
      <c r="E333" s="381" t="s">
        <v>882</v>
      </c>
      <c r="F333" s="8"/>
      <c r="G333" s="8"/>
      <c r="H333" s="8"/>
      <c r="I333" s="8"/>
      <c r="J333" s="8"/>
      <c r="K333" s="8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>
        <f t="shared" si="7"/>
        <v>334</v>
      </c>
      <c r="B334" s="382" t="s">
        <v>883</v>
      </c>
      <c r="C334" s="417" t="s">
        <v>199</v>
      </c>
      <c r="D334" s="417" t="s">
        <v>934</v>
      </c>
      <c r="E334" s="453" t="s">
        <v>955</v>
      </c>
      <c r="F334" s="379" t="s">
        <v>880</v>
      </c>
      <c r="G334" s="8"/>
      <c r="H334" s="8"/>
      <c r="I334" s="8"/>
      <c r="J334" s="8"/>
      <c r="K334" s="8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>
        <f t="shared" si="7"/>
        <v>335</v>
      </c>
      <c r="B335" s="382" t="s">
        <v>883</v>
      </c>
      <c r="C335" s="417" t="s">
        <v>199</v>
      </c>
      <c r="D335" s="8" t="s">
        <v>163</v>
      </c>
      <c r="E335" s="453" t="s">
        <v>955</v>
      </c>
      <c r="F335" s="379" t="s">
        <v>880</v>
      </c>
      <c r="G335" s="8"/>
      <c r="H335" s="8"/>
      <c r="I335" s="8"/>
      <c r="J335" s="8"/>
      <c r="K335" s="8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>
        <f t="shared" si="7"/>
        <v>336</v>
      </c>
      <c r="B336" s="382" t="s">
        <v>883</v>
      </c>
      <c r="C336" s="417" t="s">
        <v>199</v>
      </c>
      <c r="D336" s="8" t="s">
        <v>167</v>
      </c>
      <c r="E336" s="453" t="s">
        <v>955</v>
      </c>
      <c r="F336" s="379" t="s">
        <v>880</v>
      </c>
      <c r="G336" s="8"/>
      <c r="H336" s="8"/>
      <c r="I336" s="8"/>
      <c r="J336" s="8"/>
      <c r="K336" s="8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>
        <f t="shared" si="7"/>
        <v>337</v>
      </c>
      <c r="B337" s="382" t="s">
        <v>883</v>
      </c>
      <c r="C337" s="417" t="s">
        <v>199</v>
      </c>
      <c r="D337" s="8" t="s">
        <v>166</v>
      </c>
      <c r="E337" s="453" t="s">
        <v>955</v>
      </c>
      <c r="F337" s="379" t="s">
        <v>880</v>
      </c>
      <c r="G337" s="8"/>
      <c r="H337" s="8"/>
      <c r="I337" s="8"/>
      <c r="J337" s="8"/>
      <c r="K337" s="8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>
        <f t="shared" si="7"/>
        <v>338</v>
      </c>
      <c r="B338" s="382" t="s">
        <v>883</v>
      </c>
      <c r="C338" s="417" t="s">
        <v>199</v>
      </c>
      <c r="D338" s="8" t="s">
        <v>165</v>
      </c>
      <c r="E338" s="453" t="s">
        <v>955</v>
      </c>
      <c r="F338" s="379" t="s">
        <v>880</v>
      </c>
      <c r="G338" s="8"/>
      <c r="H338" s="8"/>
      <c r="I338" s="8"/>
      <c r="J338" s="8"/>
      <c r="K338" s="8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>
        <f t="shared" si="7"/>
        <v>339</v>
      </c>
      <c r="B339" s="382" t="s">
        <v>883</v>
      </c>
      <c r="C339" s="417" t="s">
        <v>199</v>
      </c>
      <c r="D339" s="8" t="s">
        <v>164</v>
      </c>
      <c r="E339" s="453" t="s">
        <v>955</v>
      </c>
      <c r="F339" s="379" t="s">
        <v>880</v>
      </c>
      <c r="G339" s="8"/>
      <c r="H339" s="8"/>
      <c r="I339" s="8"/>
      <c r="J339" s="8"/>
      <c r="K339" s="8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>
        <f t="shared" si="7"/>
        <v>340</v>
      </c>
      <c r="B340" s="382" t="s">
        <v>883</v>
      </c>
      <c r="C340" s="417" t="s">
        <v>199</v>
      </c>
      <c r="D340" s="8" t="s">
        <v>936</v>
      </c>
      <c r="E340" s="384" t="s">
        <v>886</v>
      </c>
      <c r="F340" s="8"/>
      <c r="G340" s="8"/>
      <c r="H340" s="8"/>
      <c r="I340" s="8"/>
      <c r="J340" s="8"/>
      <c r="K340" s="8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>
        <f t="shared" si="7"/>
        <v>341</v>
      </c>
      <c r="B341" s="382" t="s">
        <v>883</v>
      </c>
      <c r="C341" s="417" t="s">
        <v>199</v>
      </c>
      <c r="D341" s="8" t="s">
        <v>937</v>
      </c>
      <c r="E341" s="384" t="s">
        <v>886</v>
      </c>
      <c r="F341" s="8"/>
      <c r="G341" s="8"/>
      <c r="H341" s="8"/>
      <c r="I341" s="8"/>
      <c r="J341" s="8"/>
      <c r="K341" s="8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>
        <f t="shared" si="7"/>
        <v>342</v>
      </c>
      <c r="B342" s="382" t="s">
        <v>883</v>
      </c>
      <c r="C342" s="417" t="s">
        <v>199</v>
      </c>
      <c r="D342" s="8" t="s">
        <v>8</v>
      </c>
      <c r="E342" s="8"/>
      <c r="F342" s="8"/>
      <c r="G342" s="8"/>
      <c r="H342" s="8"/>
      <c r="I342" s="8"/>
      <c r="J342" s="8"/>
      <c r="K342" s="8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>
        <f t="shared" si="7"/>
        <v>343</v>
      </c>
      <c r="B343" s="355" t="s">
        <v>855</v>
      </c>
      <c r="C343" s="417" t="s">
        <v>199</v>
      </c>
      <c r="D343" s="356" t="s">
        <v>856</v>
      </c>
      <c r="E343" s="357" t="s">
        <v>857</v>
      </c>
      <c r="F343" s="8"/>
      <c r="G343" s="8"/>
      <c r="H343" s="8"/>
      <c r="I343" s="8"/>
      <c r="J343" s="8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>
        <f t="shared" si="7"/>
        <v>344</v>
      </c>
      <c r="B344" s="356" t="s">
        <v>856</v>
      </c>
      <c r="C344" s="417" t="s">
        <v>199</v>
      </c>
      <c r="D344" s="358" t="s">
        <v>858</v>
      </c>
      <c r="E344" s="359" t="s">
        <v>859</v>
      </c>
      <c r="F344" s="8"/>
      <c r="G344" s="8"/>
      <c r="H344" s="8"/>
      <c r="I344" s="8"/>
      <c r="J344" s="8"/>
      <c r="K344" s="8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>
        <f t="shared" si="7"/>
        <v>345</v>
      </c>
      <c r="B345" s="358" t="s">
        <v>858</v>
      </c>
      <c r="C345" s="417" t="s">
        <v>199</v>
      </c>
      <c r="D345" s="360" t="s">
        <v>860</v>
      </c>
      <c r="E345" s="8"/>
      <c r="F345" s="8"/>
      <c r="G345" s="8"/>
      <c r="H345" s="8"/>
      <c r="I345" s="8"/>
      <c r="J345" s="8"/>
      <c r="K345" s="8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>
        <f t="shared" si="7"/>
        <v>346</v>
      </c>
      <c r="B346" s="358" t="s">
        <v>858</v>
      </c>
      <c r="C346" s="417" t="s">
        <v>199</v>
      </c>
      <c r="D346" s="361" t="s">
        <v>861</v>
      </c>
      <c r="E346" s="8"/>
      <c r="F346" s="8"/>
      <c r="G346" s="8"/>
      <c r="H346" s="8"/>
      <c r="I346" s="8"/>
      <c r="J346" s="8"/>
      <c r="K346" s="8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>
        <f t="shared" si="7"/>
        <v>347</v>
      </c>
      <c r="B347" s="358" t="s">
        <v>858</v>
      </c>
      <c r="C347" s="417" t="s">
        <v>199</v>
      </c>
      <c r="D347" s="8" t="s">
        <v>62</v>
      </c>
      <c r="E347" s="355" t="s">
        <v>855</v>
      </c>
      <c r="F347" s="8" t="s">
        <v>64</v>
      </c>
      <c r="G347" s="8"/>
      <c r="H347" s="8"/>
      <c r="I347" s="8"/>
      <c r="J347" s="8"/>
      <c r="K347" s="8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>
        <f t="shared" si="7"/>
        <v>348</v>
      </c>
      <c r="B348" s="357" t="s">
        <v>857</v>
      </c>
      <c r="C348" s="417" t="s">
        <v>199</v>
      </c>
      <c r="D348" s="417" t="s">
        <v>924</v>
      </c>
      <c r="E348" s="356" t="s">
        <v>856</v>
      </c>
      <c r="F348" s="357" t="s">
        <v>857</v>
      </c>
      <c r="G348" s="8"/>
      <c r="H348" s="8"/>
      <c r="I348" s="8"/>
      <c r="J348" s="8"/>
      <c r="K348" s="8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>
        <f t="shared" si="7"/>
        <v>349</v>
      </c>
      <c r="B349" s="357" t="s">
        <v>857</v>
      </c>
      <c r="C349" s="417" t="s">
        <v>199</v>
      </c>
      <c r="D349" s="8" t="s">
        <v>41</v>
      </c>
      <c r="E349" s="356" t="s">
        <v>856</v>
      </c>
      <c r="F349" s="357" t="s">
        <v>857</v>
      </c>
      <c r="G349" s="8"/>
      <c r="H349" s="8"/>
      <c r="I349" s="8"/>
      <c r="J349" s="8"/>
      <c r="K349" s="8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>
        <f t="shared" si="7"/>
        <v>350</v>
      </c>
      <c r="B350" s="357" t="s">
        <v>857</v>
      </c>
      <c r="C350" s="417" t="s">
        <v>199</v>
      </c>
      <c r="D350" s="8" t="s">
        <v>8</v>
      </c>
      <c r="E350" s="8"/>
      <c r="F350" s="8"/>
      <c r="G350" s="8"/>
      <c r="H350" s="8"/>
      <c r="I350" s="8"/>
      <c r="J350" s="8"/>
      <c r="K350" s="8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>
        <f t="shared" si="7"/>
        <v>351</v>
      </c>
      <c r="B351" s="359" t="s">
        <v>859</v>
      </c>
      <c r="C351" s="417" t="s">
        <v>199</v>
      </c>
      <c r="D351" s="8" t="s">
        <v>887</v>
      </c>
      <c r="E351" s="358" t="s">
        <v>858</v>
      </c>
      <c r="F351" s="359" t="s">
        <v>859</v>
      </c>
      <c r="G351" s="8"/>
      <c r="H351" s="8"/>
      <c r="I351" s="8"/>
      <c r="J351" s="8"/>
      <c r="K351" s="8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>
        <f t="shared" si="7"/>
        <v>352</v>
      </c>
      <c r="B352" s="359" t="s">
        <v>859</v>
      </c>
      <c r="C352" s="417" t="s">
        <v>199</v>
      </c>
      <c r="D352" s="8" t="s">
        <v>120</v>
      </c>
      <c r="E352" s="358" t="s">
        <v>858</v>
      </c>
      <c r="F352" s="359" t="s">
        <v>859</v>
      </c>
      <c r="G352" s="8"/>
      <c r="H352" s="8"/>
      <c r="I352" s="8"/>
      <c r="J352" s="8"/>
      <c r="K352" s="8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>
        <f t="shared" si="7"/>
        <v>353</v>
      </c>
      <c r="B353" s="359" t="s">
        <v>859</v>
      </c>
      <c r="C353" s="417" t="s">
        <v>199</v>
      </c>
      <c r="D353" s="8" t="s">
        <v>121</v>
      </c>
      <c r="E353" s="358" t="s">
        <v>858</v>
      </c>
      <c r="F353" s="359" t="s">
        <v>859</v>
      </c>
      <c r="G353" s="8"/>
      <c r="H353" s="8"/>
      <c r="I353" s="8"/>
      <c r="J353" s="8"/>
      <c r="K353" s="8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>
        <f t="shared" si="7"/>
        <v>354</v>
      </c>
      <c r="B354" s="359" t="s">
        <v>859</v>
      </c>
      <c r="C354" s="417" t="s">
        <v>199</v>
      </c>
      <c r="D354" s="8" t="s">
        <v>8</v>
      </c>
      <c r="E354" s="8"/>
      <c r="F354" s="8"/>
      <c r="G354" s="8"/>
      <c r="H354" s="8"/>
      <c r="I354" s="8"/>
      <c r="J354" s="8"/>
      <c r="K354" s="8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>
        <f t="shared" si="7"/>
        <v>355</v>
      </c>
      <c r="B355" s="414" t="s">
        <v>920</v>
      </c>
      <c r="C355" s="417" t="s">
        <v>199</v>
      </c>
      <c r="D355" s="418" t="s">
        <v>925</v>
      </c>
      <c r="E355" s="419" t="s">
        <v>926</v>
      </c>
      <c r="F355" s="8"/>
      <c r="G355" s="8"/>
      <c r="H355" s="8"/>
      <c r="I355" s="8"/>
      <c r="J355" s="8"/>
      <c r="K355" s="8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>
        <f t="shared" si="7"/>
        <v>356</v>
      </c>
      <c r="B356" s="418" t="s">
        <v>925</v>
      </c>
      <c r="C356" s="417" t="s">
        <v>199</v>
      </c>
      <c r="D356" s="420" t="s">
        <v>927</v>
      </c>
      <c r="E356" s="421" t="s">
        <v>928</v>
      </c>
      <c r="F356" s="8"/>
      <c r="G356" s="8"/>
      <c r="H356" s="8"/>
      <c r="I356" s="8"/>
      <c r="J356" s="8"/>
      <c r="K356" s="8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>
        <f t="shared" si="7"/>
        <v>357</v>
      </c>
      <c r="B357" s="420" t="s">
        <v>927</v>
      </c>
      <c r="C357" s="417" t="s">
        <v>199</v>
      </c>
      <c r="D357" s="371" t="s">
        <v>872</v>
      </c>
      <c r="E357" s="8"/>
      <c r="F357" s="8"/>
      <c r="G357" s="8"/>
      <c r="H357" s="8"/>
      <c r="I357" s="8"/>
      <c r="J357" s="8"/>
      <c r="K357" s="8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>
        <f t="shared" si="7"/>
        <v>358</v>
      </c>
      <c r="B358" s="420" t="s">
        <v>927</v>
      </c>
      <c r="C358" s="417" t="s">
        <v>199</v>
      </c>
      <c r="D358" s="361" t="s">
        <v>861</v>
      </c>
      <c r="E358" s="8"/>
      <c r="F358" s="8"/>
      <c r="G358" s="8"/>
      <c r="H358" s="8"/>
      <c r="I358" s="8"/>
      <c r="J358" s="8"/>
      <c r="K358" s="8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>
        <f t="shared" si="7"/>
        <v>359</v>
      </c>
      <c r="B359" s="420" t="s">
        <v>927</v>
      </c>
      <c r="C359" s="417" t="s">
        <v>199</v>
      </c>
      <c r="D359" s="8" t="s">
        <v>62</v>
      </c>
      <c r="E359" s="414" t="s">
        <v>920</v>
      </c>
      <c r="F359" s="8" t="s">
        <v>64</v>
      </c>
      <c r="G359" s="8"/>
      <c r="H359" s="8"/>
      <c r="I359" s="8"/>
      <c r="J359" s="8"/>
      <c r="K359" s="8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>
        <f t="shared" si="7"/>
        <v>360</v>
      </c>
      <c r="B360" s="419" t="s">
        <v>926</v>
      </c>
      <c r="C360" s="417" t="s">
        <v>199</v>
      </c>
      <c r="D360" s="417" t="s">
        <v>924</v>
      </c>
      <c r="E360" s="418" t="s">
        <v>925</v>
      </c>
      <c r="F360" s="419" t="s">
        <v>926</v>
      </c>
      <c r="G360" s="8"/>
      <c r="H360" s="8"/>
      <c r="I360" s="8"/>
      <c r="J360" s="8"/>
      <c r="K360" s="8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>
        <f t="shared" si="7"/>
        <v>361</v>
      </c>
      <c r="B361" s="419" t="s">
        <v>926</v>
      </c>
      <c r="C361" s="417" t="s">
        <v>199</v>
      </c>
      <c r="D361" s="8" t="s">
        <v>41</v>
      </c>
      <c r="E361" s="418" t="s">
        <v>925</v>
      </c>
      <c r="F361" s="419" t="s">
        <v>926</v>
      </c>
      <c r="G361" s="8"/>
      <c r="H361" s="8"/>
      <c r="I361" s="8"/>
      <c r="J361" s="8"/>
      <c r="K361" s="8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>
        <f t="shared" si="7"/>
        <v>362</v>
      </c>
      <c r="B362" s="419" t="s">
        <v>926</v>
      </c>
      <c r="C362" s="417" t="s">
        <v>199</v>
      </c>
      <c r="D362" s="8" t="s">
        <v>8</v>
      </c>
      <c r="E362" s="8"/>
      <c r="F362" s="8"/>
      <c r="G362" s="8"/>
      <c r="H362" s="8"/>
      <c r="I362" s="8"/>
      <c r="J362" s="8"/>
      <c r="K362" s="8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>
        <f t="shared" si="7"/>
        <v>363</v>
      </c>
      <c r="B363" s="421" t="s">
        <v>928</v>
      </c>
      <c r="C363" s="417" t="s">
        <v>199</v>
      </c>
      <c r="D363" s="8" t="s">
        <v>887</v>
      </c>
      <c r="E363" s="420" t="s">
        <v>927</v>
      </c>
      <c r="F363" s="421" t="s">
        <v>928</v>
      </c>
      <c r="G363" s="8"/>
      <c r="H363" s="8"/>
      <c r="I363" s="8"/>
      <c r="J363" s="8"/>
      <c r="K363" s="8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>
        <f t="shared" si="7"/>
        <v>364</v>
      </c>
      <c r="B364" s="421" t="s">
        <v>928</v>
      </c>
      <c r="C364" s="417" t="s">
        <v>199</v>
      </c>
      <c r="D364" s="8" t="s">
        <v>120</v>
      </c>
      <c r="E364" s="420" t="s">
        <v>927</v>
      </c>
      <c r="F364" s="421" t="s">
        <v>928</v>
      </c>
      <c r="G364" s="8"/>
      <c r="H364" s="8"/>
      <c r="I364" s="8"/>
      <c r="J364" s="8"/>
      <c r="K364" s="8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>
        <f t="shared" si="7"/>
        <v>365</v>
      </c>
      <c r="B365" s="421" t="s">
        <v>928</v>
      </c>
      <c r="C365" s="417" t="s">
        <v>199</v>
      </c>
      <c r="D365" s="8" t="s">
        <v>8</v>
      </c>
      <c r="E365" s="8"/>
      <c r="F365" s="8"/>
      <c r="G365" s="8"/>
      <c r="H365" s="8"/>
      <c r="I365" s="8"/>
      <c r="J365" s="8"/>
      <c r="K365" s="8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>
        <f t="shared" si="7"/>
        <v>366</v>
      </c>
      <c r="B366" s="412" t="s">
        <v>916</v>
      </c>
      <c r="C366" s="417" t="s">
        <v>199</v>
      </c>
      <c r="D366" s="415" t="s">
        <v>922</v>
      </c>
      <c r="E366" s="416" t="s">
        <v>923</v>
      </c>
      <c r="F366" s="8"/>
      <c r="G366" s="8"/>
      <c r="H366" s="8"/>
      <c r="I366" s="8"/>
      <c r="J366" s="8"/>
      <c r="K366" s="8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>
        <f t="shared" si="7"/>
        <v>367</v>
      </c>
      <c r="B367" s="415" t="s">
        <v>922</v>
      </c>
      <c r="C367" s="417" t="s">
        <v>199</v>
      </c>
      <c r="D367" s="375" t="s">
        <v>876</v>
      </c>
      <c r="E367" s="8"/>
      <c r="F367" s="8"/>
      <c r="G367" s="8"/>
      <c r="H367" s="8"/>
      <c r="I367" s="8"/>
      <c r="J367" s="8"/>
      <c r="K367" s="8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>
        <f t="shared" si="7"/>
        <v>368</v>
      </c>
      <c r="B368" s="415" t="s">
        <v>922</v>
      </c>
      <c r="C368" s="417" t="s">
        <v>199</v>
      </c>
      <c r="D368" s="361" t="s">
        <v>861</v>
      </c>
      <c r="E368" s="8"/>
      <c r="F368" s="8"/>
      <c r="G368" s="8"/>
      <c r="H368" s="8"/>
      <c r="I368" s="8"/>
      <c r="J368" s="8"/>
      <c r="K368" s="8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>
        <f t="shared" si="7"/>
        <v>369</v>
      </c>
      <c r="B369" s="415" t="s">
        <v>922</v>
      </c>
      <c r="C369" s="417" t="s">
        <v>199</v>
      </c>
      <c r="D369" s="8" t="s">
        <v>62</v>
      </c>
      <c r="E369" s="412" t="s">
        <v>916</v>
      </c>
      <c r="F369" s="8" t="s">
        <v>64</v>
      </c>
      <c r="G369" s="8"/>
      <c r="H369" s="8"/>
      <c r="I369" s="8"/>
      <c r="J369" s="8"/>
      <c r="K369" s="8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>
        <f t="shared" si="7"/>
        <v>370</v>
      </c>
      <c r="B370" s="416" t="s">
        <v>923</v>
      </c>
      <c r="C370" s="417" t="s">
        <v>199</v>
      </c>
      <c r="D370" s="417" t="s">
        <v>924</v>
      </c>
      <c r="E370" s="415" t="s">
        <v>922</v>
      </c>
      <c r="F370" s="416" t="s">
        <v>923</v>
      </c>
      <c r="G370" s="8"/>
      <c r="H370" s="8"/>
      <c r="I370" s="8"/>
      <c r="J370" s="8"/>
      <c r="K370" s="8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>
        <f t="shared" si="7"/>
        <v>371</v>
      </c>
      <c r="B371" s="416" t="s">
        <v>923</v>
      </c>
      <c r="C371" s="417" t="s">
        <v>199</v>
      </c>
      <c r="D371" s="8" t="s">
        <v>8</v>
      </c>
      <c r="E371" s="8"/>
      <c r="F371" s="8"/>
      <c r="G371" s="8"/>
      <c r="H371" s="8"/>
      <c r="I371" s="8"/>
      <c r="J371" s="8"/>
      <c r="K371" s="8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>
        <f t="shared" si="7"/>
        <v>372</v>
      </c>
      <c r="B372" s="480" t="s">
        <v>976</v>
      </c>
      <c r="C372" s="417" t="s">
        <v>199</v>
      </c>
      <c r="D372" s="481" t="s">
        <v>977</v>
      </c>
      <c r="E372" s="482" t="s">
        <v>978</v>
      </c>
      <c r="F372" s="8"/>
      <c r="G372" s="8"/>
      <c r="H372" s="8"/>
      <c r="I372" s="8"/>
      <c r="J372" s="8"/>
      <c r="K372" s="8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>
        <f t="shared" si="7"/>
        <v>373</v>
      </c>
      <c r="B373" s="481" t="s">
        <v>977</v>
      </c>
      <c r="C373" s="417" t="s">
        <v>199</v>
      </c>
      <c r="D373" s="483" t="s">
        <v>979</v>
      </c>
      <c r="E373" s="484" t="s">
        <v>980</v>
      </c>
      <c r="F373" s="8"/>
      <c r="G373" s="8"/>
      <c r="H373" s="8"/>
      <c r="I373" s="8"/>
      <c r="J373" s="8"/>
      <c r="K373" s="8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>
        <f t="shared" si="7"/>
        <v>374</v>
      </c>
      <c r="B374" s="483" t="s">
        <v>979</v>
      </c>
      <c r="C374" s="417" t="s">
        <v>199</v>
      </c>
      <c r="D374" s="485" t="s">
        <v>981</v>
      </c>
      <c r="E374" s="486" t="s">
        <v>982</v>
      </c>
      <c r="F374" s="8"/>
      <c r="G374" s="8"/>
      <c r="H374" s="8"/>
      <c r="I374" s="8"/>
      <c r="J374" s="8"/>
      <c r="K374" s="8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>
        <f t="shared" si="7"/>
        <v>375</v>
      </c>
      <c r="B375" s="485" t="s">
        <v>981</v>
      </c>
      <c r="C375" s="417" t="s">
        <v>199</v>
      </c>
      <c r="D375" s="378" t="s">
        <v>879</v>
      </c>
      <c r="E375" s="8"/>
      <c r="F375" s="8"/>
      <c r="G375" s="8"/>
      <c r="H375" s="8"/>
      <c r="I375" s="8"/>
      <c r="J375" s="8"/>
      <c r="K375" s="8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>
        <f t="shared" si="7"/>
        <v>376</v>
      </c>
      <c r="B376" s="485" t="s">
        <v>981</v>
      </c>
      <c r="C376" s="417" t="s">
        <v>199</v>
      </c>
      <c r="D376" s="8" t="s">
        <v>885</v>
      </c>
      <c r="E376" s="485" t="s">
        <v>981</v>
      </c>
      <c r="F376" s="8"/>
      <c r="G376" s="8"/>
      <c r="H376" s="8"/>
      <c r="I376" s="8"/>
      <c r="J376" s="8"/>
      <c r="K376" s="8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>
        <f t="shared" si="7"/>
        <v>377</v>
      </c>
      <c r="B377" s="485" t="s">
        <v>981</v>
      </c>
      <c r="C377" s="417" t="s">
        <v>199</v>
      </c>
      <c r="D377" s="361" t="s">
        <v>861</v>
      </c>
      <c r="E377" s="487" t="s">
        <v>983</v>
      </c>
      <c r="F377" s="8"/>
      <c r="G377" s="8"/>
      <c r="H377" s="8"/>
      <c r="I377" s="8"/>
      <c r="J377" s="8"/>
      <c r="K377" s="8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>
        <f t="shared" si="7"/>
        <v>378</v>
      </c>
      <c r="B378" s="485" t="s">
        <v>981</v>
      </c>
      <c r="C378" s="417" t="s">
        <v>199</v>
      </c>
      <c r="D378" s="8" t="s">
        <v>62</v>
      </c>
      <c r="E378" s="488" t="s">
        <v>984</v>
      </c>
      <c r="F378" s="8"/>
      <c r="G378" s="8"/>
      <c r="H378" s="8"/>
      <c r="I378" s="8"/>
      <c r="J378" s="8"/>
      <c r="K378" s="8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>
        <f t="shared" si="7"/>
        <v>379</v>
      </c>
      <c r="B379" s="485" t="s">
        <v>981</v>
      </c>
      <c r="C379" s="417" t="s">
        <v>199</v>
      </c>
      <c r="D379" s="360" t="s">
        <v>860</v>
      </c>
      <c r="E379" s="368" t="s">
        <v>869</v>
      </c>
      <c r="F379" s="369" t="s">
        <v>870</v>
      </c>
      <c r="G379" s="489" t="s">
        <v>985</v>
      </c>
      <c r="H379" s="8"/>
      <c r="I379" s="8"/>
      <c r="J379" s="8"/>
      <c r="K379" s="8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>
        <f t="shared" si="7"/>
        <v>380</v>
      </c>
      <c r="B380" s="485" t="s">
        <v>981</v>
      </c>
      <c r="C380" s="417" t="s">
        <v>199</v>
      </c>
      <c r="D380" s="371" t="s">
        <v>872</v>
      </c>
      <c r="E380" s="372" t="s">
        <v>873</v>
      </c>
      <c r="F380" s="373" t="s">
        <v>874</v>
      </c>
      <c r="G380" s="490" t="s">
        <v>986</v>
      </c>
      <c r="H380" s="8"/>
      <c r="I380" s="8"/>
      <c r="J380" s="8"/>
      <c r="K380" s="8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>
        <f t="shared" si="7"/>
        <v>381</v>
      </c>
      <c r="B381" s="485" t="s">
        <v>981</v>
      </c>
      <c r="C381" s="417" t="s">
        <v>199</v>
      </c>
      <c r="D381" s="375" t="s">
        <v>876</v>
      </c>
      <c r="E381" s="376" t="s">
        <v>877</v>
      </c>
      <c r="F381" s="491" t="s">
        <v>987</v>
      </c>
      <c r="G381" s="8"/>
      <c r="H381" s="8"/>
      <c r="I381" s="8"/>
      <c r="J381" s="8"/>
      <c r="K381" s="8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>
        <f t="shared" si="7"/>
        <v>382</v>
      </c>
      <c r="B382" s="482" t="s">
        <v>978</v>
      </c>
      <c r="C382" s="417" t="s">
        <v>199</v>
      </c>
      <c r="D382" s="8" t="s">
        <v>937</v>
      </c>
      <c r="E382" s="481" t="s">
        <v>977</v>
      </c>
      <c r="F382" s="482" t="s">
        <v>978</v>
      </c>
      <c r="G382" s="8"/>
      <c r="H382" s="8"/>
      <c r="I382" s="8"/>
      <c r="J382" s="8"/>
      <c r="K382" s="8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>
        <f t="shared" si="7"/>
        <v>383</v>
      </c>
      <c r="B383" s="482" t="s">
        <v>978</v>
      </c>
      <c r="C383" s="417" t="s">
        <v>199</v>
      </c>
      <c r="D383" s="8" t="s">
        <v>8</v>
      </c>
      <c r="E383" s="8"/>
      <c r="F383" s="8"/>
      <c r="G383" s="8"/>
      <c r="H383" s="8"/>
      <c r="I383" s="8"/>
      <c r="J383" s="8"/>
      <c r="K383" s="8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>
        <f t="shared" si="7"/>
        <v>384</v>
      </c>
      <c r="B384" s="484" t="s">
        <v>980</v>
      </c>
      <c r="C384" s="417" t="s">
        <v>199</v>
      </c>
      <c r="D384" s="8" t="s">
        <v>936</v>
      </c>
      <c r="E384" s="483" t="s">
        <v>979</v>
      </c>
      <c r="F384" s="484" t="s">
        <v>980</v>
      </c>
      <c r="G384" s="8"/>
      <c r="H384" s="8"/>
      <c r="I384" s="8"/>
      <c r="J384" s="8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>
        <f t="shared" si="7"/>
        <v>385</v>
      </c>
      <c r="B385" s="484" t="s">
        <v>980</v>
      </c>
      <c r="C385" s="417" t="s">
        <v>199</v>
      </c>
      <c r="D385" s="8" t="s">
        <v>8</v>
      </c>
      <c r="E385" s="8"/>
      <c r="F385" s="8"/>
      <c r="G385" s="8"/>
      <c r="H385" s="8"/>
      <c r="I385" s="8"/>
      <c r="J385" s="8"/>
      <c r="K385" s="8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>
        <f t="shared" si="7"/>
        <v>386</v>
      </c>
      <c r="B386" s="486" t="s">
        <v>982</v>
      </c>
      <c r="C386" s="417" t="s">
        <v>199</v>
      </c>
      <c r="D386" s="417" t="s">
        <v>934</v>
      </c>
      <c r="E386" s="483" t="s">
        <v>979</v>
      </c>
      <c r="F386" s="8"/>
      <c r="G386" s="8"/>
      <c r="H386" s="8"/>
      <c r="I386" s="8"/>
      <c r="J386" s="8"/>
      <c r="K386" s="8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>
        <f t="shared" si="7"/>
        <v>387</v>
      </c>
      <c r="B387" s="486" t="s">
        <v>982</v>
      </c>
      <c r="C387" s="417" t="s">
        <v>199</v>
      </c>
      <c r="D387" s="8" t="s">
        <v>163</v>
      </c>
      <c r="E387" s="483" t="s">
        <v>979</v>
      </c>
      <c r="F387" s="8"/>
      <c r="G387" s="8"/>
      <c r="H387" s="8"/>
      <c r="I387" s="8"/>
      <c r="J387" s="8"/>
      <c r="K387" s="8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>
        <f t="shared" si="7"/>
        <v>388</v>
      </c>
      <c r="B388" s="486" t="s">
        <v>982</v>
      </c>
      <c r="C388" s="417" t="s">
        <v>199</v>
      </c>
      <c r="D388" s="8" t="s">
        <v>8</v>
      </c>
      <c r="E388" s="8"/>
      <c r="F388" s="8"/>
      <c r="G388" s="8"/>
      <c r="H388" s="8"/>
      <c r="I388" s="8"/>
      <c r="J388" s="8"/>
      <c r="K388" s="8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>
        <f t="shared" si="7"/>
        <v>389</v>
      </c>
      <c r="B389" s="487" t="s">
        <v>983</v>
      </c>
      <c r="C389" s="417" t="s">
        <v>199</v>
      </c>
      <c r="D389" s="8" t="s">
        <v>887</v>
      </c>
      <c r="E389" s="451" t="s">
        <v>953</v>
      </c>
      <c r="F389" s="380" t="s">
        <v>881</v>
      </c>
      <c r="G389" s="381" t="s">
        <v>882</v>
      </c>
      <c r="H389" s="492" t="s">
        <v>988</v>
      </c>
      <c r="I389" s="8"/>
      <c r="J389" s="8"/>
      <c r="K389" s="8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>
        <f t="shared" si="7"/>
        <v>390</v>
      </c>
      <c r="B390" s="487" t="s">
        <v>983</v>
      </c>
      <c r="C390" s="417" t="s">
        <v>199</v>
      </c>
      <c r="D390" s="8" t="s">
        <v>120</v>
      </c>
      <c r="E390" s="451" t="s">
        <v>953</v>
      </c>
      <c r="F390" s="380" t="s">
        <v>881</v>
      </c>
      <c r="G390" s="381" t="s">
        <v>882</v>
      </c>
      <c r="H390" s="492" t="s">
        <v>988</v>
      </c>
      <c r="I390" s="8"/>
      <c r="J390" s="8"/>
      <c r="K390" s="8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>
        <f t="shared" si="7"/>
        <v>391</v>
      </c>
      <c r="B391" s="487" t="s">
        <v>983</v>
      </c>
      <c r="C391" s="417" t="s">
        <v>199</v>
      </c>
      <c r="D391" s="8" t="s">
        <v>121</v>
      </c>
      <c r="E391" s="451" t="s">
        <v>953</v>
      </c>
      <c r="F391" s="380" t="s">
        <v>881</v>
      </c>
      <c r="G391" s="381" t="s">
        <v>882</v>
      </c>
      <c r="H391" s="492" t="s">
        <v>988</v>
      </c>
      <c r="I391" s="8"/>
      <c r="J391" s="8"/>
      <c r="K391" s="8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>
        <f t="shared" si="7"/>
        <v>392</v>
      </c>
      <c r="B392" s="487" t="s">
        <v>983</v>
      </c>
      <c r="C392" s="417" t="s">
        <v>199</v>
      </c>
      <c r="D392" s="417" t="s">
        <v>924</v>
      </c>
      <c r="E392" s="452" t="s">
        <v>954</v>
      </c>
      <c r="F392" s="381" t="s">
        <v>882</v>
      </c>
      <c r="G392" s="492" t="s">
        <v>988</v>
      </c>
      <c r="H392" s="8"/>
      <c r="I392" s="8"/>
      <c r="J392" s="8"/>
      <c r="K392" s="8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>
        <f t="shared" si="7"/>
        <v>393</v>
      </c>
      <c r="B393" s="487" t="s">
        <v>983</v>
      </c>
      <c r="C393" s="417" t="s">
        <v>199</v>
      </c>
      <c r="D393" s="8" t="s">
        <v>41</v>
      </c>
      <c r="E393" s="452" t="s">
        <v>954</v>
      </c>
      <c r="F393" s="381" t="s">
        <v>882</v>
      </c>
      <c r="G393" s="492" t="s">
        <v>988</v>
      </c>
      <c r="H393" s="8"/>
      <c r="I393" s="8"/>
      <c r="J393" s="8"/>
      <c r="K393" s="8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>
        <f t="shared" si="7"/>
        <v>394</v>
      </c>
      <c r="B394" s="493" t="s">
        <v>983</v>
      </c>
      <c r="C394" s="7" t="s">
        <v>199</v>
      </c>
      <c r="D394" s="7" t="s">
        <v>934</v>
      </c>
      <c r="E394" s="494" t="s">
        <v>955</v>
      </c>
      <c r="F394" s="8"/>
      <c r="G394" s="8"/>
      <c r="H394" s="8"/>
      <c r="I394" s="8"/>
      <c r="J394" s="8"/>
      <c r="K394" s="8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>
        <f t="shared" si="7"/>
        <v>395</v>
      </c>
      <c r="B395" s="493" t="s">
        <v>983</v>
      </c>
      <c r="C395" s="7" t="s">
        <v>199</v>
      </c>
      <c r="D395" s="7" t="s">
        <v>163</v>
      </c>
      <c r="E395" s="494" t="s">
        <v>955</v>
      </c>
      <c r="F395" s="8"/>
      <c r="G395" s="8"/>
      <c r="H395" s="8"/>
      <c r="I395" s="8"/>
      <c r="J395" s="8"/>
      <c r="K395" s="8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>
        <f t="shared" si="7"/>
        <v>396</v>
      </c>
      <c r="B396" s="493" t="s">
        <v>983</v>
      </c>
      <c r="C396" s="7" t="s">
        <v>199</v>
      </c>
      <c r="D396" s="7" t="s">
        <v>167</v>
      </c>
      <c r="E396" s="495" t="s">
        <v>989</v>
      </c>
      <c r="F396" s="8"/>
      <c r="G396" s="8"/>
      <c r="H396" s="8"/>
      <c r="I396" s="8"/>
      <c r="J396" s="8"/>
      <c r="K396" s="8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>
        <f t="shared" si="7"/>
        <v>397</v>
      </c>
      <c r="B397" s="493" t="s">
        <v>983</v>
      </c>
      <c r="C397" s="7" t="s">
        <v>199</v>
      </c>
      <c r="D397" s="7" t="s">
        <v>166</v>
      </c>
      <c r="E397" s="495" t="s">
        <v>989</v>
      </c>
      <c r="F397" s="8"/>
      <c r="G397" s="8"/>
      <c r="H397" s="8"/>
      <c r="I397" s="8"/>
      <c r="J397" s="8"/>
      <c r="K397" s="8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>
        <f t="shared" si="7"/>
        <v>398</v>
      </c>
      <c r="B398" s="493" t="s">
        <v>983</v>
      </c>
      <c r="C398" s="7" t="s">
        <v>199</v>
      </c>
      <c r="D398" s="7" t="s">
        <v>165</v>
      </c>
      <c r="E398" s="495" t="s">
        <v>989</v>
      </c>
      <c r="F398" s="8"/>
      <c r="G398" s="8"/>
      <c r="H398" s="8"/>
      <c r="I398" s="8"/>
      <c r="J398" s="8"/>
      <c r="K398" s="8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>
        <f t="shared" si="7"/>
        <v>399</v>
      </c>
      <c r="B399" s="493" t="s">
        <v>983</v>
      </c>
      <c r="C399" s="7" t="s">
        <v>199</v>
      </c>
      <c r="D399" s="7" t="s">
        <v>164</v>
      </c>
      <c r="E399" s="495" t="s">
        <v>989</v>
      </c>
      <c r="F399" s="8"/>
      <c r="G399" s="8"/>
      <c r="H399" s="8"/>
      <c r="I399" s="8"/>
      <c r="J399" s="8"/>
      <c r="K399" s="8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>
        <f t="shared" si="7"/>
        <v>400</v>
      </c>
      <c r="B400" s="487" t="s">
        <v>983</v>
      </c>
      <c r="C400" s="417" t="s">
        <v>199</v>
      </c>
      <c r="D400" s="8" t="s">
        <v>8</v>
      </c>
      <c r="E400" s="8"/>
      <c r="F400" s="8"/>
      <c r="G400" s="8"/>
      <c r="H400" s="8"/>
      <c r="I400" s="8"/>
      <c r="J400" s="8"/>
      <c r="K400" s="8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>
        <f t="shared" si="7"/>
        <v>401</v>
      </c>
      <c r="B401" s="496" t="s">
        <v>989</v>
      </c>
      <c r="C401" s="417" t="s">
        <v>199</v>
      </c>
      <c r="D401" s="497" t="s">
        <v>990</v>
      </c>
      <c r="E401" s="498" t="s">
        <v>991</v>
      </c>
      <c r="F401" s="8"/>
      <c r="G401" s="8"/>
      <c r="H401" s="8"/>
      <c r="I401" s="8"/>
      <c r="J401" s="8"/>
      <c r="K401" s="8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>
        <f t="shared" si="7"/>
        <v>402</v>
      </c>
      <c r="B402" s="497" t="s">
        <v>990</v>
      </c>
      <c r="C402" s="417" t="s">
        <v>199</v>
      </c>
      <c r="D402" s="499" t="s">
        <v>992</v>
      </c>
      <c r="E402" s="500" t="s">
        <v>993</v>
      </c>
      <c r="F402" s="8"/>
      <c r="G402" s="8"/>
      <c r="H402" s="8"/>
      <c r="I402" s="8"/>
      <c r="J402" s="8"/>
      <c r="K402" s="8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>
        <f t="shared" si="7"/>
        <v>403</v>
      </c>
      <c r="B403" s="499" t="s">
        <v>992</v>
      </c>
      <c r="C403" s="417" t="s">
        <v>199</v>
      </c>
      <c r="D403" s="361" t="s">
        <v>861</v>
      </c>
      <c r="E403" s="8"/>
      <c r="F403" s="8"/>
      <c r="G403" s="8"/>
      <c r="H403" s="8"/>
      <c r="I403" s="8"/>
      <c r="J403" s="8"/>
      <c r="K403" s="8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>
        <f t="shared" si="7"/>
        <v>404</v>
      </c>
      <c r="B404" s="499" t="s">
        <v>992</v>
      </c>
      <c r="C404" s="417" t="s">
        <v>199</v>
      </c>
      <c r="D404" s="360" t="s">
        <v>860</v>
      </c>
      <c r="E404" s="8"/>
      <c r="F404" s="8"/>
      <c r="G404" s="8"/>
      <c r="H404" s="8"/>
      <c r="I404" s="8"/>
      <c r="J404" s="8"/>
      <c r="K404" s="8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>
        <f t="shared" si="7"/>
        <v>405</v>
      </c>
      <c r="B405" s="499" t="s">
        <v>992</v>
      </c>
      <c r="C405" s="417" t="s">
        <v>199</v>
      </c>
      <c r="D405" s="371" t="s">
        <v>872</v>
      </c>
      <c r="E405" s="8"/>
      <c r="F405" s="8"/>
      <c r="G405" s="8"/>
      <c r="H405" s="8"/>
      <c r="I405" s="8"/>
      <c r="J405" s="8"/>
      <c r="K405" s="8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>
        <f t="shared" si="7"/>
        <v>406</v>
      </c>
      <c r="B406" s="499" t="s">
        <v>992</v>
      </c>
      <c r="C406" s="417" t="s">
        <v>199</v>
      </c>
      <c r="D406" s="375" t="s">
        <v>876</v>
      </c>
      <c r="E406" s="8"/>
      <c r="F406" s="8"/>
      <c r="G406" s="8"/>
      <c r="H406" s="8"/>
      <c r="I406" s="8"/>
      <c r="J406" s="8"/>
      <c r="K406" s="8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>
        <f t="shared" si="7"/>
        <v>407</v>
      </c>
      <c r="B407" s="499" t="s">
        <v>992</v>
      </c>
      <c r="C407" s="417" t="s">
        <v>199</v>
      </c>
      <c r="D407" s="21" t="s">
        <v>62</v>
      </c>
      <c r="E407" s="501" t="s">
        <v>863</v>
      </c>
      <c r="F407" s="21" t="s">
        <v>64</v>
      </c>
      <c r="G407" s="8"/>
      <c r="H407" s="8"/>
      <c r="I407" s="8"/>
      <c r="J407" s="8"/>
      <c r="K407" s="8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>
        <f t="shared" si="7"/>
        <v>408</v>
      </c>
      <c r="B408" s="498" t="s">
        <v>991</v>
      </c>
      <c r="C408" s="417" t="s">
        <v>199</v>
      </c>
      <c r="D408" s="502" t="s">
        <v>924</v>
      </c>
      <c r="E408" s="497" t="s">
        <v>990</v>
      </c>
      <c r="F408" s="498" t="s">
        <v>991</v>
      </c>
      <c r="G408" s="8"/>
      <c r="H408" s="8"/>
      <c r="I408" s="8"/>
      <c r="J408" s="8"/>
      <c r="K408" s="8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>
        <f t="shared" si="7"/>
        <v>409</v>
      </c>
      <c r="B409" s="498" t="s">
        <v>991</v>
      </c>
      <c r="C409" s="417" t="s">
        <v>199</v>
      </c>
      <c r="D409" s="21" t="s">
        <v>41</v>
      </c>
      <c r="E409" s="497" t="s">
        <v>990</v>
      </c>
      <c r="F409" s="498" t="s">
        <v>991</v>
      </c>
      <c r="G409" s="8"/>
      <c r="H409" s="8"/>
      <c r="I409" s="8"/>
      <c r="J409" s="8"/>
      <c r="K409" s="8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>
        <f t="shared" si="7"/>
        <v>410</v>
      </c>
      <c r="B410" s="498" t="s">
        <v>991</v>
      </c>
      <c r="C410" s="417" t="s">
        <v>199</v>
      </c>
      <c r="D410" s="21" t="s">
        <v>8</v>
      </c>
      <c r="E410" s="8"/>
      <c r="F410" s="8"/>
      <c r="G410" s="8"/>
      <c r="H410" s="8"/>
      <c r="I410" s="8"/>
      <c r="J410" s="8"/>
      <c r="K410" s="8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>
        <f t="shared" si="7"/>
        <v>411</v>
      </c>
      <c r="B411" s="500" t="s">
        <v>993</v>
      </c>
      <c r="C411" s="417" t="s">
        <v>199</v>
      </c>
      <c r="D411" s="21" t="s">
        <v>887</v>
      </c>
      <c r="E411" s="499" t="s">
        <v>992</v>
      </c>
      <c r="F411" s="500" t="s">
        <v>993</v>
      </c>
      <c r="G411" s="8"/>
      <c r="H411" s="8"/>
      <c r="I411" s="8"/>
      <c r="J411" s="8"/>
      <c r="K411" s="8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>
        <f t="shared" si="7"/>
        <v>412</v>
      </c>
      <c r="B412" s="500" t="s">
        <v>993</v>
      </c>
      <c r="C412" s="417" t="s">
        <v>199</v>
      </c>
      <c r="D412" s="21" t="s">
        <v>120</v>
      </c>
      <c r="E412" s="499" t="s">
        <v>992</v>
      </c>
      <c r="F412" s="500" t="s">
        <v>993</v>
      </c>
      <c r="G412" s="8"/>
      <c r="H412" s="8"/>
      <c r="I412" s="8"/>
      <c r="J412" s="8"/>
      <c r="K412" s="8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>
        <f t="shared" si="7"/>
        <v>413</v>
      </c>
      <c r="B413" s="500" t="s">
        <v>993</v>
      </c>
      <c r="C413" s="417" t="s">
        <v>199</v>
      </c>
      <c r="D413" s="21" t="s">
        <v>121</v>
      </c>
      <c r="E413" s="499" t="s">
        <v>992</v>
      </c>
      <c r="F413" s="500" t="s">
        <v>993</v>
      </c>
      <c r="G413" s="8"/>
      <c r="H413" s="8"/>
      <c r="I413" s="8"/>
      <c r="J413" s="8"/>
      <c r="K413" s="8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>
        <f t="shared" si="7"/>
        <v>414</v>
      </c>
      <c r="B414" s="500" t="s">
        <v>993</v>
      </c>
      <c r="C414" s="417" t="s">
        <v>199</v>
      </c>
      <c r="D414" s="21" t="s">
        <v>8</v>
      </c>
      <c r="E414" s="8"/>
      <c r="F414" s="8"/>
      <c r="G414" s="8"/>
      <c r="H414" s="8"/>
      <c r="I414" s="8"/>
      <c r="J414" s="8"/>
      <c r="K414" s="8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>
        <f t="shared" si="7"/>
        <v>415</v>
      </c>
      <c r="B415" s="492" t="s">
        <v>988</v>
      </c>
      <c r="C415" s="417" t="s">
        <v>199</v>
      </c>
      <c r="D415" s="417" t="s">
        <v>934</v>
      </c>
      <c r="E415" s="453" t="s">
        <v>955</v>
      </c>
      <c r="F415" s="8"/>
      <c r="G415" s="8"/>
      <c r="H415" s="8"/>
      <c r="I415" s="8"/>
      <c r="J415" s="8"/>
      <c r="K415" s="8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>
        <f t="shared" si="7"/>
        <v>416</v>
      </c>
      <c r="B416" s="492" t="s">
        <v>988</v>
      </c>
      <c r="C416" s="417" t="s">
        <v>199</v>
      </c>
      <c r="D416" s="8" t="s">
        <v>163</v>
      </c>
      <c r="E416" s="453" t="s">
        <v>955</v>
      </c>
      <c r="F416" s="8"/>
      <c r="G416" s="8"/>
      <c r="H416" s="8"/>
      <c r="I416" s="8"/>
      <c r="J416" s="8"/>
      <c r="K416" s="8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>
        <f t="shared" si="7"/>
        <v>417</v>
      </c>
      <c r="B417" s="492" t="s">
        <v>988</v>
      </c>
      <c r="C417" s="417" t="s">
        <v>199</v>
      </c>
      <c r="D417" s="8" t="s">
        <v>167</v>
      </c>
      <c r="E417" s="453" t="s">
        <v>955</v>
      </c>
      <c r="F417" s="8"/>
      <c r="G417" s="8"/>
      <c r="H417" s="8"/>
      <c r="I417" s="8"/>
      <c r="J417" s="8"/>
      <c r="K417" s="8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>
        <f t="shared" si="7"/>
        <v>418</v>
      </c>
      <c r="B418" s="492" t="s">
        <v>988</v>
      </c>
      <c r="C418" s="417" t="s">
        <v>199</v>
      </c>
      <c r="D418" s="8" t="s">
        <v>166</v>
      </c>
      <c r="E418" s="453" t="s">
        <v>955</v>
      </c>
      <c r="F418" s="8"/>
      <c r="G418" s="8"/>
      <c r="H418" s="8"/>
      <c r="I418" s="8"/>
      <c r="J418" s="8"/>
      <c r="K418" s="8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>
        <f t="shared" si="7"/>
        <v>419</v>
      </c>
      <c r="B419" s="492" t="s">
        <v>988</v>
      </c>
      <c r="C419" s="417" t="s">
        <v>199</v>
      </c>
      <c r="D419" s="8" t="s">
        <v>165</v>
      </c>
      <c r="E419" s="453" t="s">
        <v>955</v>
      </c>
      <c r="F419" s="8"/>
      <c r="G419" s="8"/>
      <c r="H419" s="8"/>
      <c r="I419" s="8"/>
      <c r="J419" s="8"/>
      <c r="K419" s="8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>
        <f t="shared" si="7"/>
        <v>420</v>
      </c>
      <c r="B420" s="492" t="s">
        <v>988</v>
      </c>
      <c r="C420" s="417" t="s">
        <v>199</v>
      </c>
      <c r="D420" s="8" t="s">
        <v>164</v>
      </c>
      <c r="E420" s="453" t="s">
        <v>955</v>
      </c>
      <c r="F420" s="8"/>
      <c r="G420" s="8"/>
      <c r="H420" s="8"/>
      <c r="I420" s="8"/>
      <c r="J420" s="8"/>
      <c r="K420" s="8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>
        <f t="shared" si="7"/>
        <v>421</v>
      </c>
      <c r="B421" s="489" t="s">
        <v>985</v>
      </c>
      <c r="C421" s="417" t="s">
        <v>199</v>
      </c>
      <c r="D421" s="417" t="s">
        <v>934</v>
      </c>
      <c r="E421" s="431" t="s">
        <v>935</v>
      </c>
      <c r="F421" s="8"/>
      <c r="G421" s="8"/>
      <c r="H421" s="8"/>
      <c r="I421" s="8"/>
      <c r="J421" s="8"/>
      <c r="K421" s="8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>
        <f t="shared" si="7"/>
        <v>422</v>
      </c>
      <c r="B422" s="489" t="s">
        <v>985</v>
      </c>
      <c r="C422" s="417" t="s">
        <v>199</v>
      </c>
      <c r="D422" s="8" t="s">
        <v>163</v>
      </c>
      <c r="E422" s="431" t="s">
        <v>935</v>
      </c>
      <c r="F422" s="8"/>
      <c r="G422" s="8"/>
      <c r="H422" s="8"/>
      <c r="I422" s="8"/>
      <c r="J422" s="8"/>
      <c r="K422" s="8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>
        <f t="shared" si="7"/>
        <v>423</v>
      </c>
      <c r="B423" s="489" t="s">
        <v>985</v>
      </c>
      <c r="C423" s="417" t="s">
        <v>199</v>
      </c>
      <c r="D423" s="8" t="s">
        <v>167</v>
      </c>
      <c r="E423" s="431" t="s">
        <v>935</v>
      </c>
      <c r="F423" s="8"/>
      <c r="G423" s="8"/>
      <c r="H423" s="8"/>
      <c r="I423" s="8"/>
      <c r="J423" s="8"/>
      <c r="K423" s="8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>
        <f t="shared" si="7"/>
        <v>424</v>
      </c>
      <c r="B424" s="489" t="s">
        <v>985</v>
      </c>
      <c r="C424" s="417" t="s">
        <v>199</v>
      </c>
      <c r="D424" s="8" t="s">
        <v>166</v>
      </c>
      <c r="E424" s="431" t="s">
        <v>935</v>
      </c>
      <c r="F424" s="8"/>
      <c r="G424" s="8"/>
      <c r="H424" s="8"/>
      <c r="I424" s="8"/>
      <c r="J424" s="8"/>
      <c r="K424" s="8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>
        <f t="shared" si="7"/>
        <v>425</v>
      </c>
      <c r="B425" s="489" t="s">
        <v>985</v>
      </c>
      <c r="C425" s="417" t="s">
        <v>199</v>
      </c>
      <c r="D425" s="8" t="s">
        <v>165</v>
      </c>
      <c r="E425" s="431" t="s">
        <v>935</v>
      </c>
      <c r="F425" s="8"/>
      <c r="G425" s="8"/>
      <c r="H425" s="8"/>
      <c r="I425" s="8"/>
      <c r="J425" s="8"/>
      <c r="K425" s="8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>
        <f t="shared" si="7"/>
        <v>426</v>
      </c>
      <c r="B426" s="489" t="s">
        <v>985</v>
      </c>
      <c r="C426" s="417" t="s">
        <v>199</v>
      </c>
      <c r="D426" s="8" t="s">
        <v>164</v>
      </c>
      <c r="E426" s="431" t="s">
        <v>935</v>
      </c>
      <c r="F426" s="8"/>
      <c r="G426" s="8"/>
      <c r="H426" s="8"/>
      <c r="I426" s="8"/>
      <c r="J426" s="8"/>
      <c r="K426" s="8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>
        <f t="shared" si="7"/>
        <v>427</v>
      </c>
      <c r="B427" s="490" t="s">
        <v>986</v>
      </c>
      <c r="C427" s="417" t="s">
        <v>199</v>
      </c>
      <c r="D427" s="417" t="s">
        <v>934</v>
      </c>
      <c r="E427" s="443" t="s">
        <v>947</v>
      </c>
      <c r="F427" s="8"/>
      <c r="G427" s="8"/>
      <c r="H427" s="8"/>
      <c r="I427" s="8"/>
      <c r="J427" s="8"/>
      <c r="K427" s="8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>
        <f t="shared" si="7"/>
        <v>428</v>
      </c>
      <c r="B428" s="490" t="s">
        <v>986</v>
      </c>
      <c r="C428" s="417" t="s">
        <v>199</v>
      </c>
      <c r="D428" s="8" t="s">
        <v>163</v>
      </c>
      <c r="E428" s="443" t="s">
        <v>947</v>
      </c>
      <c r="F428" s="8"/>
      <c r="G428" s="8"/>
      <c r="H428" s="8"/>
      <c r="I428" s="8"/>
      <c r="J428" s="8"/>
      <c r="K428" s="8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>
        <f t="shared" si="7"/>
        <v>429</v>
      </c>
      <c r="B429" s="490" t="s">
        <v>986</v>
      </c>
      <c r="C429" s="417" t="s">
        <v>199</v>
      </c>
      <c r="D429" s="8" t="s">
        <v>167</v>
      </c>
      <c r="E429" s="443" t="s">
        <v>947</v>
      </c>
      <c r="F429" s="8"/>
      <c r="G429" s="8"/>
      <c r="H429" s="8"/>
      <c r="I429" s="8"/>
      <c r="J429" s="8"/>
      <c r="K429" s="8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>
        <f t="shared" si="7"/>
        <v>430</v>
      </c>
      <c r="B430" s="490" t="s">
        <v>986</v>
      </c>
      <c r="C430" s="417" t="s">
        <v>199</v>
      </c>
      <c r="D430" s="8" t="s">
        <v>166</v>
      </c>
      <c r="E430" s="443" t="s">
        <v>947</v>
      </c>
      <c r="F430" s="8"/>
      <c r="G430" s="8"/>
      <c r="H430" s="8"/>
      <c r="I430" s="8"/>
      <c r="J430" s="8"/>
      <c r="K430" s="8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>
        <f t="shared" si="7"/>
        <v>431</v>
      </c>
      <c r="B431" s="490" t="s">
        <v>986</v>
      </c>
      <c r="C431" s="417" t="s">
        <v>199</v>
      </c>
      <c r="D431" s="8" t="s">
        <v>165</v>
      </c>
      <c r="E431" s="443" t="s">
        <v>947</v>
      </c>
      <c r="F431" s="8"/>
      <c r="G431" s="8"/>
      <c r="H431" s="8"/>
      <c r="I431" s="8"/>
      <c r="J431" s="8"/>
      <c r="K431" s="8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>
        <f t="shared" si="7"/>
        <v>432</v>
      </c>
      <c r="B432" s="490" t="s">
        <v>986</v>
      </c>
      <c r="C432" s="417" t="s">
        <v>199</v>
      </c>
      <c r="D432" s="8" t="s">
        <v>164</v>
      </c>
      <c r="E432" s="443" t="s">
        <v>947</v>
      </c>
      <c r="F432" s="8"/>
      <c r="G432" s="8"/>
      <c r="H432" s="8"/>
      <c r="I432" s="8"/>
      <c r="J432" s="8"/>
      <c r="K432" s="8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>
        <f t="shared" si="7"/>
        <v>433</v>
      </c>
      <c r="B433" s="508" t="s">
        <v>987</v>
      </c>
      <c r="C433" s="417" t="s">
        <v>199</v>
      </c>
      <c r="D433" s="21" t="s">
        <v>167</v>
      </c>
      <c r="E433" s="450" t="s">
        <v>952</v>
      </c>
      <c r="F433" s="8"/>
      <c r="G433" s="8"/>
      <c r="H433" s="8"/>
      <c r="I433" s="8"/>
      <c r="J433" s="8"/>
      <c r="K433" s="8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>
        <f t="shared" si="7"/>
        <v>434</v>
      </c>
      <c r="B434" s="508" t="s">
        <v>987</v>
      </c>
      <c r="C434" s="417" t="s">
        <v>199</v>
      </c>
      <c r="D434" s="21" t="s">
        <v>166</v>
      </c>
      <c r="E434" s="450" t="s">
        <v>952</v>
      </c>
      <c r="F434" s="8"/>
      <c r="G434" s="8"/>
      <c r="H434" s="8"/>
      <c r="I434" s="8"/>
      <c r="J434" s="8"/>
      <c r="K434" s="8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>
        <f t="shared" si="7"/>
        <v>435</v>
      </c>
      <c r="B435" s="508" t="s">
        <v>987</v>
      </c>
      <c r="C435" s="417" t="s">
        <v>199</v>
      </c>
      <c r="D435" s="21" t="s">
        <v>165</v>
      </c>
      <c r="E435" s="450" t="s">
        <v>952</v>
      </c>
      <c r="F435" s="8"/>
      <c r="G435" s="8"/>
      <c r="H435" s="8"/>
      <c r="I435" s="8"/>
      <c r="J435" s="8"/>
      <c r="K435" s="8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>
        <f t="shared" si="7"/>
        <v>436</v>
      </c>
      <c r="B436" s="508" t="s">
        <v>987</v>
      </c>
      <c r="C436" s="417" t="s">
        <v>199</v>
      </c>
      <c r="D436" s="21" t="s">
        <v>164</v>
      </c>
      <c r="E436" s="450" t="s">
        <v>952</v>
      </c>
      <c r="F436" s="8"/>
      <c r="G436" s="8"/>
      <c r="H436" s="8"/>
      <c r="I436" s="8"/>
      <c r="J436" s="8"/>
      <c r="K436" s="8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>
        <f t="shared" si="7"/>
        <v>437</v>
      </c>
      <c r="B437" s="491" t="s">
        <v>987</v>
      </c>
      <c r="C437" s="417" t="s">
        <v>199</v>
      </c>
      <c r="D437" s="417" t="s">
        <v>934</v>
      </c>
      <c r="E437" s="448" t="s">
        <v>952</v>
      </c>
      <c r="F437" s="8"/>
      <c r="G437" s="8"/>
      <c r="H437" s="8"/>
      <c r="I437" s="8"/>
      <c r="J437" s="8"/>
      <c r="K437" s="8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>
        <f t="shared" si="7"/>
        <v>438</v>
      </c>
      <c r="B438" s="491" t="s">
        <v>987</v>
      </c>
      <c r="C438" s="417" t="s">
        <v>199</v>
      </c>
      <c r="D438" s="8" t="s">
        <v>163</v>
      </c>
      <c r="E438" s="448" t="s">
        <v>952</v>
      </c>
      <c r="F438" s="8"/>
      <c r="G438" s="8"/>
      <c r="H438" s="8"/>
      <c r="I438" s="8"/>
      <c r="J438" s="8"/>
      <c r="K438" s="8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>
        <f t="shared" si="7"/>
        <v>439</v>
      </c>
      <c r="B439" s="488" t="s">
        <v>984</v>
      </c>
      <c r="C439" s="417" t="s">
        <v>199</v>
      </c>
      <c r="D439" s="360" t="s">
        <v>860</v>
      </c>
      <c r="E439" s="368" t="s">
        <v>869</v>
      </c>
      <c r="F439" s="369" t="s">
        <v>870</v>
      </c>
      <c r="G439" s="503" t="s">
        <v>994</v>
      </c>
      <c r="H439" s="8"/>
      <c r="I439" s="8"/>
      <c r="J439" s="8"/>
      <c r="K439" s="8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>
        <f t="shared" si="7"/>
        <v>440</v>
      </c>
      <c r="B440" s="488" t="s">
        <v>984</v>
      </c>
      <c r="C440" s="417" t="s">
        <v>199</v>
      </c>
      <c r="D440" s="371" t="s">
        <v>872</v>
      </c>
      <c r="E440" s="372" t="s">
        <v>873</v>
      </c>
      <c r="F440" s="373" t="s">
        <v>874</v>
      </c>
      <c r="G440" s="504" t="s">
        <v>995</v>
      </c>
      <c r="H440" s="8"/>
      <c r="I440" s="8"/>
      <c r="J440" s="8"/>
      <c r="K440" s="8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>
        <f t="shared" si="7"/>
        <v>441</v>
      </c>
      <c r="B441" s="488" t="s">
        <v>984</v>
      </c>
      <c r="C441" s="417" t="s">
        <v>199</v>
      </c>
      <c r="D441" s="375" t="s">
        <v>876</v>
      </c>
      <c r="E441" s="376" t="s">
        <v>877</v>
      </c>
      <c r="F441" s="505" t="s">
        <v>996</v>
      </c>
      <c r="G441" s="8"/>
      <c r="H441" s="8"/>
      <c r="I441" s="8"/>
      <c r="J441" s="8"/>
      <c r="K441" s="8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>
        <f t="shared" si="7"/>
        <v>442</v>
      </c>
      <c r="B442" s="488" t="s">
        <v>984</v>
      </c>
      <c r="C442" s="417" t="s">
        <v>199</v>
      </c>
      <c r="D442" s="378" t="s">
        <v>879</v>
      </c>
      <c r="E442" s="379" t="s">
        <v>880</v>
      </c>
      <c r="F442" s="506" t="s">
        <v>997</v>
      </c>
      <c r="G442" s="8"/>
      <c r="H442" s="8"/>
      <c r="I442" s="8"/>
      <c r="J442" s="8"/>
      <c r="K442" s="8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>
        <f t="shared" si="7"/>
        <v>443</v>
      </c>
      <c r="B443" s="488" t="s">
        <v>984</v>
      </c>
      <c r="C443" s="417" t="s">
        <v>199</v>
      </c>
      <c r="D443" s="8" t="s">
        <v>885</v>
      </c>
      <c r="E443" s="384" t="s">
        <v>886</v>
      </c>
      <c r="F443" s="506" t="s">
        <v>997</v>
      </c>
      <c r="G443" s="8"/>
      <c r="H443" s="8"/>
      <c r="I443" s="8"/>
      <c r="J443" s="8"/>
      <c r="K443" s="8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>
        <f t="shared" si="7"/>
        <v>444</v>
      </c>
      <c r="B444" s="488" t="s">
        <v>984</v>
      </c>
      <c r="C444" s="417" t="s">
        <v>199</v>
      </c>
      <c r="D444" s="361" t="s">
        <v>861</v>
      </c>
      <c r="E444" s="380" t="s">
        <v>881</v>
      </c>
      <c r="F444" s="381" t="s">
        <v>882</v>
      </c>
      <c r="G444" s="507" t="s">
        <v>998</v>
      </c>
      <c r="H444" s="8"/>
      <c r="I444" s="8"/>
      <c r="J444" s="8"/>
      <c r="K444" s="8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>
        <f t="shared" si="7"/>
        <v>445</v>
      </c>
      <c r="B445" s="488" t="s">
        <v>984</v>
      </c>
      <c r="C445" s="417" t="s">
        <v>199</v>
      </c>
      <c r="D445" s="8" t="s">
        <v>62</v>
      </c>
      <c r="E445" s="488" t="s">
        <v>984</v>
      </c>
      <c r="F445" s="507" t="s">
        <v>998</v>
      </c>
      <c r="G445" s="8"/>
      <c r="H445" s="8"/>
      <c r="I445" s="8"/>
      <c r="J445" s="8"/>
      <c r="K445" s="8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>
        <f t="shared" si="7"/>
        <v>446</v>
      </c>
      <c r="B446" s="503" t="s">
        <v>994</v>
      </c>
      <c r="C446" s="417" t="s">
        <v>199</v>
      </c>
      <c r="D446" s="8" t="s">
        <v>64</v>
      </c>
      <c r="E446" s="368" t="s">
        <v>869</v>
      </c>
      <c r="F446" s="369" t="s">
        <v>870</v>
      </c>
      <c r="G446" s="489" t="s">
        <v>985</v>
      </c>
      <c r="H446" s="8"/>
      <c r="I446" s="8"/>
      <c r="J446" s="8"/>
      <c r="K446" s="8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>
        <f t="shared" si="7"/>
        <v>447</v>
      </c>
      <c r="B447" s="503" t="s">
        <v>994</v>
      </c>
      <c r="C447" s="417" t="s">
        <v>199</v>
      </c>
      <c r="D447" s="489" t="s">
        <v>985</v>
      </c>
      <c r="E447" s="379" t="s">
        <v>880</v>
      </c>
      <c r="F447" s="506" t="s">
        <v>997</v>
      </c>
      <c r="G447" s="8"/>
      <c r="H447" s="8"/>
      <c r="I447" s="8"/>
      <c r="J447" s="8"/>
      <c r="K447" s="8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>
        <f t="shared" si="7"/>
        <v>448</v>
      </c>
      <c r="B448" s="504" t="s">
        <v>995</v>
      </c>
      <c r="C448" s="417" t="s">
        <v>199</v>
      </c>
      <c r="D448" s="8" t="s">
        <v>64</v>
      </c>
      <c r="E448" s="372" t="s">
        <v>873</v>
      </c>
      <c r="F448" s="373" t="s">
        <v>874</v>
      </c>
      <c r="G448" s="490" t="s">
        <v>986</v>
      </c>
      <c r="H448" s="8"/>
      <c r="I448" s="8"/>
      <c r="J448" s="8"/>
      <c r="K448" s="8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>
        <f t="shared" si="7"/>
        <v>449</v>
      </c>
      <c r="B449" s="504" t="s">
        <v>995</v>
      </c>
      <c r="C449" s="417" t="s">
        <v>199</v>
      </c>
      <c r="D449" s="490" t="s">
        <v>986</v>
      </c>
      <c r="E449" s="379" t="s">
        <v>880</v>
      </c>
      <c r="F449" s="506" t="s">
        <v>997</v>
      </c>
      <c r="G449" s="8"/>
      <c r="H449" s="8"/>
      <c r="I449" s="8"/>
      <c r="J449" s="8"/>
      <c r="K449" s="8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>
        <f t="shared" si="7"/>
        <v>450</v>
      </c>
      <c r="B450" s="505" t="s">
        <v>996</v>
      </c>
      <c r="C450" s="417" t="s">
        <v>199</v>
      </c>
      <c r="D450" s="8" t="s">
        <v>64</v>
      </c>
      <c r="E450" s="376" t="s">
        <v>877</v>
      </c>
      <c r="F450" s="491" t="s">
        <v>987</v>
      </c>
      <c r="G450" s="8"/>
      <c r="H450" s="8"/>
      <c r="I450" s="8"/>
      <c r="J450" s="8"/>
      <c r="K450" s="8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>
        <f t="shared" si="7"/>
        <v>451</v>
      </c>
      <c r="B451" s="505" t="s">
        <v>996</v>
      </c>
      <c r="C451" s="417" t="s">
        <v>199</v>
      </c>
      <c r="D451" s="491" t="s">
        <v>987</v>
      </c>
      <c r="E451" s="379" t="s">
        <v>880</v>
      </c>
      <c r="F451" s="506" t="s">
        <v>997</v>
      </c>
      <c r="G451" s="8"/>
      <c r="H451" s="8"/>
      <c r="I451" s="8"/>
      <c r="J451" s="8"/>
      <c r="K451" s="8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>
        <f t="shared" si="7"/>
        <v>452</v>
      </c>
      <c r="B452" s="506" t="s">
        <v>997</v>
      </c>
      <c r="C452" s="417" t="s">
        <v>199</v>
      </c>
      <c r="D452" s="8" t="s">
        <v>64</v>
      </c>
      <c r="E452" s="8"/>
      <c r="F452" s="8"/>
      <c r="G452" s="8"/>
      <c r="H452" s="8"/>
      <c r="I452" s="8"/>
      <c r="J452" s="8"/>
      <c r="K452" s="8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>
        <f t="shared" si="7"/>
        <v>453</v>
      </c>
      <c r="B453" s="507" t="s">
        <v>998</v>
      </c>
      <c r="C453" s="417" t="s">
        <v>199</v>
      </c>
      <c r="D453" s="8" t="s">
        <v>64</v>
      </c>
      <c r="E453" s="380" t="s">
        <v>881</v>
      </c>
      <c r="F453" s="381" t="s">
        <v>882</v>
      </c>
      <c r="G453" s="492" t="s">
        <v>988</v>
      </c>
      <c r="H453" s="8"/>
      <c r="I453" s="8"/>
      <c r="J453" s="8"/>
      <c r="K453" s="8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>
        <f t="shared" si="7"/>
        <v>454</v>
      </c>
      <c r="B454" s="507" t="s">
        <v>998</v>
      </c>
      <c r="C454" s="417" t="s">
        <v>199</v>
      </c>
      <c r="D454" s="492" t="s">
        <v>988</v>
      </c>
      <c r="E454" s="379" t="s">
        <v>880</v>
      </c>
      <c r="F454" s="506" t="s">
        <v>997</v>
      </c>
      <c r="G454" s="8"/>
      <c r="H454" s="8"/>
      <c r="I454" s="8"/>
      <c r="J454" s="8"/>
      <c r="K454" s="8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>
        <f t="shared" si="7"/>
        <v>455</v>
      </c>
      <c r="B455" s="387" t="s">
        <v>861</v>
      </c>
      <c r="C455" s="417" t="s">
        <v>199</v>
      </c>
      <c r="D455" s="8" t="s">
        <v>14</v>
      </c>
      <c r="E455" s="388" t="s">
        <v>890</v>
      </c>
      <c r="F455" s="8"/>
      <c r="G455" s="8"/>
      <c r="H455" s="8"/>
      <c r="I455" s="8"/>
      <c r="J455" s="8"/>
      <c r="K455" s="8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>
        <f t="shared" si="7"/>
        <v>456</v>
      </c>
      <c r="B456" s="362" t="s">
        <v>860</v>
      </c>
      <c r="C456" s="417" t="s">
        <v>199</v>
      </c>
      <c r="D456" s="8" t="s">
        <v>862</v>
      </c>
      <c r="E456" s="8" t="s">
        <v>62</v>
      </c>
      <c r="F456" s="363" t="s">
        <v>863</v>
      </c>
      <c r="G456" s="8" t="s">
        <v>64</v>
      </c>
      <c r="H456" s="8"/>
      <c r="I456" s="8"/>
      <c r="J456" s="8"/>
      <c r="K456" s="8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>
        <f t="shared" si="7"/>
        <v>457</v>
      </c>
      <c r="B457" s="362" t="s">
        <v>860</v>
      </c>
      <c r="C457" s="417" t="s">
        <v>199</v>
      </c>
      <c r="D457" s="8" t="s">
        <v>864</v>
      </c>
      <c r="E457" s="8" t="s">
        <v>62</v>
      </c>
      <c r="F457" s="364" t="s">
        <v>865</v>
      </c>
      <c r="G457" s="8" t="s">
        <v>64</v>
      </c>
      <c r="H457" s="8"/>
      <c r="I457" s="8"/>
      <c r="J457" s="8"/>
      <c r="K457" s="8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>
        <f t="shared" si="7"/>
        <v>458</v>
      </c>
      <c r="B458" s="362" t="s">
        <v>860</v>
      </c>
      <c r="C458" s="417" t="s">
        <v>199</v>
      </c>
      <c r="D458" s="8" t="s">
        <v>866</v>
      </c>
      <c r="E458" s="8" t="s">
        <v>62</v>
      </c>
      <c r="F458" s="364" t="s">
        <v>865</v>
      </c>
      <c r="G458" s="365" t="s">
        <v>38</v>
      </c>
      <c r="H458" s="366" t="s">
        <v>28</v>
      </c>
      <c r="I458" s="8" t="s">
        <v>64</v>
      </c>
      <c r="J458" s="8"/>
      <c r="K458" s="8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>
        <f t="shared" si="7"/>
        <v>459</v>
      </c>
      <c r="B459" s="362" t="s">
        <v>860</v>
      </c>
      <c r="C459" s="417" t="s">
        <v>199</v>
      </c>
      <c r="D459" s="8" t="s">
        <v>867</v>
      </c>
      <c r="E459" s="8" t="s">
        <v>62</v>
      </c>
      <c r="F459" s="355" t="s">
        <v>855</v>
      </c>
      <c r="G459" s="8" t="s">
        <v>64</v>
      </c>
      <c r="H459" s="8"/>
      <c r="I459" s="8"/>
      <c r="J459" s="8"/>
      <c r="K459" s="8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>
        <f t="shared" si="7"/>
        <v>460</v>
      </c>
      <c r="B460" s="362" t="s">
        <v>860</v>
      </c>
      <c r="C460" s="417" t="s">
        <v>199</v>
      </c>
      <c r="D460" s="8" t="s">
        <v>133</v>
      </c>
      <c r="E460" s="8" t="s">
        <v>62</v>
      </c>
      <c r="F460" s="355" t="s">
        <v>855</v>
      </c>
      <c r="G460" s="365" t="s">
        <v>38</v>
      </c>
      <c r="H460" s="355" t="s">
        <v>855</v>
      </c>
      <c r="I460" s="8" t="s">
        <v>64</v>
      </c>
      <c r="J460" s="8"/>
      <c r="K460" s="8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>
        <f t="shared" si="7"/>
        <v>461</v>
      </c>
      <c r="B461" s="362" t="s">
        <v>860</v>
      </c>
      <c r="C461" s="417" t="s">
        <v>199</v>
      </c>
      <c r="D461" s="21" t="s">
        <v>868</v>
      </c>
      <c r="E461" s="8"/>
      <c r="F461" s="8"/>
      <c r="G461" s="8"/>
      <c r="H461" s="8"/>
      <c r="I461" s="8"/>
      <c r="J461" s="8"/>
      <c r="K461" s="8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>
        <f t="shared" si="7"/>
        <v>462</v>
      </c>
      <c r="B462" s="405" t="s">
        <v>872</v>
      </c>
      <c r="C462" s="417" t="s">
        <v>199</v>
      </c>
      <c r="D462" s="8" t="s">
        <v>134</v>
      </c>
      <c r="E462" s="8" t="s">
        <v>62</v>
      </c>
      <c r="F462" s="355" t="s">
        <v>855</v>
      </c>
      <c r="G462" s="8" t="s">
        <v>64</v>
      </c>
      <c r="H462" s="8"/>
      <c r="I462" s="8"/>
      <c r="J462" s="8"/>
      <c r="K462" s="8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>
        <f t="shared" si="7"/>
        <v>463</v>
      </c>
      <c r="B463" s="405" t="s">
        <v>872</v>
      </c>
      <c r="C463" s="417" t="s">
        <v>199</v>
      </c>
      <c r="D463" s="8" t="s">
        <v>906</v>
      </c>
      <c r="E463" s="8" t="s">
        <v>62</v>
      </c>
      <c r="F463" s="8" t="s">
        <v>64</v>
      </c>
      <c r="G463" s="8"/>
      <c r="H463" s="8"/>
      <c r="I463" s="8"/>
      <c r="J463" s="8"/>
      <c r="K463" s="8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>
        <f t="shared" si="7"/>
        <v>464</v>
      </c>
      <c r="B464" s="405" t="s">
        <v>872</v>
      </c>
      <c r="C464" s="417" t="s">
        <v>199</v>
      </c>
      <c r="D464" s="8" t="s">
        <v>907</v>
      </c>
      <c r="E464" s="8" t="s">
        <v>62</v>
      </c>
      <c r="F464" s="363" t="s">
        <v>863</v>
      </c>
      <c r="G464" s="8" t="s">
        <v>64</v>
      </c>
      <c r="H464" s="8"/>
      <c r="I464" s="8"/>
      <c r="J464" s="8"/>
      <c r="K464" s="8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>
        <f t="shared" si="7"/>
        <v>465</v>
      </c>
      <c r="B465" s="405" t="s">
        <v>872</v>
      </c>
      <c r="C465" s="417" t="s">
        <v>199</v>
      </c>
      <c r="D465" s="21" t="s">
        <v>902</v>
      </c>
      <c r="E465" s="8"/>
      <c r="F465" s="8"/>
      <c r="G465" s="8"/>
      <c r="H465" s="8"/>
      <c r="I465" s="8"/>
      <c r="J465" s="8"/>
      <c r="K465" s="8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>
        <f t="shared" si="7"/>
        <v>466</v>
      </c>
      <c r="B466" s="408" t="s">
        <v>891</v>
      </c>
      <c r="C466" s="417" t="s">
        <v>199</v>
      </c>
      <c r="D466" s="8" t="s">
        <v>911</v>
      </c>
      <c r="E466" s="8" t="s">
        <v>62</v>
      </c>
      <c r="F466" s="364" t="s">
        <v>865</v>
      </c>
      <c r="G466" s="365" t="s">
        <v>38</v>
      </c>
      <c r="H466" s="366" t="s">
        <v>28</v>
      </c>
      <c r="I466" s="8" t="s">
        <v>64</v>
      </c>
      <c r="J466" s="8"/>
      <c r="K466" s="8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>
        <f t="shared" si="7"/>
        <v>467</v>
      </c>
      <c r="B467" s="408" t="s">
        <v>891</v>
      </c>
      <c r="C467" s="417" t="s">
        <v>199</v>
      </c>
      <c r="D467" s="8" t="s">
        <v>912</v>
      </c>
      <c r="E467" s="8" t="s">
        <v>62</v>
      </c>
      <c r="F467" s="364" t="s">
        <v>865</v>
      </c>
      <c r="G467" s="8" t="s">
        <v>64</v>
      </c>
      <c r="H467" s="8"/>
      <c r="I467" s="8"/>
      <c r="J467" s="8"/>
      <c r="K467" s="8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>
        <f t="shared" si="7"/>
        <v>468</v>
      </c>
      <c r="B468" s="408" t="s">
        <v>891</v>
      </c>
      <c r="C468" s="417" t="s">
        <v>199</v>
      </c>
      <c r="D468" s="8" t="s">
        <v>913</v>
      </c>
      <c r="E468" s="8" t="s">
        <v>62</v>
      </c>
      <c r="F468" s="364" t="s">
        <v>865</v>
      </c>
      <c r="G468" s="8" t="s">
        <v>64</v>
      </c>
      <c r="H468" s="8"/>
      <c r="I468" s="8"/>
      <c r="J468" s="8"/>
      <c r="K468" s="8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>
        <f t="shared" si="7"/>
        <v>469</v>
      </c>
      <c r="B469" s="408" t="s">
        <v>891</v>
      </c>
      <c r="C469" s="417" t="s">
        <v>199</v>
      </c>
      <c r="D469" s="8" t="s">
        <v>914</v>
      </c>
      <c r="E469" s="8" t="s">
        <v>62</v>
      </c>
      <c r="F469" s="364" t="s">
        <v>865</v>
      </c>
      <c r="G469" s="365" t="s">
        <v>38</v>
      </c>
      <c r="H469" s="366" t="s">
        <v>28</v>
      </c>
      <c r="I469" s="8" t="s">
        <v>64</v>
      </c>
      <c r="J469" s="409"/>
      <c r="K469" s="409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3">
        <f t="shared" si="7"/>
        <v>470</v>
      </c>
      <c r="B470" s="406" t="s">
        <v>879</v>
      </c>
      <c r="C470" s="417" t="s">
        <v>199</v>
      </c>
      <c r="D470" s="8" t="s">
        <v>908</v>
      </c>
      <c r="E470" s="8" t="s">
        <v>62</v>
      </c>
      <c r="F470" s="407" t="s">
        <v>909</v>
      </c>
      <c r="G470" s="365" t="s">
        <v>38</v>
      </c>
      <c r="H470" s="407" t="s">
        <v>909</v>
      </c>
      <c r="I470" s="8" t="s">
        <v>64</v>
      </c>
      <c r="J470" s="8"/>
      <c r="K470" s="8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>
        <f t="shared" si="7"/>
        <v>471</v>
      </c>
      <c r="B471" s="406" t="s">
        <v>879</v>
      </c>
      <c r="C471" s="417" t="s">
        <v>199</v>
      </c>
      <c r="D471" s="8" t="s">
        <v>910</v>
      </c>
      <c r="E471" s="8" t="s">
        <v>62</v>
      </c>
      <c r="F471" s="363" t="s">
        <v>863</v>
      </c>
      <c r="G471" s="8" t="s">
        <v>64</v>
      </c>
      <c r="H471" s="8"/>
      <c r="I471" s="8"/>
      <c r="J471" s="8"/>
      <c r="K471" s="8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>
        <f t="shared" si="7"/>
        <v>472</v>
      </c>
      <c r="B472" s="406" t="s">
        <v>879</v>
      </c>
      <c r="C472" s="417" t="s">
        <v>199</v>
      </c>
      <c r="D472" s="21" t="s">
        <v>903</v>
      </c>
      <c r="E472" s="8"/>
      <c r="F472" s="8"/>
      <c r="G472" s="8"/>
      <c r="H472" s="8"/>
      <c r="I472" s="8"/>
      <c r="J472" s="8"/>
      <c r="K472" s="8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>
        <f t="shared" si="7"/>
        <v>473</v>
      </c>
      <c r="B473" s="411" t="s">
        <v>876</v>
      </c>
      <c r="C473" s="417" t="s">
        <v>199</v>
      </c>
      <c r="D473" s="8" t="s">
        <v>915</v>
      </c>
      <c r="E473" s="8" t="s">
        <v>62</v>
      </c>
      <c r="F473" s="412" t="s">
        <v>916</v>
      </c>
      <c r="G473" s="8" t="s">
        <v>64</v>
      </c>
      <c r="H473" s="8"/>
      <c r="I473" s="8"/>
      <c r="J473" s="8"/>
      <c r="K473" s="8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>
        <f t="shared" si="7"/>
        <v>474</v>
      </c>
      <c r="B474" s="411" t="s">
        <v>876</v>
      </c>
      <c r="C474" s="417" t="s">
        <v>199</v>
      </c>
      <c r="D474" s="8" t="s">
        <v>917</v>
      </c>
      <c r="E474" s="8" t="s">
        <v>62</v>
      </c>
      <c r="F474" s="8" t="s">
        <v>64</v>
      </c>
      <c r="G474" s="8"/>
      <c r="H474" s="8"/>
      <c r="I474" s="8"/>
      <c r="J474" s="8"/>
      <c r="K474" s="8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>
        <f t="shared" si="7"/>
        <v>475</v>
      </c>
      <c r="B475" s="411" t="s">
        <v>876</v>
      </c>
      <c r="C475" s="417" t="s">
        <v>199</v>
      </c>
      <c r="D475" s="8" t="s">
        <v>918</v>
      </c>
      <c r="E475" s="8" t="s">
        <v>62</v>
      </c>
      <c r="F475" s="412" t="s">
        <v>916</v>
      </c>
      <c r="G475" s="365" t="s">
        <v>38</v>
      </c>
      <c r="H475" s="355" t="s">
        <v>855</v>
      </c>
      <c r="I475" s="413" t="s">
        <v>38</v>
      </c>
      <c r="J475" s="355" t="s">
        <v>855</v>
      </c>
      <c r="K475" s="8" t="s">
        <v>64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>
        <f t="shared" si="7"/>
        <v>476</v>
      </c>
      <c r="B476" s="411" t="s">
        <v>876</v>
      </c>
      <c r="C476" s="417" t="s">
        <v>199</v>
      </c>
      <c r="D476" s="8" t="s">
        <v>919</v>
      </c>
      <c r="E476" s="8" t="s">
        <v>62</v>
      </c>
      <c r="F476" s="355" t="s">
        <v>855</v>
      </c>
      <c r="G476" s="365" t="s">
        <v>38</v>
      </c>
      <c r="H476" s="414" t="s">
        <v>920</v>
      </c>
      <c r="I476" s="8" t="s">
        <v>64</v>
      </c>
      <c r="J476" s="8"/>
      <c r="K476" s="8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>
        <f t="shared" si="7"/>
        <v>477</v>
      </c>
      <c r="B477" s="411" t="s">
        <v>876</v>
      </c>
      <c r="C477" s="417" t="s">
        <v>199</v>
      </c>
      <c r="D477" s="8" t="s">
        <v>921</v>
      </c>
      <c r="E477" s="8" t="s">
        <v>62</v>
      </c>
      <c r="F477" s="363" t="s">
        <v>863</v>
      </c>
      <c r="G477" s="8" t="s">
        <v>64</v>
      </c>
      <c r="H477" s="8"/>
      <c r="I477" s="8"/>
      <c r="J477" s="8"/>
      <c r="K477" s="8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>
        <f t="shared" si="7"/>
        <v>478</v>
      </c>
      <c r="B478" s="411" t="s">
        <v>876</v>
      </c>
      <c r="C478" s="417" t="s">
        <v>199</v>
      </c>
      <c r="D478" s="21" t="s">
        <v>904</v>
      </c>
      <c r="E478" s="8"/>
      <c r="F478" s="8"/>
      <c r="G478" s="8"/>
      <c r="H478" s="8"/>
      <c r="I478" s="8"/>
      <c r="J478" s="8"/>
      <c r="K478" s="8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>
        <f t="shared" si="7"/>
        <v>479</v>
      </c>
      <c r="B479" s="364" t="s">
        <v>865</v>
      </c>
      <c r="C479" s="417" t="s">
        <v>199</v>
      </c>
      <c r="D479" s="8" t="s">
        <v>30</v>
      </c>
      <c r="E479" s="410" t="s">
        <v>905</v>
      </c>
      <c r="F479" s="8" t="s">
        <v>32</v>
      </c>
      <c r="G479" s="8"/>
      <c r="H479" s="8"/>
      <c r="I479" s="8"/>
      <c r="J479" s="8"/>
      <c r="K479" s="8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>
        <f t="shared" si="7"/>
        <v>480</v>
      </c>
      <c r="B480" s="364" t="s">
        <v>865</v>
      </c>
      <c r="C480" s="417" t="s">
        <v>199</v>
      </c>
      <c r="D480" s="387" t="s">
        <v>861</v>
      </c>
      <c r="E480" s="8"/>
      <c r="F480" s="8"/>
      <c r="G480" s="8"/>
      <c r="H480" s="8"/>
      <c r="I480" s="8"/>
      <c r="J480" s="8"/>
      <c r="K480" s="8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>
        <f t="shared" si="7"/>
        <v>481</v>
      </c>
      <c r="B481" s="364" t="s">
        <v>865</v>
      </c>
      <c r="C481" s="8"/>
      <c r="D481" s="390" t="s">
        <v>891</v>
      </c>
      <c r="E481" s="8"/>
      <c r="F481" s="8"/>
      <c r="G481" s="8"/>
      <c r="H481" s="8"/>
      <c r="I481" s="8"/>
      <c r="J481" s="8"/>
      <c r="K481" s="8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>
        <f t="shared" si="7"/>
        <v>482</v>
      </c>
      <c r="B482" s="518" t="s">
        <v>1007</v>
      </c>
      <c r="C482" s="417" t="s">
        <v>199</v>
      </c>
      <c r="D482" s="21" t="s">
        <v>30</v>
      </c>
      <c r="E482" s="519" t="s">
        <v>929</v>
      </c>
      <c r="F482" s="21" t="s">
        <v>32</v>
      </c>
      <c r="G482" s="8"/>
      <c r="H482" s="8"/>
      <c r="I482" s="8"/>
      <c r="J482" s="8"/>
      <c r="K482" s="8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>
        <f t="shared" si="7"/>
        <v>483</v>
      </c>
      <c r="B483" s="518" t="s">
        <v>1007</v>
      </c>
      <c r="C483" s="417" t="s">
        <v>199</v>
      </c>
      <c r="D483" s="387" t="s">
        <v>861</v>
      </c>
      <c r="E483" s="8"/>
      <c r="F483" s="8"/>
      <c r="G483" s="8"/>
      <c r="H483" s="8"/>
      <c r="I483" s="8"/>
      <c r="J483" s="8"/>
      <c r="K483" s="8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>
        <f t="shared" si="7"/>
        <v>484</v>
      </c>
      <c r="B484" s="407" t="s">
        <v>909</v>
      </c>
      <c r="C484" s="417" t="s">
        <v>199</v>
      </c>
      <c r="D484" s="8" t="s">
        <v>30</v>
      </c>
      <c r="E484" s="397" t="s">
        <v>897</v>
      </c>
      <c r="F484" s="8" t="s">
        <v>32</v>
      </c>
      <c r="G484" s="8"/>
      <c r="H484" s="8"/>
      <c r="I484" s="8"/>
      <c r="J484" s="8"/>
      <c r="K484" s="8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>
        <f t="shared" si="7"/>
        <v>485</v>
      </c>
      <c r="B485" s="407" t="s">
        <v>909</v>
      </c>
      <c r="C485" s="417" t="s">
        <v>199</v>
      </c>
      <c r="D485" s="361" t="s">
        <v>861</v>
      </c>
      <c r="E485" s="8"/>
      <c r="F485" s="8"/>
      <c r="G485" s="8"/>
      <c r="H485" s="8"/>
      <c r="I485" s="8"/>
      <c r="J485" s="8"/>
      <c r="K485" s="8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>
        <f t="shared" si="7"/>
        <v>486</v>
      </c>
      <c r="B486" s="407" t="s">
        <v>909</v>
      </c>
      <c r="C486" s="417" t="s">
        <v>199</v>
      </c>
      <c r="D486" s="408" t="s">
        <v>891</v>
      </c>
      <c r="E486" s="8"/>
      <c r="F486" s="8"/>
      <c r="G486" s="8"/>
      <c r="H486" s="8"/>
      <c r="I486" s="8"/>
      <c r="J486" s="8"/>
      <c r="K486" s="8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>
        <f t="shared" si="7"/>
        <v>487</v>
      </c>
      <c r="B487" s="366" t="s">
        <v>28</v>
      </c>
      <c r="C487" s="417" t="s">
        <v>199</v>
      </c>
      <c r="D487" s="8" t="s">
        <v>30</v>
      </c>
      <c r="E487" s="397" t="s">
        <v>897</v>
      </c>
      <c r="F487" s="8" t="s">
        <v>32</v>
      </c>
      <c r="G487" s="8"/>
      <c r="H487" s="8"/>
      <c r="I487" s="8"/>
      <c r="J487" s="8"/>
      <c r="K487" s="8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>
        <f t="shared" si="7"/>
        <v>488</v>
      </c>
      <c r="B488" s="366" t="s">
        <v>28</v>
      </c>
      <c r="C488" s="417" t="s">
        <v>199</v>
      </c>
      <c r="D488" s="363" t="s">
        <v>863</v>
      </c>
      <c r="E488" s="8"/>
      <c r="F488" s="8"/>
      <c r="G488" s="8"/>
      <c r="H488" s="8"/>
      <c r="I488" s="8"/>
      <c r="J488" s="8"/>
      <c r="K488" s="8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>
        <f t="shared" si="7"/>
        <v>489</v>
      </c>
      <c r="B489" s="366" t="s">
        <v>28</v>
      </c>
      <c r="C489" s="417" t="s">
        <v>199</v>
      </c>
      <c r="D489" s="408" t="s">
        <v>891</v>
      </c>
      <c r="E489" s="8"/>
      <c r="F489" s="8"/>
      <c r="G489" s="8"/>
      <c r="H489" s="8"/>
      <c r="I489" s="8"/>
      <c r="J489" s="8"/>
      <c r="K489" s="8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4.38"/>
    <col customWidth="1" min="3" max="3" width="3.0"/>
    <col customWidth="1" min="4" max="11" width="25.13"/>
  </cols>
  <sheetData>
    <row r="1">
      <c r="A1" s="3">
        <f t="shared" ref="A1:A240" si="1">ROW()</f>
        <v>1</v>
      </c>
      <c r="B1" s="340" t="s">
        <v>0</v>
      </c>
      <c r="C1" s="3" t="str">
        <f t="shared" ref="C1:C13" si="2">"=&gt;"</f>
        <v>=&gt;</v>
      </c>
      <c r="D1" s="341" t="s">
        <v>836</v>
      </c>
      <c r="E1" s="342" t="s">
        <v>837</v>
      </c>
      <c r="F1" s="3" t="s">
        <v>838</v>
      </c>
      <c r="G1" s="3" t="s">
        <v>62</v>
      </c>
      <c r="H1" s="3" t="s">
        <v>64</v>
      </c>
      <c r="I1" s="651" t="s">
        <v>839</v>
      </c>
      <c r="J1" s="3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>
        <f t="shared" si="1"/>
        <v>2</v>
      </c>
      <c r="B2" s="341" t="s">
        <v>836</v>
      </c>
      <c r="C2" s="3" t="str">
        <f t="shared" si="2"/>
        <v>=&gt;</v>
      </c>
      <c r="D2" s="7" t="s">
        <v>840</v>
      </c>
      <c r="E2" s="344" t="s">
        <v>841</v>
      </c>
      <c r="F2" s="341" t="s">
        <v>836</v>
      </c>
      <c r="G2" s="3"/>
      <c r="H2" s="3"/>
      <c r="I2" s="3"/>
      <c r="J2" s="3"/>
      <c r="K2" s="3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">
        <f t="shared" si="1"/>
        <v>3</v>
      </c>
      <c r="B3" s="341" t="s">
        <v>836</v>
      </c>
      <c r="C3" s="3" t="str">
        <f t="shared" si="2"/>
        <v>=&gt;</v>
      </c>
      <c r="D3" s="7" t="s">
        <v>842</v>
      </c>
      <c r="E3" s="345" t="s">
        <v>843</v>
      </c>
      <c r="F3" s="341" t="s">
        <v>836</v>
      </c>
      <c r="G3" s="3"/>
      <c r="H3" s="3"/>
      <c r="I3" s="3"/>
      <c r="J3" s="3"/>
      <c r="K3" s="3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">
        <f t="shared" si="1"/>
        <v>4</v>
      </c>
      <c r="B4" s="341" t="s">
        <v>836</v>
      </c>
      <c r="C4" s="3" t="str">
        <f t="shared" si="2"/>
        <v>=&gt;</v>
      </c>
      <c r="D4" s="3" t="s">
        <v>844</v>
      </c>
      <c r="E4" s="346" t="s">
        <v>845</v>
      </c>
      <c r="F4" s="341" t="s">
        <v>836</v>
      </c>
      <c r="G4" s="3"/>
      <c r="H4" s="3"/>
      <c r="I4" s="3"/>
      <c r="J4" s="3"/>
      <c r="K4" s="3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">
        <f t="shared" si="1"/>
        <v>5</v>
      </c>
      <c r="B5" s="341" t="s">
        <v>836</v>
      </c>
      <c r="C5" s="3" t="str">
        <f t="shared" si="2"/>
        <v>=&gt;</v>
      </c>
      <c r="D5" s="3" t="s">
        <v>846</v>
      </c>
      <c r="E5" s="347" t="s">
        <v>847</v>
      </c>
      <c r="F5" s="341" t="s">
        <v>836</v>
      </c>
      <c r="G5" s="3"/>
      <c r="H5" s="3"/>
      <c r="I5" s="3"/>
      <c r="J5" s="3"/>
      <c r="K5" s="3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">
        <f t="shared" si="1"/>
        <v>6</v>
      </c>
      <c r="B6" s="341" t="s">
        <v>836</v>
      </c>
      <c r="C6" s="3" t="str">
        <f t="shared" si="2"/>
        <v>=&gt;</v>
      </c>
      <c r="D6" s="348" t="s">
        <v>848</v>
      </c>
      <c r="E6" s="341" t="s">
        <v>836</v>
      </c>
      <c r="F6" s="3"/>
      <c r="G6" s="3"/>
      <c r="H6" s="3"/>
      <c r="I6" s="3"/>
      <c r="J6" s="3"/>
      <c r="K6" s="3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">
        <f t="shared" si="1"/>
        <v>7</v>
      </c>
      <c r="B7" s="341" t="s">
        <v>836</v>
      </c>
      <c r="C7" s="3" t="str">
        <f t="shared" si="2"/>
        <v>=&gt;</v>
      </c>
      <c r="D7" s="3" t="s">
        <v>14</v>
      </c>
      <c r="E7" s="349" t="s">
        <v>849</v>
      </c>
      <c r="F7" s="341" t="s">
        <v>836</v>
      </c>
      <c r="G7" s="3"/>
      <c r="H7" s="3"/>
      <c r="I7" s="3"/>
      <c r="J7" s="3"/>
      <c r="K7" s="3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">
        <f t="shared" si="1"/>
        <v>8</v>
      </c>
      <c r="B8" s="341" t="s">
        <v>836</v>
      </c>
      <c r="C8" s="3" t="str">
        <f t="shared" si="2"/>
        <v>=&gt;</v>
      </c>
      <c r="D8" s="3" t="s">
        <v>8</v>
      </c>
      <c r="E8" s="3"/>
      <c r="F8" s="3"/>
      <c r="G8" s="3"/>
      <c r="H8" s="3"/>
      <c r="I8" s="3"/>
      <c r="J8" s="3"/>
      <c r="K8" s="3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">
        <f t="shared" si="1"/>
        <v>9</v>
      </c>
      <c r="B9" s="344" t="s">
        <v>841</v>
      </c>
      <c r="C9" s="3" t="str">
        <f t="shared" si="2"/>
        <v>=&gt;</v>
      </c>
      <c r="D9" s="7" t="s">
        <v>850</v>
      </c>
      <c r="E9" s="350" t="s">
        <v>851</v>
      </c>
      <c r="F9" s="21" t="s">
        <v>6</v>
      </c>
      <c r="G9" s="7"/>
      <c r="H9" s="15"/>
      <c r="I9" s="3"/>
      <c r="J9" s="3"/>
      <c r="K9" s="3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">
        <f t="shared" si="1"/>
        <v>10</v>
      </c>
      <c r="B10" s="344" t="s">
        <v>841</v>
      </c>
      <c r="C10" s="3" t="str">
        <f t="shared" si="2"/>
        <v>=&gt;</v>
      </c>
      <c r="D10" s="351" t="s">
        <v>852</v>
      </c>
      <c r="E10" s="21"/>
      <c r="F10" s="21"/>
      <c r="G10" s="7"/>
      <c r="H10" s="15"/>
      <c r="I10" s="3"/>
      <c r="J10" s="3"/>
      <c r="K10" s="3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">
        <f t="shared" si="1"/>
        <v>11</v>
      </c>
      <c r="B11" s="350" t="s">
        <v>851</v>
      </c>
      <c r="C11" s="3" t="str">
        <f t="shared" si="2"/>
        <v>=&gt;</v>
      </c>
      <c r="D11" s="3" t="s">
        <v>14</v>
      </c>
      <c r="E11" s="352" t="s">
        <v>853</v>
      </c>
      <c r="F11" s="353" t="s">
        <v>854</v>
      </c>
      <c r="G11" s="7"/>
      <c r="H11" s="15"/>
      <c r="I11" s="3"/>
      <c r="J11" s="3"/>
      <c r="K11" s="3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">
        <f t="shared" si="1"/>
        <v>12</v>
      </c>
      <c r="B12" s="352" t="s">
        <v>853</v>
      </c>
      <c r="C12" s="3" t="str">
        <f t="shared" si="2"/>
        <v>=&gt;</v>
      </c>
      <c r="D12" s="3" t="str">
        <f>"="</f>
        <v>=</v>
      </c>
      <c r="E12" s="354" t="s">
        <v>855</v>
      </c>
      <c r="F12" s="21"/>
      <c r="G12" s="7"/>
      <c r="H12" s="15"/>
      <c r="I12" s="3"/>
      <c r="J12" s="3"/>
      <c r="K12" s="3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">
        <f t="shared" si="1"/>
        <v>13</v>
      </c>
      <c r="B13" s="352" t="s">
        <v>853</v>
      </c>
      <c r="C13" s="3" t="str">
        <f t="shared" si="2"/>
        <v>=&gt;</v>
      </c>
      <c r="D13" s="3" t="s">
        <v>8</v>
      </c>
      <c r="E13" s="3"/>
      <c r="F13" s="21"/>
      <c r="G13" s="7"/>
      <c r="H13" s="15"/>
      <c r="I13" s="3"/>
      <c r="J13" s="3"/>
      <c r="K13" s="3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">
        <f t="shared" si="1"/>
        <v>14</v>
      </c>
      <c r="B14" s="355" t="s">
        <v>855</v>
      </c>
      <c r="C14" s="417" t="s">
        <v>199</v>
      </c>
      <c r="D14" s="356" t="s">
        <v>856</v>
      </c>
      <c r="E14" s="357" t="s">
        <v>857</v>
      </c>
      <c r="F14" s="8"/>
      <c r="G14" s="8"/>
      <c r="H14" s="8"/>
      <c r="I14" s="8"/>
      <c r="J14" s="8"/>
      <c r="K14" s="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">
        <f t="shared" si="1"/>
        <v>15</v>
      </c>
      <c r="B15" s="356" t="s">
        <v>856</v>
      </c>
      <c r="C15" s="417" t="s">
        <v>199</v>
      </c>
      <c r="D15" s="358" t="s">
        <v>858</v>
      </c>
      <c r="E15" s="359" t="s">
        <v>859</v>
      </c>
      <c r="F15" s="8"/>
      <c r="G15" s="8"/>
      <c r="H15" s="8"/>
      <c r="I15" s="8"/>
      <c r="J15" s="8"/>
      <c r="K15" s="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">
        <f t="shared" si="1"/>
        <v>16</v>
      </c>
      <c r="B16" s="358" t="s">
        <v>858</v>
      </c>
      <c r="C16" s="417" t="s">
        <v>199</v>
      </c>
      <c r="D16" s="360" t="s">
        <v>860</v>
      </c>
      <c r="E16" s="8"/>
      <c r="F16" s="8"/>
      <c r="G16" s="8"/>
      <c r="H16" s="8"/>
      <c r="I16" s="8"/>
      <c r="J16" s="8"/>
      <c r="K16" s="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">
        <f t="shared" si="1"/>
        <v>17</v>
      </c>
      <c r="B17" s="358" t="s">
        <v>858</v>
      </c>
      <c r="C17" s="417" t="s">
        <v>199</v>
      </c>
      <c r="D17" s="361" t="s">
        <v>861</v>
      </c>
      <c r="E17" s="8"/>
      <c r="F17" s="8"/>
      <c r="G17" s="8"/>
      <c r="H17" s="8"/>
      <c r="I17" s="8"/>
      <c r="J17" s="8"/>
      <c r="K17" s="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">
        <f t="shared" si="1"/>
        <v>18</v>
      </c>
      <c r="B18" s="358" t="s">
        <v>858</v>
      </c>
      <c r="C18" s="417" t="s">
        <v>199</v>
      </c>
      <c r="D18" s="8" t="s">
        <v>62</v>
      </c>
      <c r="E18" s="355" t="s">
        <v>855</v>
      </c>
      <c r="F18" s="8" t="s">
        <v>64</v>
      </c>
      <c r="G18" s="8"/>
      <c r="H18" s="8"/>
      <c r="I18" s="8"/>
      <c r="J18" s="8"/>
      <c r="K18" s="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">
        <f t="shared" si="1"/>
        <v>19</v>
      </c>
      <c r="B19" s="362" t="s">
        <v>860</v>
      </c>
      <c r="C19" s="417" t="s">
        <v>199</v>
      </c>
      <c r="D19" s="8" t="s">
        <v>862</v>
      </c>
      <c r="E19" s="8" t="s">
        <v>62</v>
      </c>
      <c r="F19" s="363" t="s">
        <v>863</v>
      </c>
      <c r="G19" s="8" t="s">
        <v>64</v>
      </c>
      <c r="H19" s="8"/>
      <c r="I19" s="8"/>
      <c r="J19" s="8"/>
      <c r="K19" s="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">
        <f t="shared" si="1"/>
        <v>20</v>
      </c>
      <c r="B20" s="362" t="s">
        <v>860</v>
      </c>
      <c r="C20" s="417" t="s">
        <v>199</v>
      </c>
      <c r="D20" s="8" t="s">
        <v>864</v>
      </c>
      <c r="E20" s="8" t="s">
        <v>62</v>
      </c>
      <c r="F20" s="364" t="s">
        <v>865</v>
      </c>
      <c r="G20" s="8" t="s">
        <v>64</v>
      </c>
      <c r="H20" s="8"/>
      <c r="I20" s="8"/>
      <c r="J20" s="8"/>
      <c r="K20" s="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">
        <f t="shared" si="1"/>
        <v>21</v>
      </c>
      <c r="B21" s="362" t="s">
        <v>860</v>
      </c>
      <c r="C21" s="417" t="s">
        <v>199</v>
      </c>
      <c r="D21" s="8" t="s">
        <v>866</v>
      </c>
      <c r="E21" s="8" t="s">
        <v>62</v>
      </c>
      <c r="F21" s="364" t="s">
        <v>865</v>
      </c>
      <c r="G21" s="365" t="s">
        <v>38</v>
      </c>
      <c r="H21" s="366" t="s">
        <v>28</v>
      </c>
      <c r="I21" s="8" t="s">
        <v>64</v>
      </c>
      <c r="J21" s="8"/>
      <c r="K21" s="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">
        <f t="shared" si="1"/>
        <v>22</v>
      </c>
      <c r="B22" s="362" t="s">
        <v>860</v>
      </c>
      <c r="C22" s="417" t="s">
        <v>199</v>
      </c>
      <c r="D22" s="8" t="s">
        <v>867</v>
      </c>
      <c r="E22" s="8" t="s">
        <v>62</v>
      </c>
      <c r="F22" s="355" t="s">
        <v>855</v>
      </c>
      <c r="G22" s="8" t="s">
        <v>64</v>
      </c>
      <c r="H22" s="8"/>
      <c r="I22" s="8"/>
      <c r="J22" s="8"/>
      <c r="K22" s="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">
        <f t="shared" si="1"/>
        <v>23</v>
      </c>
      <c r="B23" s="362" t="s">
        <v>860</v>
      </c>
      <c r="C23" s="417" t="s">
        <v>199</v>
      </c>
      <c r="D23" s="8" t="s">
        <v>133</v>
      </c>
      <c r="E23" s="8" t="s">
        <v>62</v>
      </c>
      <c r="F23" s="355" t="s">
        <v>855</v>
      </c>
      <c r="G23" s="365" t="s">
        <v>38</v>
      </c>
      <c r="H23" s="355" t="s">
        <v>855</v>
      </c>
      <c r="I23" s="8" t="s">
        <v>64</v>
      </c>
      <c r="J23" s="8"/>
      <c r="K23" s="8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">
        <f t="shared" si="1"/>
        <v>24</v>
      </c>
      <c r="B24" s="362" t="s">
        <v>860</v>
      </c>
      <c r="C24" s="417" t="s">
        <v>199</v>
      </c>
      <c r="D24" s="21" t="s">
        <v>868</v>
      </c>
      <c r="E24" s="8"/>
      <c r="F24" s="8"/>
      <c r="G24" s="8"/>
      <c r="H24" s="8"/>
      <c r="I24" s="8"/>
      <c r="J24" s="8"/>
      <c r="K24" s="8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">
        <f t="shared" si="1"/>
        <v>25</v>
      </c>
      <c r="B25" s="367" t="s">
        <v>863</v>
      </c>
      <c r="C25" s="417" t="s">
        <v>199</v>
      </c>
      <c r="D25" s="360" t="s">
        <v>860</v>
      </c>
      <c r="E25" s="368" t="s">
        <v>869</v>
      </c>
      <c r="F25" s="369" t="s">
        <v>870</v>
      </c>
      <c r="G25" s="370" t="s">
        <v>871</v>
      </c>
      <c r="H25" s="8"/>
      <c r="I25" s="8"/>
      <c r="J25" s="8"/>
      <c r="K25" s="8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">
        <f t="shared" si="1"/>
        <v>26</v>
      </c>
      <c r="B26" s="367" t="s">
        <v>863</v>
      </c>
      <c r="C26" s="417" t="s">
        <v>199</v>
      </c>
      <c r="D26" s="371" t="s">
        <v>872</v>
      </c>
      <c r="E26" s="372" t="s">
        <v>873</v>
      </c>
      <c r="F26" s="373" t="s">
        <v>874</v>
      </c>
      <c r="G26" s="374" t="s">
        <v>875</v>
      </c>
      <c r="H26" s="8"/>
      <c r="I26" s="8"/>
      <c r="J26" s="8"/>
      <c r="K26" s="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">
        <f t="shared" si="1"/>
        <v>27</v>
      </c>
      <c r="B27" s="367" t="s">
        <v>863</v>
      </c>
      <c r="C27" s="417" t="s">
        <v>199</v>
      </c>
      <c r="D27" s="375" t="s">
        <v>876</v>
      </c>
      <c r="E27" s="376" t="s">
        <v>877</v>
      </c>
      <c r="F27" s="377" t="s">
        <v>878</v>
      </c>
      <c r="G27" s="8"/>
      <c r="H27" s="8"/>
      <c r="I27" s="8"/>
      <c r="J27" s="8"/>
      <c r="K27" s="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">
        <f t="shared" si="1"/>
        <v>28</v>
      </c>
      <c r="B28" s="367" t="s">
        <v>863</v>
      </c>
      <c r="C28" s="417" t="s">
        <v>199</v>
      </c>
      <c r="D28" s="378" t="s">
        <v>879</v>
      </c>
      <c r="E28" s="379" t="s">
        <v>880</v>
      </c>
      <c r="F28" s="8"/>
      <c r="G28" s="8"/>
      <c r="H28" s="8"/>
      <c r="I28" s="8"/>
      <c r="J28" s="8"/>
      <c r="K28" s="8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">
        <f t="shared" si="1"/>
        <v>29</v>
      </c>
      <c r="B29" s="367" t="s">
        <v>863</v>
      </c>
      <c r="C29" s="417" t="s">
        <v>199</v>
      </c>
      <c r="D29" s="361" t="s">
        <v>861</v>
      </c>
      <c r="E29" s="380" t="s">
        <v>881</v>
      </c>
      <c r="F29" s="381" t="s">
        <v>882</v>
      </c>
      <c r="G29" s="382" t="s">
        <v>883</v>
      </c>
      <c r="H29" s="8"/>
      <c r="I29" s="8"/>
      <c r="J29" s="8"/>
      <c r="K29" s="8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">
        <f t="shared" si="1"/>
        <v>30</v>
      </c>
      <c r="B30" s="367" t="s">
        <v>863</v>
      </c>
      <c r="C30" s="417" t="s">
        <v>199</v>
      </c>
      <c r="D30" s="8" t="s">
        <v>62</v>
      </c>
      <c r="E30" s="383" t="s">
        <v>884</v>
      </c>
      <c r="F30" s="8"/>
      <c r="G30" s="8"/>
      <c r="H30" s="8"/>
      <c r="I30" s="8"/>
      <c r="J30" s="8"/>
      <c r="K30" s="8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">
        <f t="shared" si="1"/>
        <v>31</v>
      </c>
      <c r="B31" s="367" t="s">
        <v>863</v>
      </c>
      <c r="C31" s="417" t="s">
        <v>199</v>
      </c>
      <c r="D31" s="8" t="s">
        <v>885</v>
      </c>
      <c r="E31" s="384" t="s">
        <v>886</v>
      </c>
      <c r="F31" s="8"/>
      <c r="G31" s="8"/>
      <c r="H31" s="8"/>
      <c r="I31" s="8"/>
      <c r="J31" s="8"/>
      <c r="K31" s="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">
        <f t="shared" si="1"/>
        <v>32</v>
      </c>
      <c r="B32" s="368" t="s">
        <v>869</v>
      </c>
      <c r="C32" s="417" t="s">
        <v>199</v>
      </c>
      <c r="D32" s="8" t="s">
        <v>887</v>
      </c>
      <c r="E32" s="385" t="s">
        <v>888</v>
      </c>
      <c r="F32" s="368" t="s">
        <v>869</v>
      </c>
      <c r="G32" s="8"/>
      <c r="H32" s="8"/>
      <c r="I32" s="8"/>
      <c r="J32" s="8"/>
      <c r="K32" s="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">
        <f t="shared" si="1"/>
        <v>33</v>
      </c>
      <c r="B33" s="368" t="s">
        <v>869</v>
      </c>
      <c r="C33" s="417" t="s">
        <v>199</v>
      </c>
      <c r="D33" s="8" t="s">
        <v>120</v>
      </c>
      <c r="E33" s="385" t="s">
        <v>888</v>
      </c>
      <c r="F33" s="368" t="s">
        <v>869</v>
      </c>
      <c r="G33" s="8"/>
      <c r="H33" s="8"/>
      <c r="I33" s="8"/>
      <c r="J33" s="8"/>
      <c r="K33" s="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">
        <f t="shared" si="1"/>
        <v>34</v>
      </c>
      <c r="B34" s="368" t="s">
        <v>869</v>
      </c>
      <c r="C34" s="417" t="s">
        <v>199</v>
      </c>
      <c r="D34" s="8" t="s">
        <v>121</v>
      </c>
      <c r="E34" s="385" t="s">
        <v>888</v>
      </c>
      <c r="F34" s="368" t="s">
        <v>869</v>
      </c>
      <c r="G34" s="8"/>
      <c r="H34" s="8"/>
      <c r="I34" s="8"/>
      <c r="J34" s="8"/>
      <c r="K34" s="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">
        <f t="shared" si="1"/>
        <v>35</v>
      </c>
      <c r="B35" s="368" t="s">
        <v>869</v>
      </c>
      <c r="C35" s="417" t="s">
        <v>199</v>
      </c>
      <c r="D35" s="8" t="s">
        <v>8</v>
      </c>
      <c r="E35" s="8"/>
      <c r="F35" s="8"/>
      <c r="G35" s="8"/>
      <c r="H35" s="8"/>
      <c r="I35" s="8"/>
      <c r="J35" s="8"/>
      <c r="K35" s="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">
        <f t="shared" si="1"/>
        <v>36</v>
      </c>
      <c r="B36" s="385" t="s">
        <v>888</v>
      </c>
      <c r="C36" s="417" t="s">
        <v>199</v>
      </c>
      <c r="D36" s="360" t="s">
        <v>860</v>
      </c>
      <c r="E36" s="8"/>
      <c r="F36" s="8"/>
      <c r="G36" s="8"/>
      <c r="H36" s="8"/>
      <c r="I36" s="8"/>
      <c r="J36" s="8"/>
      <c r="K36" s="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">
        <f t="shared" si="1"/>
        <v>37</v>
      </c>
      <c r="B37" s="385" t="s">
        <v>888</v>
      </c>
      <c r="C37" s="417" t="s">
        <v>199</v>
      </c>
      <c r="D37" s="361" t="s">
        <v>861</v>
      </c>
      <c r="E37" s="8"/>
      <c r="F37" s="8"/>
      <c r="G37" s="8"/>
      <c r="H37" s="8"/>
      <c r="I37" s="8"/>
      <c r="J37" s="8"/>
      <c r="K37" s="8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">
        <f t="shared" si="1"/>
        <v>38</v>
      </c>
      <c r="B38" s="385" t="s">
        <v>888</v>
      </c>
      <c r="C38" s="417" t="s">
        <v>199</v>
      </c>
      <c r="D38" s="8" t="s">
        <v>62</v>
      </c>
      <c r="E38" s="386" t="s">
        <v>889</v>
      </c>
      <c r="F38" s="8"/>
      <c r="G38" s="8"/>
      <c r="H38" s="8"/>
      <c r="I38" s="8"/>
      <c r="J38" s="8"/>
      <c r="K38" s="8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">
        <f t="shared" si="1"/>
        <v>39</v>
      </c>
      <c r="B39" s="387" t="s">
        <v>861</v>
      </c>
      <c r="C39" s="417" t="s">
        <v>199</v>
      </c>
      <c r="D39" s="8" t="s">
        <v>14</v>
      </c>
      <c r="E39" s="388" t="s">
        <v>890</v>
      </c>
      <c r="F39" s="8"/>
      <c r="G39" s="8"/>
      <c r="H39" s="8"/>
      <c r="I39" s="8"/>
      <c r="J39" s="8"/>
      <c r="K39" s="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">
        <f t="shared" si="1"/>
        <v>40</v>
      </c>
      <c r="B40" s="388" t="s">
        <v>890</v>
      </c>
      <c r="C40" s="3" t="str">
        <f t="shared" ref="C40:C44" si="3">"=&gt;"</f>
        <v>=&gt;</v>
      </c>
      <c r="D40" s="392" t="s">
        <v>893</v>
      </c>
      <c r="E40" s="393" t="s">
        <v>894</v>
      </c>
      <c r="F40" s="3"/>
      <c r="G40" s="3"/>
      <c r="H40" s="3"/>
      <c r="I40" s="3"/>
      <c r="J40" s="3"/>
      <c r="K40" s="3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">
        <f t="shared" si="1"/>
        <v>41</v>
      </c>
      <c r="B41" s="392" t="s">
        <v>893</v>
      </c>
      <c r="C41" s="3" t="str">
        <f t="shared" si="3"/>
        <v>=&gt;</v>
      </c>
      <c r="D41" s="3" t="s">
        <v>62</v>
      </c>
      <c r="E41" s="394" t="s">
        <v>895</v>
      </c>
      <c r="F41" s="3" t="s">
        <v>64</v>
      </c>
      <c r="G41" s="8"/>
      <c r="H41" s="3"/>
      <c r="I41" s="3"/>
      <c r="J41" s="3"/>
      <c r="K41" s="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">
        <f t="shared" si="1"/>
        <v>42</v>
      </c>
      <c r="B42" s="392" t="s">
        <v>893</v>
      </c>
      <c r="C42" s="3" t="str">
        <f t="shared" si="3"/>
        <v>=&gt;</v>
      </c>
      <c r="D42" s="3" t="s">
        <v>8</v>
      </c>
      <c r="E42" s="3"/>
      <c r="F42" s="3"/>
      <c r="G42" s="8"/>
      <c r="H42" s="3"/>
      <c r="I42" s="3"/>
      <c r="J42" s="3"/>
      <c r="K42" s="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">
        <f t="shared" si="1"/>
        <v>43</v>
      </c>
      <c r="B43" s="394" t="s">
        <v>895</v>
      </c>
      <c r="C43" s="3" t="str">
        <f t="shared" si="3"/>
        <v>=&gt;</v>
      </c>
      <c r="D43" s="395" t="s">
        <v>28</v>
      </c>
      <c r="E43" s="396" t="s">
        <v>896</v>
      </c>
      <c r="F43" s="3"/>
      <c r="G43" s="8"/>
      <c r="H43" s="3"/>
      <c r="I43" s="3"/>
      <c r="J43" s="3"/>
      <c r="K43" s="3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">
        <f t="shared" si="1"/>
        <v>44</v>
      </c>
      <c r="B44" s="394" t="s">
        <v>895</v>
      </c>
      <c r="C44" s="3" t="str">
        <f t="shared" si="3"/>
        <v>=&gt;</v>
      </c>
      <c r="D44" s="3" t="s">
        <v>8</v>
      </c>
      <c r="E44" s="3"/>
      <c r="F44" s="8"/>
      <c r="G44" s="3"/>
      <c r="H44" s="3"/>
      <c r="I44" s="3"/>
      <c r="J44" s="3"/>
      <c r="K44" s="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">
        <f t="shared" si="1"/>
        <v>45</v>
      </c>
      <c r="B45" s="366" t="s">
        <v>28</v>
      </c>
      <c r="C45" s="417" t="s">
        <v>199</v>
      </c>
      <c r="D45" s="8" t="s">
        <v>30</v>
      </c>
      <c r="E45" s="397" t="s">
        <v>897</v>
      </c>
      <c r="F45" s="8" t="s">
        <v>32</v>
      </c>
      <c r="G45" s="8"/>
      <c r="H45" s="8"/>
      <c r="I45" s="8"/>
      <c r="J45" s="8"/>
      <c r="K45" s="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">
        <f t="shared" si="1"/>
        <v>46</v>
      </c>
      <c r="B46" s="366" t="s">
        <v>28</v>
      </c>
      <c r="C46" s="417" t="s">
        <v>199</v>
      </c>
      <c r="D46" s="363" t="s">
        <v>863</v>
      </c>
      <c r="E46" s="8"/>
      <c r="F46" s="8"/>
      <c r="G46" s="8"/>
      <c r="H46" s="8"/>
      <c r="I46" s="8"/>
      <c r="J46" s="8"/>
      <c r="K46" s="8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">
        <f t="shared" si="1"/>
        <v>47</v>
      </c>
      <c r="B47" s="366" t="s">
        <v>28</v>
      </c>
      <c r="C47" s="417" t="s">
        <v>199</v>
      </c>
      <c r="D47" s="408" t="s">
        <v>891</v>
      </c>
      <c r="E47" s="8"/>
      <c r="F47" s="8"/>
      <c r="G47" s="8"/>
      <c r="H47" s="8"/>
      <c r="I47" s="8"/>
      <c r="J47" s="8"/>
      <c r="K47" s="8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">
        <f t="shared" si="1"/>
        <v>48</v>
      </c>
      <c r="B48" s="399" t="s">
        <v>897</v>
      </c>
      <c r="C48" s="3" t="str">
        <f t="shared" ref="C48:C59" si="4">"=&gt;"</f>
        <v>=&gt;</v>
      </c>
      <c r="D48" s="400" t="s">
        <v>899</v>
      </c>
      <c r="E48" s="3"/>
      <c r="F48" s="8"/>
      <c r="G48" s="3"/>
      <c r="H48" s="3"/>
      <c r="I48" s="3"/>
      <c r="J48" s="3"/>
      <c r="K48" s="3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">
        <f t="shared" si="1"/>
        <v>49</v>
      </c>
      <c r="B49" s="399" t="s">
        <v>897</v>
      </c>
      <c r="C49" s="3" t="str">
        <f t="shared" si="4"/>
        <v>=&gt;</v>
      </c>
      <c r="D49" s="3" t="s">
        <v>14</v>
      </c>
      <c r="E49" s="401" t="s">
        <v>900</v>
      </c>
      <c r="F49" s="3"/>
      <c r="G49" s="3"/>
      <c r="H49" s="3"/>
      <c r="I49" s="3"/>
      <c r="J49" s="3"/>
      <c r="K49" s="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">
        <f t="shared" si="1"/>
        <v>50</v>
      </c>
      <c r="B50" s="399" t="s">
        <v>897</v>
      </c>
      <c r="C50" s="3" t="str">
        <f t="shared" si="4"/>
        <v>=&gt;</v>
      </c>
      <c r="D50" s="3" t="s">
        <v>8</v>
      </c>
      <c r="E50" s="3"/>
      <c r="F50" s="3"/>
      <c r="G50" s="3"/>
      <c r="H50" s="3"/>
      <c r="I50" s="3"/>
      <c r="J50" s="3"/>
      <c r="K50" s="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">
        <f t="shared" si="1"/>
        <v>51</v>
      </c>
      <c r="B51" s="400" t="s">
        <v>899</v>
      </c>
      <c r="C51" s="3" t="str">
        <f t="shared" si="4"/>
        <v>=&gt;</v>
      </c>
      <c r="D51" s="655" t="s">
        <v>860</v>
      </c>
      <c r="E51" s="403" t="s">
        <v>901</v>
      </c>
      <c r="F51" s="3"/>
      <c r="G51" s="3"/>
      <c r="H51" s="3"/>
      <c r="I51" s="3"/>
      <c r="J51" s="3"/>
      <c r="K51" s="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">
        <f t="shared" si="1"/>
        <v>52</v>
      </c>
      <c r="B52" s="400" t="s">
        <v>899</v>
      </c>
      <c r="C52" s="3" t="str">
        <f t="shared" si="4"/>
        <v>=&gt;</v>
      </c>
      <c r="D52" s="656" t="s">
        <v>872</v>
      </c>
      <c r="E52" s="403" t="s">
        <v>901</v>
      </c>
      <c r="F52" s="3"/>
      <c r="G52" s="3"/>
      <c r="H52" s="3"/>
      <c r="I52" s="3"/>
      <c r="J52" s="3"/>
      <c r="K52" s="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">
        <f t="shared" si="1"/>
        <v>53</v>
      </c>
      <c r="B53" s="400" t="s">
        <v>899</v>
      </c>
      <c r="C53" s="3" t="str">
        <f t="shared" si="4"/>
        <v>=&gt;</v>
      </c>
      <c r="D53" s="657" t="s">
        <v>879</v>
      </c>
      <c r="E53" s="403" t="s">
        <v>901</v>
      </c>
      <c r="F53" s="3"/>
      <c r="G53" s="3"/>
      <c r="H53" s="3"/>
      <c r="I53" s="3"/>
      <c r="J53" s="3"/>
      <c r="K53" s="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">
        <f t="shared" si="1"/>
        <v>54</v>
      </c>
      <c r="B54" s="400" t="s">
        <v>899</v>
      </c>
      <c r="C54" s="3" t="str">
        <f t="shared" si="4"/>
        <v>=&gt;</v>
      </c>
      <c r="D54" s="658" t="s">
        <v>876</v>
      </c>
      <c r="E54" s="403" t="s">
        <v>901</v>
      </c>
      <c r="F54" s="3"/>
      <c r="G54" s="3"/>
      <c r="H54" s="3"/>
      <c r="I54" s="3"/>
      <c r="J54" s="3"/>
      <c r="K54" s="3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">
        <f t="shared" si="1"/>
        <v>55</v>
      </c>
      <c r="B55" s="400" t="s">
        <v>899</v>
      </c>
      <c r="C55" s="3" t="str">
        <f t="shared" si="4"/>
        <v>=&gt;</v>
      </c>
      <c r="D55" s="3" t="s">
        <v>30</v>
      </c>
      <c r="E55" s="399" t="s">
        <v>897</v>
      </c>
      <c r="F55" s="3" t="s">
        <v>32</v>
      </c>
      <c r="G55" s="403" t="s">
        <v>901</v>
      </c>
      <c r="H55" s="8"/>
      <c r="I55" s="3"/>
      <c r="J55" s="3"/>
      <c r="K55" s="3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">
        <f t="shared" si="1"/>
        <v>56</v>
      </c>
      <c r="B56" s="403" t="s">
        <v>901</v>
      </c>
      <c r="C56" s="3" t="str">
        <f t="shared" si="4"/>
        <v>=&gt;</v>
      </c>
      <c r="D56" s="3" t="s">
        <v>38</v>
      </c>
      <c r="E56" s="404" t="s">
        <v>905</v>
      </c>
      <c r="F56" s="3"/>
      <c r="G56" s="3"/>
      <c r="H56" s="3"/>
      <c r="I56" s="3"/>
      <c r="J56" s="3"/>
      <c r="K56" s="3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">
        <f t="shared" si="1"/>
        <v>57</v>
      </c>
      <c r="B57" s="403" t="s">
        <v>901</v>
      </c>
      <c r="C57" s="3" t="str">
        <f t="shared" si="4"/>
        <v>=&gt;</v>
      </c>
      <c r="D57" s="3" t="s">
        <v>8</v>
      </c>
      <c r="E57" s="3"/>
      <c r="F57" s="3"/>
      <c r="G57" s="3"/>
      <c r="H57" s="3"/>
      <c r="I57" s="3"/>
      <c r="J57" s="3"/>
      <c r="K57" s="3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>
        <f t="shared" si="1"/>
        <v>58</v>
      </c>
      <c r="B58" s="404" t="s">
        <v>905</v>
      </c>
      <c r="C58" s="3" t="str">
        <f t="shared" si="4"/>
        <v>=&gt;</v>
      </c>
      <c r="D58" s="3" t="s">
        <v>14</v>
      </c>
      <c r="E58" s="403" t="s">
        <v>901</v>
      </c>
      <c r="F58" s="3"/>
      <c r="G58" s="3"/>
      <c r="H58" s="3"/>
      <c r="I58" s="3"/>
      <c r="J58" s="3"/>
      <c r="K58" s="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">
        <f t="shared" si="1"/>
        <v>59</v>
      </c>
      <c r="B59" s="404" t="s">
        <v>905</v>
      </c>
      <c r="C59" s="3" t="str">
        <f t="shared" si="4"/>
        <v>=&gt;</v>
      </c>
      <c r="D59" s="400" t="s">
        <v>899</v>
      </c>
      <c r="E59" s="3"/>
      <c r="F59" s="3"/>
      <c r="G59" s="3"/>
      <c r="H59" s="3"/>
      <c r="I59" s="3"/>
      <c r="J59" s="3"/>
      <c r="K59" s="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">
        <f t="shared" si="1"/>
        <v>60</v>
      </c>
      <c r="B60" s="405" t="s">
        <v>872</v>
      </c>
      <c r="C60" s="417" t="s">
        <v>199</v>
      </c>
      <c r="D60" s="8" t="s">
        <v>134</v>
      </c>
      <c r="E60" s="8" t="s">
        <v>62</v>
      </c>
      <c r="F60" s="355" t="s">
        <v>855</v>
      </c>
      <c r="G60" s="8" t="s">
        <v>64</v>
      </c>
      <c r="H60" s="8"/>
      <c r="I60" s="8"/>
      <c r="J60" s="8"/>
      <c r="K60" s="8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">
        <f t="shared" si="1"/>
        <v>61</v>
      </c>
      <c r="B61" s="405" t="s">
        <v>872</v>
      </c>
      <c r="C61" s="417" t="s">
        <v>199</v>
      </c>
      <c r="D61" s="8" t="s">
        <v>906</v>
      </c>
      <c r="E61" s="8" t="s">
        <v>62</v>
      </c>
      <c r="F61" s="8" t="s">
        <v>64</v>
      </c>
      <c r="G61" s="8"/>
      <c r="H61" s="8"/>
      <c r="I61" s="8"/>
      <c r="J61" s="8"/>
      <c r="K61" s="8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">
        <f t="shared" si="1"/>
        <v>62</v>
      </c>
      <c r="B62" s="405" t="s">
        <v>872</v>
      </c>
      <c r="C62" s="417" t="s">
        <v>199</v>
      </c>
      <c r="D62" s="8" t="s">
        <v>907</v>
      </c>
      <c r="E62" s="8" t="s">
        <v>62</v>
      </c>
      <c r="F62" s="363" t="s">
        <v>863</v>
      </c>
      <c r="G62" s="8" t="s">
        <v>64</v>
      </c>
      <c r="H62" s="8"/>
      <c r="I62" s="8"/>
      <c r="J62" s="8"/>
      <c r="K62" s="8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">
        <f t="shared" si="1"/>
        <v>63</v>
      </c>
      <c r="B63" s="405" t="s">
        <v>872</v>
      </c>
      <c r="C63" s="417" t="s">
        <v>199</v>
      </c>
      <c r="D63" s="21" t="s">
        <v>902</v>
      </c>
      <c r="E63" s="8"/>
      <c r="F63" s="8"/>
      <c r="G63" s="8"/>
      <c r="H63" s="8"/>
      <c r="I63" s="8"/>
      <c r="J63" s="8"/>
      <c r="K63" s="8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">
        <f t="shared" si="1"/>
        <v>64</v>
      </c>
      <c r="B64" s="406" t="s">
        <v>879</v>
      </c>
      <c r="C64" s="417" t="s">
        <v>199</v>
      </c>
      <c r="D64" s="8" t="s">
        <v>908</v>
      </c>
      <c r="E64" s="8" t="s">
        <v>62</v>
      </c>
      <c r="F64" s="407" t="s">
        <v>909</v>
      </c>
      <c r="G64" s="365" t="s">
        <v>38</v>
      </c>
      <c r="H64" s="407" t="s">
        <v>909</v>
      </c>
      <c r="I64" s="8" t="s">
        <v>64</v>
      </c>
      <c r="J64" s="8"/>
      <c r="K64" s="8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">
        <f t="shared" si="1"/>
        <v>65</v>
      </c>
      <c r="B65" s="406" t="s">
        <v>879</v>
      </c>
      <c r="C65" s="417" t="s">
        <v>199</v>
      </c>
      <c r="D65" s="8" t="s">
        <v>910</v>
      </c>
      <c r="E65" s="8" t="s">
        <v>62</v>
      </c>
      <c r="F65" s="363" t="s">
        <v>863</v>
      </c>
      <c r="G65" s="8" t="s">
        <v>64</v>
      </c>
      <c r="H65" s="8"/>
      <c r="I65" s="8"/>
      <c r="J65" s="8"/>
      <c r="K65" s="8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">
        <f t="shared" si="1"/>
        <v>66</v>
      </c>
      <c r="B66" s="406" t="s">
        <v>879</v>
      </c>
      <c r="C66" s="417" t="s">
        <v>199</v>
      </c>
      <c r="D66" s="21" t="s">
        <v>903</v>
      </c>
      <c r="E66" s="8"/>
      <c r="F66" s="8"/>
      <c r="G66" s="8"/>
      <c r="H66" s="8"/>
      <c r="I66" s="8"/>
      <c r="J66" s="8"/>
      <c r="K66" s="8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">
        <f t="shared" si="1"/>
        <v>67</v>
      </c>
      <c r="B67" s="407" t="s">
        <v>909</v>
      </c>
      <c r="C67" s="417" t="s">
        <v>199</v>
      </c>
      <c r="D67" s="8" t="s">
        <v>30</v>
      </c>
      <c r="E67" s="397" t="s">
        <v>897</v>
      </c>
      <c r="F67" s="8" t="s">
        <v>32</v>
      </c>
      <c r="G67" s="8"/>
      <c r="H67" s="8"/>
      <c r="I67" s="8"/>
      <c r="J67" s="8"/>
      <c r="K67" s="8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">
        <f t="shared" si="1"/>
        <v>68</v>
      </c>
      <c r="B68" s="407" t="s">
        <v>909</v>
      </c>
      <c r="C68" s="417" t="s">
        <v>199</v>
      </c>
      <c r="D68" s="361" t="s">
        <v>861</v>
      </c>
      <c r="E68" s="8"/>
      <c r="F68" s="8"/>
      <c r="G68" s="8"/>
      <c r="H68" s="8"/>
      <c r="I68" s="8"/>
      <c r="J68" s="8"/>
      <c r="K68" s="8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">
        <f t="shared" si="1"/>
        <v>69</v>
      </c>
      <c r="B69" s="407" t="s">
        <v>909</v>
      </c>
      <c r="C69" s="417" t="s">
        <v>199</v>
      </c>
      <c r="D69" s="408" t="s">
        <v>891</v>
      </c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">
        <f t="shared" si="1"/>
        <v>70</v>
      </c>
      <c r="B70" s="408" t="s">
        <v>891</v>
      </c>
      <c r="C70" s="417" t="s">
        <v>199</v>
      </c>
      <c r="D70" s="8" t="s">
        <v>911</v>
      </c>
      <c r="E70" s="8" t="s">
        <v>62</v>
      </c>
      <c r="F70" s="364" t="s">
        <v>865</v>
      </c>
      <c r="G70" s="365" t="s">
        <v>38</v>
      </c>
      <c r="H70" s="366" t="s">
        <v>28</v>
      </c>
      <c r="I70" s="8" t="s">
        <v>64</v>
      </c>
      <c r="J70" s="8"/>
      <c r="K70" s="8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">
        <f t="shared" si="1"/>
        <v>71</v>
      </c>
      <c r="B71" s="408" t="s">
        <v>891</v>
      </c>
      <c r="C71" s="417" t="s">
        <v>199</v>
      </c>
      <c r="D71" s="8" t="s">
        <v>912</v>
      </c>
      <c r="E71" s="8" t="s">
        <v>62</v>
      </c>
      <c r="F71" s="364" t="s">
        <v>865</v>
      </c>
      <c r="G71" s="8" t="s">
        <v>64</v>
      </c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">
        <f t="shared" si="1"/>
        <v>72</v>
      </c>
      <c r="B72" s="408" t="s">
        <v>891</v>
      </c>
      <c r="C72" s="417" t="s">
        <v>199</v>
      </c>
      <c r="D72" s="8" t="s">
        <v>913</v>
      </c>
      <c r="E72" s="8" t="s">
        <v>62</v>
      </c>
      <c r="F72" s="364" t="s">
        <v>865</v>
      </c>
      <c r="G72" s="8" t="s">
        <v>64</v>
      </c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">
        <f t="shared" si="1"/>
        <v>73</v>
      </c>
      <c r="B73" s="408" t="s">
        <v>891</v>
      </c>
      <c r="C73" s="417" t="s">
        <v>199</v>
      </c>
      <c r="D73" s="8" t="s">
        <v>914</v>
      </c>
      <c r="E73" s="8" t="s">
        <v>62</v>
      </c>
      <c r="F73" s="364" t="s">
        <v>865</v>
      </c>
      <c r="G73" s="365" t="s">
        <v>38</v>
      </c>
      <c r="H73" s="366" t="s">
        <v>28</v>
      </c>
      <c r="I73" s="8" t="s">
        <v>64</v>
      </c>
      <c r="J73" s="409"/>
      <c r="K73" s="40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">
        <f t="shared" si="1"/>
        <v>74</v>
      </c>
      <c r="B74" s="364" t="s">
        <v>865</v>
      </c>
      <c r="C74" s="417" t="s">
        <v>199</v>
      </c>
      <c r="D74" s="8" t="s">
        <v>30</v>
      </c>
      <c r="E74" s="410" t="s">
        <v>905</v>
      </c>
      <c r="F74" s="8" t="s">
        <v>32</v>
      </c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">
        <f t="shared" si="1"/>
        <v>75</v>
      </c>
      <c r="B75" s="364" t="s">
        <v>865</v>
      </c>
      <c r="C75" s="417" t="s">
        <v>199</v>
      </c>
      <c r="D75" s="387" t="s">
        <v>861</v>
      </c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">
        <f t="shared" si="1"/>
        <v>76</v>
      </c>
      <c r="B76" s="364" t="s">
        <v>865</v>
      </c>
      <c r="C76" s="8"/>
      <c r="D76" s="390" t="s">
        <v>891</v>
      </c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">
        <f t="shared" si="1"/>
        <v>77</v>
      </c>
      <c r="B77" s="411" t="s">
        <v>876</v>
      </c>
      <c r="C77" s="417" t="s">
        <v>199</v>
      </c>
      <c r="D77" s="8" t="s">
        <v>915</v>
      </c>
      <c r="E77" s="8" t="s">
        <v>62</v>
      </c>
      <c r="F77" s="412" t="s">
        <v>916</v>
      </c>
      <c r="G77" s="8" t="s">
        <v>64</v>
      </c>
      <c r="H77" s="8"/>
      <c r="I77" s="8"/>
      <c r="J77" s="8"/>
      <c r="K77" s="8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">
        <f t="shared" si="1"/>
        <v>78</v>
      </c>
      <c r="B78" s="411" t="s">
        <v>876</v>
      </c>
      <c r="C78" s="417" t="s">
        <v>199</v>
      </c>
      <c r="D78" s="8" t="s">
        <v>917</v>
      </c>
      <c r="E78" s="8" t="s">
        <v>62</v>
      </c>
      <c r="F78" s="8" t="s">
        <v>64</v>
      </c>
      <c r="G78" s="8"/>
      <c r="H78" s="8"/>
      <c r="I78" s="8"/>
      <c r="J78" s="8"/>
      <c r="K78" s="8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">
        <f t="shared" si="1"/>
        <v>79</v>
      </c>
      <c r="B79" s="411" t="s">
        <v>876</v>
      </c>
      <c r="C79" s="417" t="s">
        <v>199</v>
      </c>
      <c r="D79" s="8" t="s">
        <v>918</v>
      </c>
      <c r="E79" s="8" t="s">
        <v>62</v>
      </c>
      <c r="F79" s="412" t="s">
        <v>916</v>
      </c>
      <c r="G79" s="365" t="s">
        <v>38</v>
      </c>
      <c r="H79" s="355" t="s">
        <v>855</v>
      </c>
      <c r="I79" s="413" t="s">
        <v>38</v>
      </c>
      <c r="J79" s="355" t="s">
        <v>855</v>
      </c>
      <c r="K79" s="8" t="s">
        <v>64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">
        <f t="shared" si="1"/>
        <v>80</v>
      </c>
      <c r="B80" s="411" t="s">
        <v>876</v>
      </c>
      <c r="C80" s="417" t="s">
        <v>199</v>
      </c>
      <c r="D80" s="8" t="s">
        <v>919</v>
      </c>
      <c r="E80" s="8" t="s">
        <v>62</v>
      </c>
      <c r="F80" s="355" t="s">
        <v>855</v>
      </c>
      <c r="G80" s="365" t="s">
        <v>38</v>
      </c>
      <c r="H80" s="414" t="s">
        <v>920</v>
      </c>
      <c r="I80" s="8" t="s">
        <v>64</v>
      </c>
      <c r="J80" s="8"/>
      <c r="K80" s="8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">
        <f t="shared" si="1"/>
        <v>81</v>
      </c>
      <c r="B81" s="411" t="s">
        <v>876</v>
      </c>
      <c r="C81" s="417" t="s">
        <v>199</v>
      </c>
      <c r="D81" s="8" t="s">
        <v>921</v>
      </c>
      <c r="E81" s="8" t="s">
        <v>62</v>
      </c>
      <c r="F81" s="363" t="s">
        <v>863</v>
      </c>
      <c r="G81" s="8" t="s">
        <v>64</v>
      </c>
      <c r="H81" s="8"/>
      <c r="I81" s="8"/>
      <c r="J81" s="8"/>
      <c r="K81" s="8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">
        <f t="shared" si="1"/>
        <v>82</v>
      </c>
      <c r="B82" s="411" t="s">
        <v>876</v>
      </c>
      <c r="C82" s="417" t="s">
        <v>199</v>
      </c>
      <c r="D82" s="21" t="s">
        <v>904</v>
      </c>
      <c r="E82" s="8"/>
      <c r="F82" s="8"/>
      <c r="G82" s="8"/>
      <c r="H82" s="8"/>
      <c r="I82" s="8"/>
      <c r="J82" s="8"/>
      <c r="K82" s="8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">
        <f t="shared" si="1"/>
        <v>83</v>
      </c>
      <c r="B83" s="412" t="s">
        <v>916</v>
      </c>
      <c r="C83" s="417" t="s">
        <v>199</v>
      </c>
      <c r="D83" s="415" t="s">
        <v>922</v>
      </c>
      <c r="E83" s="416" t="s">
        <v>923</v>
      </c>
      <c r="F83" s="8"/>
      <c r="G83" s="8"/>
      <c r="H83" s="8"/>
      <c r="I83" s="8"/>
      <c r="J83" s="8"/>
      <c r="K83" s="8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">
        <f t="shared" si="1"/>
        <v>84</v>
      </c>
      <c r="B84" s="415" t="s">
        <v>922</v>
      </c>
      <c r="C84" s="417" t="s">
        <v>199</v>
      </c>
      <c r="D84" s="375" t="s">
        <v>876</v>
      </c>
      <c r="E84" s="8"/>
      <c r="F84" s="8"/>
      <c r="G84" s="8"/>
      <c r="H84" s="8"/>
      <c r="I84" s="8"/>
      <c r="J84" s="8"/>
      <c r="K84" s="8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">
        <f t="shared" si="1"/>
        <v>85</v>
      </c>
      <c r="B85" s="415" t="s">
        <v>922</v>
      </c>
      <c r="C85" s="417" t="s">
        <v>199</v>
      </c>
      <c r="D85" s="361" t="s">
        <v>861</v>
      </c>
      <c r="E85" s="8"/>
      <c r="F85" s="8"/>
      <c r="G85" s="8"/>
      <c r="H85" s="8"/>
      <c r="I85" s="8"/>
      <c r="J85" s="8"/>
      <c r="K85" s="8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">
        <f t="shared" si="1"/>
        <v>86</v>
      </c>
      <c r="B86" s="415" t="s">
        <v>922</v>
      </c>
      <c r="C86" s="417" t="s">
        <v>199</v>
      </c>
      <c r="D86" s="8" t="s">
        <v>62</v>
      </c>
      <c r="E86" s="412" t="s">
        <v>916</v>
      </c>
      <c r="F86" s="8" t="s">
        <v>64</v>
      </c>
      <c r="G86" s="8"/>
      <c r="H86" s="8"/>
      <c r="I86" s="8"/>
      <c r="J86" s="8"/>
      <c r="K86" s="8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">
        <f t="shared" si="1"/>
        <v>87</v>
      </c>
      <c r="B87" s="416" t="s">
        <v>923</v>
      </c>
      <c r="C87" s="417" t="s">
        <v>199</v>
      </c>
      <c r="D87" s="417" t="s">
        <v>924</v>
      </c>
      <c r="E87" s="415" t="s">
        <v>922</v>
      </c>
      <c r="F87" s="416" t="s">
        <v>923</v>
      </c>
      <c r="G87" s="8"/>
      <c r="H87" s="8"/>
      <c r="I87" s="8"/>
      <c r="J87" s="8"/>
      <c r="K87" s="8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">
        <f t="shared" si="1"/>
        <v>88</v>
      </c>
      <c r="B88" s="416" t="s">
        <v>923</v>
      </c>
      <c r="C88" s="417" t="s">
        <v>199</v>
      </c>
      <c r="D88" s="8" t="s">
        <v>8</v>
      </c>
      <c r="E88" s="8"/>
      <c r="F88" s="8"/>
      <c r="G88" s="8"/>
      <c r="H88" s="8"/>
      <c r="I88" s="8"/>
      <c r="J88" s="8"/>
      <c r="K88" s="8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">
        <f t="shared" si="1"/>
        <v>89</v>
      </c>
      <c r="B89" s="414" t="s">
        <v>920</v>
      </c>
      <c r="C89" s="417" t="s">
        <v>199</v>
      </c>
      <c r="D89" s="418" t="s">
        <v>925</v>
      </c>
      <c r="E89" s="419" t="s">
        <v>926</v>
      </c>
      <c r="F89" s="8"/>
      <c r="G89" s="8"/>
      <c r="H89" s="8"/>
      <c r="I89" s="8"/>
      <c r="J89" s="8"/>
      <c r="K89" s="8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>
        <f t="shared" si="1"/>
        <v>90</v>
      </c>
      <c r="B90" s="418" t="s">
        <v>925</v>
      </c>
      <c r="C90" s="417" t="s">
        <v>199</v>
      </c>
      <c r="D90" s="420" t="s">
        <v>927</v>
      </c>
      <c r="E90" s="421" t="s">
        <v>928</v>
      </c>
      <c r="F90" s="8"/>
      <c r="G90" s="8"/>
      <c r="H90" s="8"/>
      <c r="I90" s="8"/>
      <c r="J90" s="8"/>
      <c r="K90" s="8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>
        <f t="shared" si="1"/>
        <v>91</v>
      </c>
      <c r="B91" s="420" t="s">
        <v>927</v>
      </c>
      <c r="C91" s="417" t="s">
        <v>199</v>
      </c>
      <c r="D91" s="371" t="s">
        <v>872</v>
      </c>
      <c r="E91" s="8"/>
      <c r="F91" s="8"/>
      <c r="G91" s="8"/>
      <c r="H91" s="8"/>
      <c r="I91" s="8"/>
      <c r="J91" s="8"/>
      <c r="K91" s="8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>
        <f t="shared" si="1"/>
        <v>92</v>
      </c>
      <c r="B92" s="420" t="s">
        <v>927</v>
      </c>
      <c r="C92" s="417" t="s">
        <v>199</v>
      </c>
      <c r="D92" s="361" t="s">
        <v>861</v>
      </c>
      <c r="E92" s="8"/>
      <c r="F92" s="8"/>
      <c r="G92" s="8"/>
      <c r="H92" s="8"/>
      <c r="I92" s="8"/>
      <c r="J92" s="8"/>
      <c r="K92" s="8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>
        <f t="shared" si="1"/>
        <v>93</v>
      </c>
      <c r="B93" s="420" t="s">
        <v>927</v>
      </c>
      <c r="C93" s="417" t="s">
        <v>199</v>
      </c>
      <c r="D93" s="8" t="s">
        <v>62</v>
      </c>
      <c r="E93" s="414" t="s">
        <v>920</v>
      </c>
      <c r="F93" s="8" t="s">
        <v>64</v>
      </c>
      <c r="G93" s="8"/>
      <c r="H93" s="8"/>
      <c r="I93" s="8"/>
      <c r="J93" s="8"/>
      <c r="K93" s="8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>
        <f t="shared" si="1"/>
        <v>94</v>
      </c>
      <c r="B94" s="421" t="s">
        <v>928</v>
      </c>
      <c r="C94" s="417" t="s">
        <v>199</v>
      </c>
      <c r="D94" s="8" t="s">
        <v>887</v>
      </c>
      <c r="E94" s="420" t="s">
        <v>927</v>
      </c>
      <c r="F94" s="421" t="s">
        <v>928</v>
      </c>
      <c r="G94" s="8"/>
      <c r="H94" s="8"/>
      <c r="I94" s="8"/>
      <c r="J94" s="8"/>
      <c r="K94" s="8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>
        <f t="shared" si="1"/>
        <v>95</v>
      </c>
      <c r="B95" s="421" t="s">
        <v>928</v>
      </c>
      <c r="C95" s="417" t="s">
        <v>199</v>
      </c>
      <c r="D95" s="8" t="s">
        <v>120</v>
      </c>
      <c r="E95" s="420" t="s">
        <v>927</v>
      </c>
      <c r="F95" s="421" t="s">
        <v>928</v>
      </c>
      <c r="G95" s="8"/>
      <c r="H95" s="8"/>
      <c r="I95" s="8"/>
      <c r="J95" s="8"/>
      <c r="K95" s="8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>
        <f t="shared" si="1"/>
        <v>96</v>
      </c>
      <c r="B96" s="421" t="s">
        <v>928</v>
      </c>
      <c r="C96" s="417" t="s">
        <v>199</v>
      </c>
      <c r="D96" s="8" t="s">
        <v>8</v>
      </c>
      <c r="E96" s="8"/>
      <c r="F96" s="8"/>
      <c r="G96" s="8"/>
      <c r="H96" s="8"/>
      <c r="I96" s="8"/>
      <c r="J96" s="8"/>
      <c r="K96" s="8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>
        <f t="shared" si="1"/>
        <v>97</v>
      </c>
      <c r="B97" s="419" t="s">
        <v>926</v>
      </c>
      <c r="C97" s="417" t="s">
        <v>199</v>
      </c>
      <c r="D97" s="417" t="s">
        <v>924</v>
      </c>
      <c r="E97" s="418" t="s">
        <v>925</v>
      </c>
      <c r="F97" s="419" t="s">
        <v>926</v>
      </c>
      <c r="G97" s="8"/>
      <c r="H97" s="8"/>
      <c r="I97" s="8"/>
      <c r="J97" s="8"/>
      <c r="K97" s="8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>
        <f t="shared" si="1"/>
        <v>98</v>
      </c>
      <c r="B98" s="419" t="s">
        <v>926</v>
      </c>
      <c r="C98" s="417" t="s">
        <v>199</v>
      </c>
      <c r="D98" s="8" t="s">
        <v>41</v>
      </c>
      <c r="E98" s="418" t="s">
        <v>925</v>
      </c>
      <c r="F98" s="419" t="s">
        <v>926</v>
      </c>
      <c r="G98" s="8"/>
      <c r="H98" s="8"/>
      <c r="I98" s="8"/>
      <c r="J98" s="8"/>
      <c r="K98" s="8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>
        <f t="shared" si="1"/>
        <v>99</v>
      </c>
      <c r="B99" s="419" t="s">
        <v>926</v>
      </c>
      <c r="C99" s="417" t="s">
        <v>199</v>
      </c>
      <c r="D99" s="8" t="s">
        <v>8</v>
      </c>
      <c r="E99" s="8"/>
      <c r="F99" s="8"/>
      <c r="G99" s="8"/>
      <c r="H99" s="8"/>
      <c r="I99" s="8"/>
      <c r="J99" s="8"/>
      <c r="K99" s="8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>
        <f t="shared" si="1"/>
        <v>100</v>
      </c>
      <c r="B100" s="401" t="s">
        <v>900</v>
      </c>
      <c r="C100" s="3" t="str">
        <f t="shared" ref="C100:C111" si="5">"=&gt;"</f>
        <v>=&gt;</v>
      </c>
      <c r="D100" s="3" t="s">
        <v>38</v>
      </c>
      <c r="E100" s="404" t="s">
        <v>905</v>
      </c>
      <c r="F100" s="3"/>
      <c r="G100" s="3"/>
      <c r="H100" s="3"/>
      <c r="I100" s="3"/>
      <c r="J100" s="3"/>
      <c r="K100" s="3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>
        <f t="shared" si="1"/>
        <v>101</v>
      </c>
      <c r="B101" s="401" t="s">
        <v>900</v>
      </c>
      <c r="C101" s="3" t="str">
        <f t="shared" si="5"/>
        <v>=&gt;</v>
      </c>
      <c r="D101" s="3" t="str">
        <f>"="</f>
        <v>=</v>
      </c>
      <c r="E101" s="395" t="s">
        <v>28</v>
      </c>
      <c r="F101" s="3" t="s">
        <v>6</v>
      </c>
      <c r="G101" s="422" t="s">
        <v>929</v>
      </c>
      <c r="H101" s="3"/>
      <c r="I101" s="3"/>
      <c r="J101" s="3"/>
      <c r="K101" s="3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>
        <f t="shared" si="1"/>
        <v>102</v>
      </c>
      <c r="B102" s="401" t="s">
        <v>900</v>
      </c>
      <c r="C102" s="3" t="str">
        <f t="shared" si="5"/>
        <v>=&gt;</v>
      </c>
      <c r="D102" s="3" t="s">
        <v>8</v>
      </c>
      <c r="E102" s="3"/>
      <c r="F102" s="3"/>
      <c r="G102" s="3"/>
      <c r="H102" s="3"/>
      <c r="I102" s="3"/>
      <c r="J102" s="3"/>
      <c r="K102" s="3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>
        <f t="shared" si="1"/>
        <v>103</v>
      </c>
      <c r="B103" s="422" t="s">
        <v>929</v>
      </c>
      <c r="C103" s="3" t="str">
        <f t="shared" si="5"/>
        <v>=&gt;</v>
      </c>
      <c r="D103" s="3" t="s">
        <v>14</v>
      </c>
      <c r="E103" s="3" t="str">
        <f>"="</f>
        <v>=</v>
      </c>
      <c r="F103" s="395" t="s">
        <v>28</v>
      </c>
      <c r="G103" s="3" t="s">
        <v>6</v>
      </c>
      <c r="H103" s="422" t="s">
        <v>929</v>
      </c>
      <c r="I103" s="3"/>
      <c r="J103" s="3"/>
      <c r="K103" s="3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>
        <f t="shared" si="1"/>
        <v>104</v>
      </c>
      <c r="B104" s="422" t="s">
        <v>929</v>
      </c>
      <c r="C104" s="3" t="str">
        <f t="shared" si="5"/>
        <v>=&gt;</v>
      </c>
      <c r="D104" s="3" t="s">
        <v>8</v>
      </c>
      <c r="E104" s="3"/>
      <c r="F104" s="3"/>
      <c r="G104" s="3"/>
      <c r="H104" s="3"/>
      <c r="I104" s="3"/>
      <c r="J104" s="3"/>
      <c r="K104" s="3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>
        <f t="shared" si="1"/>
        <v>105</v>
      </c>
      <c r="B105" s="396" t="s">
        <v>896</v>
      </c>
      <c r="C105" s="3" t="str">
        <f t="shared" si="5"/>
        <v>=&gt;</v>
      </c>
      <c r="D105" s="3" t="s">
        <v>38</v>
      </c>
      <c r="E105" s="395" t="s">
        <v>28</v>
      </c>
      <c r="F105" s="396" t="s">
        <v>896</v>
      </c>
      <c r="G105" s="3"/>
      <c r="H105" s="3"/>
      <c r="I105" s="3"/>
      <c r="J105" s="3"/>
      <c r="K105" s="3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>
        <f t="shared" si="1"/>
        <v>106</v>
      </c>
      <c r="B106" s="396" t="s">
        <v>896</v>
      </c>
      <c r="C106" s="3" t="str">
        <f t="shared" si="5"/>
        <v>=&gt;</v>
      </c>
      <c r="D106" s="3" t="s">
        <v>8</v>
      </c>
      <c r="E106" s="3"/>
      <c r="F106" s="3"/>
      <c r="G106" s="3"/>
      <c r="H106" s="3"/>
      <c r="I106" s="3"/>
      <c r="J106" s="3"/>
      <c r="K106" s="3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>
        <f t="shared" si="1"/>
        <v>107</v>
      </c>
      <c r="B107" s="393" t="s">
        <v>894</v>
      </c>
      <c r="C107" s="3" t="str">
        <f t="shared" si="5"/>
        <v>=&gt;</v>
      </c>
      <c r="D107" s="423" t="s">
        <v>892</v>
      </c>
      <c r="E107" s="3"/>
      <c r="F107" s="8"/>
      <c r="G107" s="8"/>
      <c r="H107" s="3"/>
      <c r="I107" s="3"/>
      <c r="J107" s="3"/>
      <c r="K107" s="3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>
        <f t="shared" si="1"/>
        <v>108</v>
      </c>
      <c r="B108" s="393" t="s">
        <v>894</v>
      </c>
      <c r="C108" s="3" t="str">
        <f t="shared" si="5"/>
        <v>=&gt;</v>
      </c>
      <c r="D108" s="424" t="s">
        <v>930</v>
      </c>
      <c r="E108" s="3"/>
      <c r="F108" s="3"/>
      <c r="G108" s="8"/>
      <c r="H108" s="3"/>
      <c r="I108" s="3"/>
      <c r="J108" s="3"/>
      <c r="K108" s="3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>
        <f t="shared" si="1"/>
        <v>109</v>
      </c>
      <c r="B109" s="393" t="s">
        <v>894</v>
      </c>
      <c r="C109" s="3" t="str">
        <f t="shared" si="5"/>
        <v>=&gt;</v>
      </c>
      <c r="D109" s="3" t="s">
        <v>8</v>
      </c>
      <c r="E109" s="3"/>
      <c r="F109" s="3"/>
      <c r="G109" s="8"/>
      <c r="H109" s="3"/>
      <c r="I109" s="3"/>
      <c r="J109" s="3"/>
      <c r="K109" s="3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>
        <f t="shared" si="1"/>
        <v>110</v>
      </c>
      <c r="B110" s="423" t="s">
        <v>892</v>
      </c>
      <c r="C110" s="3" t="str">
        <f t="shared" si="5"/>
        <v>=&gt;</v>
      </c>
      <c r="D110" s="3" t="s">
        <v>30</v>
      </c>
      <c r="E110" s="354" t="s">
        <v>855</v>
      </c>
      <c r="F110" s="3" t="s">
        <v>32</v>
      </c>
      <c r="G110" s="393" t="s">
        <v>894</v>
      </c>
      <c r="H110" s="3"/>
      <c r="I110" s="3"/>
      <c r="J110" s="3"/>
      <c r="K110" s="3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>
        <f t="shared" si="1"/>
        <v>111</v>
      </c>
      <c r="B111" s="424" t="s">
        <v>930</v>
      </c>
      <c r="C111" s="3" t="str">
        <f t="shared" si="5"/>
        <v>=&gt;</v>
      </c>
      <c r="D111" s="3" t="s">
        <v>180</v>
      </c>
      <c r="E111" s="3" t="s">
        <v>14</v>
      </c>
      <c r="F111" s="393" t="s">
        <v>894</v>
      </c>
      <c r="G111" s="3"/>
      <c r="H111" s="3"/>
      <c r="I111" s="3"/>
      <c r="J111" s="3"/>
      <c r="K111" s="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>
        <f t="shared" si="1"/>
        <v>112</v>
      </c>
      <c r="B112" s="386" t="s">
        <v>889</v>
      </c>
      <c r="C112" s="417" t="s">
        <v>199</v>
      </c>
      <c r="D112" s="360" t="s">
        <v>860</v>
      </c>
      <c r="E112" s="368" t="s">
        <v>869</v>
      </c>
      <c r="F112" s="369" t="s">
        <v>870</v>
      </c>
      <c r="G112" s="425" t="s">
        <v>931</v>
      </c>
      <c r="H112" s="8"/>
      <c r="I112" s="8"/>
      <c r="J112" s="8"/>
      <c r="K112" s="8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>
        <f t="shared" si="1"/>
        <v>113</v>
      </c>
      <c r="B113" s="386" t="s">
        <v>889</v>
      </c>
      <c r="C113" s="417" t="s">
        <v>199</v>
      </c>
      <c r="D113" s="361" t="s">
        <v>861</v>
      </c>
      <c r="E113" s="368" t="s">
        <v>869</v>
      </c>
      <c r="F113" s="369" t="s">
        <v>870</v>
      </c>
      <c r="G113" s="425" t="s">
        <v>931</v>
      </c>
      <c r="H113" s="8"/>
      <c r="I113" s="8"/>
      <c r="J113" s="8"/>
      <c r="K113" s="8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>
        <f t="shared" si="1"/>
        <v>114</v>
      </c>
      <c r="B114" s="386" t="s">
        <v>889</v>
      </c>
      <c r="C114" s="417" t="s">
        <v>199</v>
      </c>
      <c r="D114" s="8" t="s">
        <v>62</v>
      </c>
      <c r="E114" s="386" t="s">
        <v>889</v>
      </c>
      <c r="F114" s="426" t="s">
        <v>932</v>
      </c>
      <c r="G114" s="8"/>
      <c r="H114" s="8"/>
      <c r="I114" s="8"/>
      <c r="J114" s="8"/>
      <c r="K114" s="8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>
        <f t="shared" si="1"/>
        <v>115</v>
      </c>
      <c r="B115" s="369" t="s">
        <v>870</v>
      </c>
      <c r="C115" s="417" t="s">
        <v>199</v>
      </c>
      <c r="D115" s="417" t="s">
        <v>924</v>
      </c>
      <c r="E115" s="427" t="s">
        <v>933</v>
      </c>
      <c r="F115" s="369" t="s">
        <v>870</v>
      </c>
      <c r="G115" s="8"/>
      <c r="H115" s="8"/>
      <c r="I115" s="8"/>
      <c r="J115" s="8"/>
      <c r="K115" s="8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>
        <f t="shared" si="1"/>
        <v>116</v>
      </c>
      <c r="B116" s="369" t="s">
        <v>870</v>
      </c>
      <c r="C116" s="417" t="s">
        <v>199</v>
      </c>
      <c r="D116" s="8" t="s">
        <v>41</v>
      </c>
      <c r="E116" s="427" t="s">
        <v>933</v>
      </c>
      <c r="F116" s="369" t="s">
        <v>870</v>
      </c>
      <c r="G116" s="8"/>
      <c r="H116" s="8"/>
      <c r="I116" s="8"/>
      <c r="J116" s="8"/>
      <c r="K116" s="8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>
        <f t="shared" si="1"/>
        <v>117</v>
      </c>
      <c r="B117" s="369" t="s">
        <v>870</v>
      </c>
      <c r="C117" s="417" t="s">
        <v>199</v>
      </c>
      <c r="D117" s="428" t="s">
        <v>8</v>
      </c>
      <c r="E117" s="8"/>
      <c r="F117" s="8"/>
      <c r="G117" s="8"/>
      <c r="H117" s="8"/>
      <c r="I117" s="8"/>
      <c r="J117" s="8"/>
      <c r="K117" s="8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>
        <f t="shared" si="1"/>
        <v>118</v>
      </c>
      <c r="B118" s="427" t="s">
        <v>933</v>
      </c>
      <c r="C118" s="417" t="s">
        <v>199</v>
      </c>
      <c r="D118" s="385" t="s">
        <v>888</v>
      </c>
      <c r="E118" s="429" t="s">
        <v>869</v>
      </c>
      <c r="F118" s="8"/>
      <c r="G118" s="8"/>
      <c r="H118" s="8"/>
      <c r="I118" s="8"/>
      <c r="J118" s="8"/>
      <c r="K118" s="8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>
        <f t="shared" si="1"/>
        <v>119</v>
      </c>
      <c r="B119" s="425" t="s">
        <v>931</v>
      </c>
      <c r="C119" s="417" t="s">
        <v>199</v>
      </c>
      <c r="D119" s="8" t="s">
        <v>64</v>
      </c>
      <c r="E119" s="8"/>
      <c r="F119" s="8"/>
      <c r="G119" s="8"/>
      <c r="H119" s="8"/>
      <c r="I119" s="8"/>
      <c r="J119" s="8"/>
      <c r="K119" s="8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>
        <f t="shared" si="1"/>
        <v>120</v>
      </c>
      <c r="B120" s="426" t="s">
        <v>932</v>
      </c>
      <c r="C120" s="417" t="s">
        <v>199</v>
      </c>
      <c r="D120" s="8" t="s">
        <v>64</v>
      </c>
      <c r="E120" s="8"/>
      <c r="F120" s="8"/>
      <c r="G120" s="8"/>
      <c r="H120" s="8"/>
      <c r="I120" s="8"/>
      <c r="J120" s="8"/>
      <c r="K120" s="8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>
        <f t="shared" si="1"/>
        <v>121</v>
      </c>
      <c r="B121" s="370" t="s">
        <v>871</v>
      </c>
      <c r="C121" s="417" t="s">
        <v>199</v>
      </c>
      <c r="D121" s="417" t="s">
        <v>934</v>
      </c>
      <c r="E121" s="430" t="s">
        <v>935</v>
      </c>
      <c r="F121" s="379" t="s">
        <v>880</v>
      </c>
      <c r="G121" s="8"/>
      <c r="H121" s="8"/>
      <c r="I121" s="8"/>
      <c r="J121" s="8"/>
      <c r="K121" s="8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3">
        <f t="shared" si="1"/>
        <v>122</v>
      </c>
      <c r="B122" s="370" t="s">
        <v>871</v>
      </c>
      <c r="C122" s="417" t="s">
        <v>199</v>
      </c>
      <c r="D122" s="8" t="s">
        <v>163</v>
      </c>
      <c r="E122" s="430" t="s">
        <v>935</v>
      </c>
      <c r="F122" s="379" t="s">
        <v>880</v>
      </c>
      <c r="G122" s="8"/>
      <c r="H122" s="8"/>
      <c r="I122" s="8"/>
      <c r="J122" s="8"/>
      <c r="K122" s="8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3">
        <f t="shared" si="1"/>
        <v>123</v>
      </c>
      <c r="B123" s="370" t="s">
        <v>871</v>
      </c>
      <c r="C123" s="417" t="s">
        <v>199</v>
      </c>
      <c r="D123" s="8" t="s">
        <v>167</v>
      </c>
      <c r="E123" s="430" t="s">
        <v>935</v>
      </c>
      <c r="F123" s="379" t="s">
        <v>880</v>
      </c>
      <c r="G123" s="8"/>
      <c r="H123" s="8"/>
      <c r="I123" s="8"/>
      <c r="J123" s="8"/>
      <c r="K123" s="8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3">
        <f t="shared" si="1"/>
        <v>124</v>
      </c>
      <c r="B124" s="370" t="s">
        <v>871</v>
      </c>
      <c r="C124" s="417" t="s">
        <v>199</v>
      </c>
      <c r="D124" s="8" t="s">
        <v>166</v>
      </c>
      <c r="E124" s="430" t="s">
        <v>935</v>
      </c>
      <c r="F124" s="379" t="s">
        <v>880</v>
      </c>
      <c r="G124" s="8"/>
      <c r="H124" s="8"/>
      <c r="I124" s="8"/>
      <c r="J124" s="8"/>
      <c r="K124" s="8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3">
        <f t="shared" si="1"/>
        <v>125</v>
      </c>
      <c r="B125" s="370" t="s">
        <v>871</v>
      </c>
      <c r="C125" s="417" t="s">
        <v>199</v>
      </c>
      <c r="D125" s="8" t="s">
        <v>165</v>
      </c>
      <c r="E125" s="430" t="s">
        <v>935</v>
      </c>
      <c r="F125" s="379" t="s">
        <v>880</v>
      </c>
      <c r="G125" s="8"/>
      <c r="H125" s="8"/>
      <c r="I125" s="8"/>
      <c r="J125" s="8"/>
      <c r="K125" s="8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>
        <f t="shared" si="1"/>
        <v>126</v>
      </c>
      <c r="B126" s="370" t="s">
        <v>871</v>
      </c>
      <c r="C126" s="417" t="s">
        <v>199</v>
      </c>
      <c r="D126" s="8" t="s">
        <v>164</v>
      </c>
      <c r="E126" s="430" t="s">
        <v>935</v>
      </c>
      <c r="F126" s="379" t="s">
        <v>880</v>
      </c>
      <c r="G126" s="8"/>
      <c r="H126" s="8"/>
      <c r="I126" s="8"/>
      <c r="J126" s="8"/>
      <c r="K126" s="8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>
        <f t="shared" si="1"/>
        <v>127</v>
      </c>
      <c r="B127" s="370" t="s">
        <v>871</v>
      </c>
      <c r="C127" s="417" t="s">
        <v>199</v>
      </c>
      <c r="D127" s="8" t="s">
        <v>8</v>
      </c>
      <c r="E127" s="428"/>
      <c r="F127" s="8"/>
      <c r="G127" s="8"/>
      <c r="H127" s="8"/>
      <c r="I127" s="8"/>
      <c r="J127" s="8"/>
      <c r="K127" s="8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>
        <f t="shared" si="1"/>
        <v>128</v>
      </c>
      <c r="B128" s="431" t="s">
        <v>935</v>
      </c>
      <c r="C128" s="417" t="s">
        <v>199</v>
      </c>
      <c r="D128" s="427" t="s">
        <v>933</v>
      </c>
      <c r="E128" s="432" t="s">
        <v>870</v>
      </c>
      <c r="F128" s="8"/>
      <c r="G128" s="8"/>
      <c r="H128" s="8"/>
      <c r="I128" s="8"/>
      <c r="J128" s="8"/>
      <c r="K128" s="8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>
        <f t="shared" si="1"/>
        <v>129</v>
      </c>
      <c r="B129" s="379" t="s">
        <v>880</v>
      </c>
      <c r="C129" s="417" t="s">
        <v>199</v>
      </c>
      <c r="D129" s="8" t="s">
        <v>936</v>
      </c>
      <c r="E129" s="384" t="s">
        <v>886</v>
      </c>
      <c r="F129" s="8"/>
      <c r="G129" s="8"/>
      <c r="H129" s="8"/>
      <c r="I129" s="8"/>
      <c r="J129" s="8"/>
      <c r="K129" s="8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>
        <f t="shared" si="1"/>
        <v>130</v>
      </c>
      <c r="B130" s="379" t="s">
        <v>880</v>
      </c>
      <c r="C130" s="417" t="s">
        <v>199</v>
      </c>
      <c r="D130" s="8" t="s">
        <v>937</v>
      </c>
      <c r="E130" s="384" t="s">
        <v>886</v>
      </c>
      <c r="F130" s="8"/>
      <c r="G130" s="8"/>
      <c r="H130" s="8"/>
      <c r="I130" s="8"/>
      <c r="J130" s="8"/>
      <c r="K130" s="8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>
        <f t="shared" si="1"/>
        <v>131</v>
      </c>
      <c r="B131" s="379" t="s">
        <v>880</v>
      </c>
      <c r="C131" s="417" t="s">
        <v>199</v>
      </c>
      <c r="D131" s="417" t="s">
        <v>934</v>
      </c>
      <c r="E131" s="384" t="s">
        <v>886</v>
      </c>
      <c r="F131" s="8"/>
      <c r="G131" s="8"/>
      <c r="H131" s="8"/>
      <c r="I131" s="8"/>
      <c r="J131" s="8"/>
      <c r="K131" s="8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>
        <f t="shared" si="1"/>
        <v>132</v>
      </c>
      <c r="B132" s="379" t="s">
        <v>880</v>
      </c>
      <c r="C132" s="417" t="s">
        <v>199</v>
      </c>
      <c r="D132" s="8" t="s">
        <v>163</v>
      </c>
      <c r="E132" s="384" t="s">
        <v>886</v>
      </c>
      <c r="F132" s="8"/>
      <c r="G132" s="8"/>
      <c r="H132" s="8"/>
      <c r="I132" s="8"/>
      <c r="J132" s="8"/>
      <c r="K132" s="8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>
        <f t="shared" si="1"/>
        <v>133</v>
      </c>
      <c r="B133" s="379" t="s">
        <v>880</v>
      </c>
      <c r="C133" s="417" t="s">
        <v>199</v>
      </c>
      <c r="D133" s="8" t="s">
        <v>8</v>
      </c>
      <c r="E133" s="8"/>
      <c r="F133" s="8"/>
      <c r="G133" s="8"/>
      <c r="H133" s="8"/>
      <c r="I133" s="8"/>
      <c r="J133" s="8"/>
      <c r="K133" s="8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>
        <f t="shared" si="1"/>
        <v>134</v>
      </c>
      <c r="B134" s="384" t="s">
        <v>886</v>
      </c>
      <c r="C134" s="417" t="s">
        <v>199</v>
      </c>
      <c r="D134" s="360" t="s">
        <v>860</v>
      </c>
      <c r="E134" s="368" t="s">
        <v>869</v>
      </c>
      <c r="F134" s="369" t="s">
        <v>870</v>
      </c>
      <c r="G134" s="433" t="s">
        <v>938</v>
      </c>
      <c r="H134" s="8"/>
      <c r="I134" s="8"/>
      <c r="J134" s="8"/>
      <c r="K134" s="8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>
        <f t="shared" si="1"/>
        <v>135</v>
      </c>
      <c r="B135" s="384" t="s">
        <v>886</v>
      </c>
      <c r="C135" s="417" t="s">
        <v>199</v>
      </c>
      <c r="D135" s="371" t="s">
        <v>872</v>
      </c>
      <c r="E135" s="372" t="s">
        <v>873</v>
      </c>
      <c r="F135" s="373" t="s">
        <v>874</v>
      </c>
      <c r="G135" s="434" t="s">
        <v>939</v>
      </c>
      <c r="H135" s="8"/>
      <c r="I135" s="8"/>
      <c r="J135" s="8"/>
      <c r="K135" s="8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>
        <f t="shared" si="1"/>
        <v>136</v>
      </c>
      <c r="B136" s="384" t="s">
        <v>886</v>
      </c>
      <c r="C136" s="417" t="s">
        <v>199</v>
      </c>
      <c r="D136" s="375" t="s">
        <v>876</v>
      </c>
      <c r="E136" s="376" t="s">
        <v>877</v>
      </c>
      <c r="F136" s="435" t="s">
        <v>940</v>
      </c>
      <c r="G136" s="8"/>
      <c r="H136" s="8"/>
      <c r="I136" s="8"/>
      <c r="J136" s="8"/>
      <c r="K136" s="8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>
        <f t="shared" si="1"/>
        <v>137</v>
      </c>
      <c r="B137" s="384" t="s">
        <v>886</v>
      </c>
      <c r="C137" s="417" t="s">
        <v>199</v>
      </c>
      <c r="D137" s="378" t="s">
        <v>879</v>
      </c>
      <c r="E137" s="379" t="s">
        <v>880</v>
      </c>
      <c r="F137" s="8"/>
      <c r="G137" s="8"/>
      <c r="H137" s="8"/>
      <c r="I137" s="8"/>
      <c r="J137" s="8"/>
      <c r="K137" s="8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>
        <f t="shared" si="1"/>
        <v>138</v>
      </c>
      <c r="B138" s="384" t="s">
        <v>886</v>
      </c>
      <c r="C138" s="417" t="s">
        <v>199</v>
      </c>
      <c r="D138" s="361" t="s">
        <v>861</v>
      </c>
      <c r="E138" s="380" t="s">
        <v>881</v>
      </c>
      <c r="F138" s="381" t="s">
        <v>882</v>
      </c>
      <c r="G138" s="382" t="s">
        <v>883</v>
      </c>
      <c r="H138" s="8"/>
      <c r="I138" s="8"/>
      <c r="J138" s="8"/>
      <c r="K138" s="8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>
        <f t="shared" si="1"/>
        <v>139</v>
      </c>
      <c r="B139" s="384" t="s">
        <v>886</v>
      </c>
      <c r="C139" s="417" t="s">
        <v>199</v>
      </c>
      <c r="D139" s="8" t="s">
        <v>62</v>
      </c>
      <c r="E139" s="383" t="s">
        <v>884</v>
      </c>
      <c r="F139" s="436" t="s">
        <v>941</v>
      </c>
      <c r="G139" s="8"/>
      <c r="H139" s="8"/>
      <c r="I139" s="8"/>
      <c r="J139" s="8"/>
      <c r="K139" s="8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>
        <f t="shared" si="1"/>
        <v>140</v>
      </c>
      <c r="B140" s="384" t="s">
        <v>886</v>
      </c>
      <c r="C140" s="417" t="s">
        <v>199</v>
      </c>
      <c r="D140" s="8" t="s">
        <v>885</v>
      </c>
      <c r="E140" s="384" t="s">
        <v>886</v>
      </c>
      <c r="F140" s="8"/>
      <c r="G140" s="8"/>
      <c r="H140" s="8"/>
      <c r="I140" s="8"/>
      <c r="J140" s="8"/>
      <c r="K140" s="8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>
        <f t="shared" si="1"/>
        <v>141</v>
      </c>
      <c r="B141" s="433" t="s">
        <v>938</v>
      </c>
      <c r="C141" s="417" t="s">
        <v>199</v>
      </c>
      <c r="D141" s="417" t="s">
        <v>934</v>
      </c>
      <c r="E141" s="431" t="s">
        <v>935</v>
      </c>
      <c r="F141" s="379" t="s">
        <v>880</v>
      </c>
      <c r="G141" s="8"/>
      <c r="H141" s="8"/>
      <c r="I141" s="8"/>
      <c r="J141" s="8"/>
      <c r="K141" s="8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>
        <f t="shared" si="1"/>
        <v>142</v>
      </c>
      <c r="B142" s="433" t="s">
        <v>938</v>
      </c>
      <c r="C142" s="417" t="s">
        <v>199</v>
      </c>
      <c r="D142" s="8" t="s">
        <v>163</v>
      </c>
      <c r="E142" s="431" t="s">
        <v>935</v>
      </c>
      <c r="F142" s="379" t="s">
        <v>880</v>
      </c>
      <c r="G142" s="8"/>
      <c r="H142" s="8"/>
      <c r="I142" s="8"/>
      <c r="J142" s="8"/>
      <c r="K142" s="8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>
        <f t="shared" si="1"/>
        <v>143</v>
      </c>
      <c r="B143" s="433" t="s">
        <v>938</v>
      </c>
      <c r="C143" s="417" t="s">
        <v>199</v>
      </c>
      <c r="D143" s="8" t="s">
        <v>167</v>
      </c>
      <c r="E143" s="431" t="s">
        <v>935</v>
      </c>
      <c r="F143" s="379" t="s">
        <v>880</v>
      </c>
      <c r="G143" s="8"/>
      <c r="H143" s="8"/>
      <c r="I143" s="8"/>
      <c r="J143" s="8"/>
      <c r="K143" s="8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>
        <f t="shared" si="1"/>
        <v>144</v>
      </c>
      <c r="B144" s="433" t="s">
        <v>938</v>
      </c>
      <c r="C144" s="417" t="s">
        <v>199</v>
      </c>
      <c r="D144" s="8" t="s">
        <v>166</v>
      </c>
      <c r="E144" s="431" t="s">
        <v>935</v>
      </c>
      <c r="F144" s="379" t="s">
        <v>880</v>
      </c>
      <c r="G144" s="8"/>
      <c r="H144" s="8"/>
      <c r="I144" s="8"/>
      <c r="J144" s="8"/>
      <c r="K144" s="8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>
        <f t="shared" si="1"/>
        <v>145</v>
      </c>
      <c r="B145" s="433" t="s">
        <v>938</v>
      </c>
      <c r="C145" s="417" t="s">
        <v>199</v>
      </c>
      <c r="D145" s="8" t="s">
        <v>165</v>
      </c>
      <c r="E145" s="431" t="s">
        <v>935</v>
      </c>
      <c r="F145" s="379" t="s">
        <v>880</v>
      </c>
      <c r="G145" s="8"/>
      <c r="H145" s="8"/>
      <c r="I145" s="8"/>
      <c r="J145" s="8"/>
      <c r="K145" s="8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>
        <f t="shared" si="1"/>
        <v>146</v>
      </c>
      <c r="B146" s="433" t="s">
        <v>938</v>
      </c>
      <c r="C146" s="417" t="s">
        <v>199</v>
      </c>
      <c r="D146" s="8" t="s">
        <v>164</v>
      </c>
      <c r="E146" s="431" t="s">
        <v>935</v>
      </c>
      <c r="F146" s="379" t="s">
        <v>880</v>
      </c>
      <c r="G146" s="8"/>
      <c r="H146" s="8"/>
      <c r="I146" s="8"/>
      <c r="J146" s="8"/>
      <c r="K146" s="8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>
        <f t="shared" si="1"/>
        <v>147</v>
      </c>
      <c r="B147" s="372" t="s">
        <v>873</v>
      </c>
      <c r="C147" s="417" t="s">
        <v>199</v>
      </c>
      <c r="D147" s="8" t="s">
        <v>887</v>
      </c>
      <c r="E147" s="437" t="s">
        <v>942</v>
      </c>
      <c r="F147" s="372" t="s">
        <v>873</v>
      </c>
      <c r="G147" s="8"/>
      <c r="H147" s="8"/>
      <c r="I147" s="8"/>
      <c r="J147" s="8"/>
      <c r="K147" s="8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>
        <f t="shared" si="1"/>
        <v>148</v>
      </c>
      <c r="B148" s="372" t="s">
        <v>873</v>
      </c>
      <c r="C148" s="417" t="s">
        <v>199</v>
      </c>
      <c r="D148" s="8" t="s">
        <v>120</v>
      </c>
      <c r="E148" s="437" t="s">
        <v>942</v>
      </c>
      <c r="F148" s="372" t="s">
        <v>873</v>
      </c>
      <c r="G148" s="8"/>
      <c r="H148" s="8"/>
      <c r="I148" s="8"/>
      <c r="J148" s="8"/>
      <c r="K148" s="8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>
        <f t="shared" si="1"/>
        <v>149</v>
      </c>
      <c r="B149" s="372" t="s">
        <v>873</v>
      </c>
      <c r="C149" s="417" t="s">
        <v>199</v>
      </c>
      <c r="D149" s="428" t="s">
        <v>8</v>
      </c>
      <c r="E149" s="8"/>
      <c r="F149" s="8"/>
      <c r="G149" s="8"/>
      <c r="H149" s="8"/>
      <c r="I149" s="8"/>
      <c r="J149" s="8"/>
      <c r="K149" s="8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>
        <f t="shared" si="1"/>
        <v>150</v>
      </c>
      <c r="B150" s="438" t="s">
        <v>942</v>
      </c>
      <c r="C150" s="417" t="s">
        <v>199</v>
      </c>
      <c r="D150" s="371" t="s">
        <v>872</v>
      </c>
      <c r="E150" s="8"/>
      <c r="F150" s="8"/>
      <c r="G150" s="8"/>
      <c r="H150" s="8"/>
      <c r="I150" s="8"/>
      <c r="J150" s="8"/>
      <c r="K150" s="8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>
        <f t="shared" si="1"/>
        <v>151</v>
      </c>
      <c r="B151" s="438" t="s">
        <v>942</v>
      </c>
      <c r="C151" s="417" t="s">
        <v>199</v>
      </c>
      <c r="D151" s="361" t="s">
        <v>861</v>
      </c>
      <c r="E151" s="8"/>
      <c r="F151" s="8"/>
      <c r="G151" s="8"/>
      <c r="H151" s="8"/>
      <c r="I151" s="8"/>
      <c r="J151" s="8"/>
      <c r="K151" s="8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>
        <f t="shared" si="1"/>
        <v>152</v>
      </c>
      <c r="B152" s="438" t="s">
        <v>942</v>
      </c>
      <c r="C152" s="417" t="s">
        <v>199</v>
      </c>
      <c r="D152" s="8" t="s">
        <v>62</v>
      </c>
      <c r="E152" s="439" t="s">
        <v>943</v>
      </c>
      <c r="F152" s="8"/>
      <c r="G152" s="8"/>
      <c r="H152" s="8"/>
      <c r="I152" s="8"/>
      <c r="J152" s="8"/>
      <c r="K152" s="8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>
        <f t="shared" si="1"/>
        <v>153</v>
      </c>
      <c r="B153" s="439" t="s">
        <v>943</v>
      </c>
      <c r="C153" s="417" t="s">
        <v>199</v>
      </c>
      <c r="D153" s="371" t="s">
        <v>872</v>
      </c>
      <c r="E153" s="372" t="s">
        <v>873</v>
      </c>
      <c r="F153" s="373" t="s">
        <v>874</v>
      </c>
      <c r="G153" s="440" t="s">
        <v>944</v>
      </c>
      <c r="H153" s="8"/>
      <c r="I153" s="8"/>
      <c r="J153" s="8"/>
      <c r="K153" s="8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>
        <f t="shared" si="1"/>
        <v>154</v>
      </c>
      <c r="B154" s="439" t="s">
        <v>943</v>
      </c>
      <c r="C154" s="417" t="s">
        <v>199</v>
      </c>
      <c r="D154" s="361" t="s">
        <v>861</v>
      </c>
      <c r="E154" s="372" t="s">
        <v>873</v>
      </c>
      <c r="F154" s="373" t="s">
        <v>874</v>
      </c>
      <c r="G154" s="440" t="s">
        <v>944</v>
      </c>
      <c r="H154" s="8"/>
      <c r="I154" s="8"/>
      <c r="J154" s="8"/>
      <c r="K154" s="8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>
        <f t="shared" si="1"/>
        <v>155</v>
      </c>
      <c r="B155" s="439" t="s">
        <v>943</v>
      </c>
      <c r="C155" s="417" t="s">
        <v>199</v>
      </c>
      <c r="D155" s="8" t="s">
        <v>62</v>
      </c>
      <c r="E155" s="439" t="s">
        <v>943</v>
      </c>
      <c r="F155" s="441" t="s">
        <v>945</v>
      </c>
      <c r="G155" s="8"/>
      <c r="H155" s="8"/>
      <c r="I155" s="8"/>
      <c r="J155" s="8"/>
      <c r="K155" s="8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>
        <f t="shared" si="1"/>
        <v>156</v>
      </c>
      <c r="B156" s="373" t="s">
        <v>874</v>
      </c>
      <c r="C156" s="417" t="s">
        <v>199</v>
      </c>
      <c r="D156" s="417" t="s">
        <v>924</v>
      </c>
      <c r="E156" s="442" t="s">
        <v>946</v>
      </c>
      <c r="F156" s="373" t="s">
        <v>874</v>
      </c>
      <c r="G156" s="8"/>
      <c r="H156" s="8"/>
      <c r="I156" s="8"/>
      <c r="J156" s="8"/>
      <c r="K156" s="8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>
        <f t="shared" si="1"/>
        <v>157</v>
      </c>
      <c r="B157" s="373" t="s">
        <v>874</v>
      </c>
      <c r="C157" s="417" t="s">
        <v>199</v>
      </c>
      <c r="D157" s="8" t="s">
        <v>41</v>
      </c>
      <c r="E157" s="442" t="s">
        <v>946</v>
      </c>
      <c r="F157" s="373" t="s">
        <v>874</v>
      </c>
      <c r="G157" s="8"/>
      <c r="H157" s="8"/>
      <c r="I157" s="8"/>
      <c r="J157" s="8"/>
      <c r="K157" s="8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>
        <f t="shared" si="1"/>
        <v>158</v>
      </c>
      <c r="B158" s="373" t="s">
        <v>874</v>
      </c>
      <c r="C158" s="417" t="s">
        <v>199</v>
      </c>
      <c r="D158" s="8" t="s">
        <v>8</v>
      </c>
      <c r="E158" s="8"/>
      <c r="F158" s="8"/>
      <c r="G158" s="8"/>
      <c r="H158" s="8"/>
      <c r="I158" s="8"/>
      <c r="J158" s="8"/>
      <c r="K158" s="8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>
        <f t="shared" si="1"/>
        <v>159</v>
      </c>
      <c r="B159" s="442" t="s">
        <v>946</v>
      </c>
      <c r="C159" s="417" t="s">
        <v>199</v>
      </c>
      <c r="D159" s="438" t="s">
        <v>942</v>
      </c>
      <c r="E159" s="372" t="s">
        <v>873</v>
      </c>
      <c r="F159" s="8"/>
      <c r="G159" s="8"/>
      <c r="H159" s="8"/>
      <c r="I159" s="8"/>
      <c r="J159" s="8"/>
      <c r="K159" s="8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>
        <f t="shared" si="1"/>
        <v>160</v>
      </c>
      <c r="B160" s="440" t="s">
        <v>944</v>
      </c>
      <c r="C160" s="417" t="s">
        <v>199</v>
      </c>
      <c r="D160" s="8" t="s">
        <v>64</v>
      </c>
      <c r="E160" s="8"/>
      <c r="F160" s="8"/>
      <c r="G160" s="8"/>
      <c r="H160" s="8"/>
      <c r="I160" s="8"/>
      <c r="J160" s="8"/>
      <c r="K160" s="8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>
        <f t="shared" si="1"/>
        <v>161</v>
      </c>
      <c r="B161" s="441" t="s">
        <v>945</v>
      </c>
      <c r="C161" s="417" t="s">
        <v>199</v>
      </c>
      <c r="D161" s="8" t="s">
        <v>64</v>
      </c>
      <c r="E161" s="8"/>
      <c r="F161" s="8"/>
      <c r="G161" s="8"/>
      <c r="H161" s="8"/>
      <c r="I161" s="8"/>
      <c r="J161" s="8"/>
      <c r="K161" s="8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>
        <f t="shared" si="1"/>
        <v>162</v>
      </c>
      <c r="B162" s="434" t="s">
        <v>939</v>
      </c>
      <c r="C162" s="417" t="s">
        <v>199</v>
      </c>
      <c r="D162" s="417" t="s">
        <v>934</v>
      </c>
      <c r="E162" s="443" t="s">
        <v>947</v>
      </c>
      <c r="F162" s="379" t="s">
        <v>880</v>
      </c>
      <c r="G162" s="8"/>
      <c r="H162" s="8"/>
      <c r="I162" s="8"/>
      <c r="J162" s="8"/>
      <c r="K162" s="8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>
        <f t="shared" si="1"/>
        <v>163</v>
      </c>
      <c r="B163" s="434" t="s">
        <v>939</v>
      </c>
      <c r="C163" s="417" t="s">
        <v>199</v>
      </c>
      <c r="D163" s="8" t="s">
        <v>163</v>
      </c>
      <c r="E163" s="443" t="s">
        <v>947</v>
      </c>
      <c r="F163" s="379" t="s">
        <v>880</v>
      </c>
      <c r="G163" s="8"/>
      <c r="H163" s="8"/>
      <c r="I163" s="8"/>
      <c r="J163" s="8"/>
      <c r="K163" s="8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>
        <f t="shared" si="1"/>
        <v>164</v>
      </c>
      <c r="B164" s="434" t="s">
        <v>939</v>
      </c>
      <c r="C164" s="417" t="s">
        <v>199</v>
      </c>
      <c r="D164" s="8" t="s">
        <v>167</v>
      </c>
      <c r="E164" s="443" t="s">
        <v>947</v>
      </c>
      <c r="F164" s="379" t="s">
        <v>880</v>
      </c>
      <c r="G164" s="8"/>
      <c r="H164" s="8"/>
      <c r="I164" s="8"/>
      <c r="J164" s="8"/>
      <c r="K164" s="8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>
        <f t="shared" si="1"/>
        <v>165</v>
      </c>
      <c r="B165" s="434" t="s">
        <v>939</v>
      </c>
      <c r="C165" s="417" t="s">
        <v>199</v>
      </c>
      <c r="D165" s="8" t="s">
        <v>166</v>
      </c>
      <c r="E165" s="443" t="s">
        <v>947</v>
      </c>
      <c r="F165" s="379" t="s">
        <v>880</v>
      </c>
      <c r="G165" s="8"/>
      <c r="H165" s="8"/>
      <c r="I165" s="8"/>
      <c r="J165" s="8"/>
      <c r="K165" s="8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>
        <f t="shared" si="1"/>
        <v>166</v>
      </c>
      <c r="B166" s="434" t="s">
        <v>939</v>
      </c>
      <c r="C166" s="417" t="s">
        <v>199</v>
      </c>
      <c r="D166" s="8" t="s">
        <v>165</v>
      </c>
      <c r="E166" s="443" t="s">
        <v>947</v>
      </c>
      <c r="F166" s="379" t="s">
        <v>880</v>
      </c>
      <c r="G166" s="8"/>
      <c r="H166" s="8"/>
      <c r="I166" s="8"/>
      <c r="J166" s="8"/>
      <c r="K166" s="8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>
        <f t="shared" si="1"/>
        <v>167</v>
      </c>
      <c r="B167" s="434" t="s">
        <v>939</v>
      </c>
      <c r="C167" s="417" t="s">
        <v>199</v>
      </c>
      <c r="D167" s="8" t="s">
        <v>164</v>
      </c>
      <c r="E167" s="443" t="s">
        <v>947</v>
      </c>
      <c r="F167" s="379" t="s">
        <v>880</v>
      </c>
      <c r="G167" s="8"/>
      <c r="H167" s="8"/>
      <c r="I167" s="8"/>
      <c r="J167" s="8"/>
      <c r="K167" s="8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>
        <f t="shared" si="1"/>
        <v>168</v>
      </c>
      <c r="B168" s="443" t="s">
        <v>947</v>
      </c>
      <c r="C168" s="417" t="s">
        <v>199</v>
      </c>
      <c r="D168" s="442" t="s">
        <v>946</v>
      </c>
      <c r="E168" s="373" t="s">
        <v>874</v>
      </c>
      <c r="F168" s="8"/>
      <c r="G168" s="8"/>
      <c r="H168" s="8"/>
      <c r="I168" s="8"/>
      <c r="J168" s="8"/>
      <c r="K168" s="8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>
        <f t="shared" si="1"/>
        <v>169</v>
      </c>
      <c r="B169" s="376" t="s">
        <v>877</v>
      </c>
      <c r="C169" s="417" t="s">
        <v>199</v>
      </c>
      <c r="D169" s="417" t="s">
        <v>924</v>
      </c>
      <c r="E169" s="444" t="s">
        <v>948</v>
      </c>
      <c r="F169" s="376" t="s">
        <v>877</v>
      </c>
      <c r="G169" s="8"/>
      <c r="H169" s="8"/>
      <c r="I169" s="8"/>
      <c r="J169" s="8"/>
      <c r="K169" s="8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>
        <f t="shared" si="1"/>
        <v>170</v>
      </c>
      <c r="B170" s="376" t="s">
        <v>877</v>
      </c>
      <c r="C170" s="417" t="s">
        <v>199</v>
      </c>
      <c r="D170" s="8" t="s">
        <v>8</v>
      </c>
      <c r="E170" s="8"/>
      <c r="F170" s="8"/>
      <c r="G170" s="8"/>
      <c r="H170" s="8"/>
      <c r="I170" s="8"/>
      <c r="J170" s="8"/>
      <c r="K170" s="8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>
        <f t="shared" si="1"/>
        <v>171</v>
      </c>
      <c r="B171" s="444" t="s">
        <v>948</v>
      </c>
      <c r="C171" s="417" t="s">
        <v>199</v>
      </c>
      <c r="D171" s="375" t="s">
        <v>876</v>
      </c>
      <c r="E171" s="8"/>
      <c r="F171" s="8"/>
      <c r="G171" s="8"/>
      <c r="H171" s="8"/>
      <c r="I171" s="8"/>
      <c r="J171" s="8"/>
      <c r="K171" s="8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>
        <f t="shared" si="1"/>
        <v>172</v>
      </c>
      <c r="B172" s="444" t="s">
        <v>948</v>
      </c>
      <c r="C172" s="417" t="s">
        <v>199</v>
      </c>
      <c r="D172" s="361" t="s">
        <v>861</v>
      </c>
      <c r="E172" s="8"/>
      <c r="F172" s="8"/>
      <c r="G172" s="8"/>
      <c r="H172" s="8"/>
      <c r="I172" s="8"/>
      <c r="J172" s="8"/>
      <c r="K172" s="8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>
        <f t="shared" si="1"/>
        <v>173</v>
      </c>
      <c r="B173" s="444" t="s">
        <v>948</v>
      </c>
      <c r="C173" s="417" t="s">
        <v>199</v>
      </c>
      <c r="D173" s="8" t="s">
        <v>62</v>
      </c>
      <c r="E173" s="445" t="s">
        <v>949</v>
      </c>
      <c r="F173" s="8"/>
      <c r="G173" s="8"/>
      <c r="H173" s="8"/>
      <c r="I173" s="8"/>
      <c r="J173" s="8"/>
      <c r="K173" s="8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>
        <f t="shared" si="1"/>
        <v>174</v>
      </c>
      <c r="B174" s="445" t="s">
        <v>949</v>
      </c>
      <c r="C174" s="417" t="s">
        <v>199</v>
      </c>
      <c r="D174" s="375" t="s">
        <v>876</v>
      </c>
      <c r="E174" s="376" t="s">
        <v>877</v>
      </c>
      <c r="F174" s="446" t="s">
        <v>950</v>
      </c>
      <c r="G174" s="8"/>
      <c r="H174" s="8"/>
      <c r="I174" s="8"/>
      <c r="J174" s="8"/>
      <c r="K174" s="8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>
        <f t="shared" si="1"/>
        <v>175</v>
      </c>
      <c r="B175" s="445" t="s">
        <v>949</v>
      </c>
      <c r="C175" s="417" t="s">
        <v>199</v>
      </c>
      <c r="D175" s="361" t="s">
        <v>861</v>
      </c>
      <c r="E175" s="376" t="s">
        <v>877</v>
      </c>
      <c r="F175" s="446" t="s">
        <v>950</v>
      </c>
      <c r="G175" s="8"/>
      <c r="H175" s="8"/>
      <c r="I175" s="8"/>
      <c r="J175" s="8"/>
      <c r="K175" s="8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>
        <f t="shared" si="1"/>
        <v>176</v>
      </c>
      <c r="B176" s="445" t="s">
        <v>949</v>
      </c>
      <c r="C176" s="417" t="s">
        <v>199</v>
      </c>
      <c r="D176" s="8" t="s">
        <v>62</v>
      </c>
      <c r="E176" s="445" t="s">
        <v>949</v>
      </c>
      <c r="F176" s="447" t="s">
        <v>951</v>
      </c>
      <c r="G176" s="8"/>
      <c r="H176" s="8"/>
      <c r="I176" s="8"/>
      <c r="J176" s="8"/>
      <c r="K176" s="8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>
        <f t="shared" si="1"/>
        <v>177</v>
      </c>
      <c r="B177" s="446" t="s">
        <v>950</v>
      </c>
      <c r="C177" s="417" t="s">
        <v>199</v>
      </c>
      <c r="D177" s="8" t="s">
        <v>64</v>
      </c>
      <c r="E177" s="8"/>
      <c r="F177" s="8"/>
      <c r="G177" s="8"/>
      <c r="H177" s="8"/>
      <c r="I177" s="8"/>
      <c r="J177" s="8"/>
      <c r="K177" s="8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>
        <f t="shared" si="1"/>
        <v>178</v>
      </c>
      <c r="B178" s="447" t="s">
        <v>951</v>
      </c>
      <c r="C178" s="417" t="s">
        <v>199</v>
      </c>
      <c r="D178" s="8" t="s">
        <v>64</v>
      </c>
      <c r="E178" s="8"/>
      <c r="F178" s="8"/>
      <c r="G178" s="8"/>
      <c r="H178" s="8"/>
      <c r="I178" s="8"/>
      <c r="J178" s="8"/>
      <c r="K178" s="8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>
        <f t="shared" si="1"/>
        <v>179</v>
      </c>
      <c r="B179" s="435" t="s">
        <v>940</v>
      </c>
      <c r="C179" s="417" t="s">
        <v>199</v>
      </c>
      <c r="D179" s="417" t="s">
        <v>934</v>
      </c>
      <c r="E179" s="448" t="s">
        <v>952</v>
      </c>
      <c r="F179" s="379" t="s">
        <v>880</v>
      </c>
      <c r="G179" s="8"/>
      <c r="H179" s="8"/>
      <c r="I179" s="8"/>
      <c r="J179" s="8"/>
      <c r="K179" s="8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>
        <f t="shared" si="1"/>
        <v>180</v>
      </c>
      <c r="B180" s="435" t="s">
        <v>940</v>
      </c>
      <c r="C180" s="417" t="s">
        <v>199</v>
      </c>
      <c r="D180" s="8" t="s">
        <v>163</v>
      </c>
      <c r="E180" s="448" t="s">
        <v>952</v>
      </c>
      <c r="F180" s="379" t="s">
        <v>880</v>
      </c>
      <c r="G180" s="8"/>
      <c r="H180" s="8"/>
      <c r="I180" s="8"/>
      <c r="J180" s="8"/>
      <c r="K180" s="8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>
        <f t="shared" si="1"/>
        <v>181</v>
      </c>
      <c r="B181" s="449" t="s">
        <v>940</v>
      </c>
      <c r="C181" s="417" t="s">
        <v>199</v>
      </c>
      <c r="D181" s="21" t="s">
        <v>167</v>
      </c>
      <c r="E181" s="450" t="s">
        <v>952</v>
      </c>
      <c r="F181" s="379" t="s">
        <v>880</v>
      </c>
      <c r="G181" s="8"/>
      <c r="H181" s="8"/>
      <c r="I181" s="8"/>
      <c r="J181" s="8"/>
      <c r="K181" s="8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>
        <f t="shared" si="1"/>
        <v>182</v>
      </c>
      <c r="B182" s="449" t="s">
        <v>940</v>
      </c>
      <c r="C182" s="417" t="s">
        <v>199</v>
      </c>
      <c r="D182" s="21" t="s">
        <v>166</v>
      </c>
      <c r="E182" s="450" t="s">
        <v>952</v>
      </c>
      <c r="F182" s="379" t="s">
        <v>880</v>
      </c>
      <c r="G182" s="8"/>
      <c r="H182" s="8"/>
      <c r="I182" s="8"/>
      <c r="J182" s="8"/>
      <c r="K182" s="8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>
        <f t="shared" si="1"/>
        <v>183</v>
      </c>
      <c r="B183" s="449" t="s">
        <v>940</v>
      </c>
      <c r="C183" s="417" t="s">
        <v>199</v>
      </c>
      <c r="D183" s="21" t="s">
        <v>165</v>
      </c>
      <c r="E183" s="450" t="s">
        <v>952</v>
      </c>
      <c r="F183" s="379" t="s">
        <v>880</v>
      </c>
      <c r="G183" s="8"/>
      <c r="H183" s="8"/>
      <c r="I183" s="8"/>
      <c r="J183" s="8"/>
      <c r="K183" s="8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>
        <f t="shared" si="1"/>
        <v>184</v>
      </c>
      <c r="B184" s="449" t="s">
        <v>940</v>
      </c>
      <c r="C184" s="417" t="s">
        <v>199</v>
      </c>
      <c r="D184" s="21" t="s">
        <v>164</v>
      </c>
      <c r="E184" s="450" t="s">
        <v>952</v>
      </c>
      <c r="F184" s="379" t="s">
        <v>880</v>
      </c>
      <c r="G184" s="8"/>
      <c r="H184" s="8"/>
      <c r="I184" s="8"/>
      <c r="J184" s="8"/>
      <c r="K184" s="8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>
        <f t="shared" si="1"/>
        <v>185</v>
      </c>
      <c r="B185" s="448" t="s">
        <v>952</v>
      </c>
      <c r="C185" s="417" t="s">
        <v>199</v>
      </c>
      <c r="D185" s="444" t="s">
        <v>948</v>
      </c>
      <c r="E185" s="376" t="s">
        <v>877</v>
      </c>
      <c r="F185" s="8"/>
      <c r="G185" s="8"/>
      <c r="H185" s="8"/>
      <c r="I185" s="8"/>
      <c r="J185" s="8"/>
      <c r="K185" s="8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>
        <f t="shared" si="1"/>
        <v>186</v>
      </c>
      <c r="B186" s="380" t="s">
        <v>881</v>
      </c>
      <c r="C186" s="417" t="s">
        <v>199</v>
      </c>
      <c r="D186" s="8" t="s">
        <v>887</v>
      </c>
      <c r="E186" s="451" t="s">
        <v>953</v>
      </c>
      <c r="F186" s="380" t="s">
        <v>881</v>
      </c>
      <c r="G186" s="8"/>
      <c r="H186" s="8"/>
      <c r="I186" s="8"/>
      <c r="J186" s="8"/>
      <c r="K186" s="8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>
        <f t="shared" si="1"/>
        <v>187</v>
      </c>
      <c r="B187" s="380" t="s">
        <v>881</v>
      </c>
      <c r="C187" s="417" t="s">
        <v>199</v>
      </c>
      <c r="D187" s="8" t="s">
        <v>120</v>
      </c>
      <c r="E187" s="451" t="s">
        <v>953</v>
      </c>
      <c r="F187" s="380" t="s">
        <v>881</v>
      </c>
      <c r="G187" s="8"/>
      <c r="H187" s="8"/>
      <c r="I187" s="8"/>
      <c r="J187" s="8"/>
      <c r="K187" s="8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>
        <f t="shared" si="1"/>
        <v>188</v>
      </c>
      <c r="B188" s="380" t="s">
        <v>881</v>
      </c>
      <c r="C188" s="417" t="s">
        <v>199</v>
      </c>
      <c r="D188" s="8" t="s">
        <v>121</v>
      </c>
      <c r="E188" s="451" t="s">
        <v>953</v>
      </c>
      <c r="F188" s="380" t="s">
        <v>881</v>
      </c>
      <c r="G188" s="8"/>
      <c r="H188" s="8"/>
      <c r="I188" s="8"/>
      <c r="J188" s="8"/>
      <c r="K188" s="8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>
        <f t="shared" si="1"/>
        <v>189</v>
      </c>
      <c r="B189" s="380" t="s">
        <v>881</v>
      </c>
      <c r="C189" s="417" t="s">
        <v>199</v>
      </c>
      <c r="D189" s="8" t="s">
        <v>8</v>
      </c>
      <c r="E189" s="8"/>
      <c r="F189" s="8"/>
      <c r="G189" s="8"/>
      <c r="H189" s="8"/>
      <c r="I189" s="8"/>
      <c r="J189" s="8"/>
      <c r="K189" s="8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>
        <f t="shared" si="1"/>
        <v>190</v>
      </c>
      <c r="B190" s="451" t="s">
        <v>953</v>
      </c>
      <c r="C190" s="417" t="s">
        <v>199</v>
      </c>
      <c r="D190" s="361" t="s">
        <v>861</v>
      </c>
      <c r="E190" s="8"/>
      <c r="F190" s="8"/>
      <c r="G190" s="8"/>
      <c r="H190" s="8"/>
      <c r="I190" s="8"/>
      <c r="J190" s="8"/>
      <c r="K190" s="8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>
        <f t="shared" si="1"/>
        <v>191</v>
      </c>
      <c r="B191" s="451" t="s">
        <v>953</v>
      </c>
      <c r="C191" s="417" t="s">
        <v>199</v>
      </c>
      <c r="D191" s="360" t="s">
        <v>860</v>
      </c>
      <c r="E191" s="8"/>
      <c r="F191" s="8"/>
      <c r="G191" s="8"/>
      <c r="H191" s="8"/>
      <c r="I191" s="8"/>
      <c r="J191" s="8"/>
      <c r="K191" s="8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>
        <f t="shared" si="1"/>
        <v>192</v>
      </c>
      <c r="B192" s="451" t="s">
        <v>953</v>
      </c>
      <c r="C192" s="417" t="s">
        <v>199</v>
      </c>
      <c r="D192" s="371" t="s">
        <v>872</v>
      </c>
      <c r="E192" s="8"/>
      <c r="F192" s="8"/>
      <c r="G192" s="8"/>
      <c r="H192" s="8"/>
      <c r="I192" s="8"/>
      <c r="J192" s="8"/>
      <c r="K192" s="8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>
        <f t="shared" si="1"/>
        <v>193</v>
      </c>
      <c r="B193" s="451" t="s">
        <v>953</v>
      </c>
      <c r="C193" s="417" t="s">
        <v>199</v>
      </c>
      <c r="D193" s="375" t="s">
        <v>876</v>
      </c>
      <c r="E193" s="8"/>
      <c r="F193" s="8"/>
      <c r="G193" s="8"/>
      <c r="H193" s="8"/>
      <c r="I193" s="8"/>
      <c r="J193" s="8"/>
      <c r="K193" s="8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>
        <f t="shared" si="1"/>
        <v>194</v>
      </c>
      <c r="B194" s="451" t="s">
        <v>953</v>
      </c>
      <c r="C194" s="417" t="s">
        <v>199</v>
      </c>
      <c r="D194" s="378" t="s">
        <v>879</v>
      </c>
      <c r="E194" s="8"/>
      <c r="F194" s="8"/>
      <c r="G194" s="8"/>
      <c r="H194" s="8"/>
      <c r="I194" s="8"/>
      <c r="J194" s="8"/>
      <c r="K194" s="8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>
        <f t="shared" si="1"/>
        <v>195</v>
      </c>
      <c r="B195" s="451" t="s">
        <v>953</v>
      </c>
      <c r="C195" s="417" t="s">
        <v>199</v>
      </c>
      <c r="D195" s="8" t="s">
        <v>62</v>
      </c>
      <c r="E195" s="363" t="s">
        <v>863</v>
      </c>
      <c r="F195" s="8" t="s">
        <v>64</v>
      </c>
      <c r="G195" s="8"/>
      <c r="H195" s="8"/>
      <c r="I195" s="8"/>
      <c r="J195" s="8"/>
      <c r="K195" s="8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>
        <f t="shared" si="1"/>
        <v>196</v>
      </c>
      <c r="B196" s="381" t="s">
        <v>882</v>
      </c>
      <c r="C196" s="417" t="s">
        <v>199</v>
      </c>
      <c r="D196" s="417" t="s">
        <v>924</v>
      </c>
      <c r="E196" s="452" t="s">
        <v>954</v>
      </c>
      <c r="F196" s="381" t="s">
        <v>882</v>
      </c>
      <c r="G196" s="8"/>
      <c r="H196" s="8"/>
      <c r="I196" s="8"/>
      <c r="J196" s="8"/>
      <c r="K196" s="8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>
        <f t="shared" si="1"/>
        <v>197</v>
      </c>
      <c r="B197" s="381" t="s">
        <v>882</v>
      </c>
      <c r="C197" s="417" t="s">
        <v>199</v>
      </c>
      <c r="D197" s="8" t="s">
        <v>41</v>
      </c>
      <c r="E197" s="452" t="s">
        <v>954</v>
      </c>
      <c r="F197" s="381" t="s">
        <v>882</v>
      </c>
      <c r="G197" s="8"/>
      <c r="H197" s="8"/>
      <c r="I197" s="8"/>
      <c r="J197" s="8"/>
      <c r="K197" s="8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>
        <f t="shared" si="1"/>
        <v>198</v>
      </c>
      <c r="B198" s="381" t="s">
        <v>882</v>
      </c>
      <c r="C198" s="417" t="s">
        <v>199</v>
      </c>
      <c r="D198" s="8" t="s">
        <v>8</v>
      </c>
      <c r="E198" s="8"/>
      <c r="F198" s="8"/>
      <c r="G198" s="8"/>
      <c r="H198" s="8"/>
      <c r="I198" s="8"/>
      <c r="J198" s="8"/>
      <c r="K198" s="8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>
        <f t="shared" si="1"/>
        <v>199</v>
      </c>
      <c r="B199" s="452" t="s">
        <v>954</v>
      </c>
      <c r="C199" s="417" t="s">
        <v>199</v>
      </c>
      <c r="D199" s="451" t="s">
        <v>953</v>
      </c>
      <c r="E199" s="380" t="s">
        <v>881</v>
      </c>
      <c r="F199" s="8"/>
      <c r="G199" s="8"/>
      <c r="H199" s="8"/>
      <c r="I199" s="8"/>
      <c r="J199" s="8"/>
      <c r="K199" s="8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>
        <f t="shared" si="1"/>
        <v>200</v>
      </c>
      <c r="B200" s="382" t="s">
        <v>883</v>
      </c>
      <c r="C200" s="417" t="s">
        <v>199</v>
      </c>
      <c r="D200" s="417" t="s">
        <v>934</v>
      </c>
      <c r="E200" s="453" t="s">
        <v>955</v>
      </c>
      <c r="F200" s="379" t="s">
        <v>880</v>
      </c>
      <c r="G200" s="8"/>
      <c r="H200" s="8"/>
      <c r="I200" s="8"/>
      <c r="J200" s="8"/>
      <c r="K200" s="8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>
        <f t="shared" si="1"/>
        <v>201</v>
      </c>
      <c r="B201" s="382" t="s">
        <v>883</v>
      </c>
      <c r="C201" s="417" t="s">
        <v>199</v>
      </c>
      <c r="D201" s="8" t="s">
        <v>163</v>
      </c>
      <c r="E201" s="453" t="s">
        <v>955</v>
      </c>
      <c r="F201" s="379" t="s">
        <v>880</v>
      </c>
      <c r="G201" s="8"/>
      <c r="H201" s="8"/>
      <c r="I201" s="8"/>
      <c r="J201" s="8"/>
      <c r="K201" s="8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>
        <f t="shared" si="1"/>
        <v>202</v>
      </c>
      <c r="B202" s="382" t="s">
        <v>883</v>
      </c>
      <c r="C202" s="417" t="s">
        <v>199</v>
      </c>
      <c r="D202" s="8" t="s">
        <v>167</v>
      </c>
      <c r="E202" s="453" t="s">
        <v>955</v>
      </c>
      <c r="F202" s="379" t="s">
        <v>880</v>
      </c>
      <c r="G202" s="8"/>
      <c r="H202" s="8"/>
      <c r="I202" s="8"/>
      <c r="J202" s="8"/>
      <c r="K202" s="8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>
        <f t="shared" si="1"/>
        <v>203</v>
      </c>
      <c r="B203" s="382" t="s">
        <v>883</v>
      </c>
      <c r="C203" s="417" t="s">
        <v>199</v>
      </c>
      <c r="D203" s="8" t="s">
        <v>166</v>
      </c>
      <c r="E203" s="453" t="s">
        <v>955</v>
      </c>
      <c r="F203" s="379" t="s">
        <v>880</v>
      </c>
      <c r="G203" s="8"/>
      <c r="H203" s="8"/>
      <c r="I203" s="8"/>
      <c r="J203" s="8"/>
      <c r="K203" s="8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>
        <f t="shared" si="1"/>
        <v>204</v>
      </c>
      <c r="B204" s="382" t="s">
        <v>883</v>
      </c>
      <c r="C204" s="417" t="s">
        <v>199</v>
      </c>
      <c r="D204" s="8" t="s">
        <v>165</v>
      </c>
      <c r="E204" s="453" t="s">
        <v>955</v>
      </c>
      <c r="F204" s="379" t="s">
        <v>880</v>
      </c>
      <c r="G204" s="8"/>
      <c r="H204" s="8"/>
      <c r="I204" s="8"/>
      <c r="J204" s="8"/>
      <c r="K204" s="8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>
        <f t="shared" si="1"/>
        <v>205</v>
      </c>
      <c r="B205" s="382" t="s">
        <v>883</v>
      </c>
      <c r="C205" s="417" t="s">
        <v>199</v>
      </c>
      <c r="D205" s="8" t="s">
        <v>164</v>
      </c>
      <c r="E205" s="453" t="s">
        <v>955</v>
      </c>
      <c r="F205" s="379" t="s">
        <v>880</v>
      </c>
      <c r="G205" s="8"/>
      <c r="H205" s="8"/>
      <c r="I205" s="8"/>
      <c r="J205" s="8"/>
      <c r="K205" s="8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>
        <f t="shared" si="1"/>
        <v>206</v>
      </c>
      <c r="B206" s="382" t="s">
        <v>883</v>
      </c>
      <c r="C206" s="417" t="s">
        <v>199</v>
      </c>
      <c r="D206" s="8" t="s">
        <v>936</v>
      </c>
      <c r="E206" s="384" t="s">
        <v>886</v>
      </c>
      <c r="F206" s="8"/>
      <c r="G206" s="8"/>
      <c r="H206" s="8"/>
      <c r="I206" s="8"/>
      <c r="J206" s="8"/>
      <c r="K206" s="8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>
        <f t="shared" si="1"/>
        <v>207</v>
      </c>
      <c r="B207" s="382" t="s">
        <v>883</v>
      </c>
      <c r="C207" s="417" t="s">
        <v>199</v>
      </c>
      <c r="D207" s="8" t="s">
        <v>937</v>
      </c>
      <c r="E207" s="384" t="s">
        <v>886</v>
      </c>
      <c r="F207" s="8"/>
      <c r="G207" s="8"/>
      <c r="H207" s="8"/>
      <c r="I207" s="8"/>
      <c r="J207" s="8"/>
      <c r="K207" s="8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>
        <f t="shared" si="1"/>
        <v>208</v>
      </c>
      <c r="B208" s="382" t="s">
        <v>883</v>
      </c>
      <c r="C208" s="417" t="s">
        <v>199</v>
      </c>
      <c r="D208" s="8" t="s">
        <v>8</v>
      </c>
      <c r="E208" s="8"/>
      <c r="F208" s="8"/>
      <c r="G208" s="8"/>
      <c r="H208" s="8"/>
      <c r="I208" s="8"/>
      <c r="J208" s="8"/>
      <c r="K208" s="8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>
        <f t="shared" si="1"/>
        <v>209</v>
      </c>
      <c r="B209" s="453" t="s">
        <v>955</v>
      </c>
      <c r="C209" s="417" t="s">
        <v>199</v>
      </c>
      <c r="D209" s="452" t="s">
        <v>954</v>
      </c>
      <c r="E209" s="381" t="s">
        <v>882</v>
      </c>
      <c r="F209" s="8"/>
      <c r="G209" s="8"/>
      <c r="H209" s="8"/>
      <c r="I209" s="8"/>
      <c r="J209" s="8"/>
      <c r="K209" s="8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>
        <f t="shared" si="1"/>
        <v>210</v>
      </c>
      <c r="B210" s="383" t="s">
        <v>884</v>
      </c>
      <c r="C210" s="417" t="s">
        <v>199</v>
      </c>
      <c r="D210" s="360" t="s">
        <v>860</v>
      </c>
      <c r="E210" s="368" t="s">
        <v>869</v>
      </c>
      <c r="F210" s="369" t="s">
        <v>870</v>
      </c>
      <c r="G210" s="454" t="s">
        <v>956</v>
      </c>
      <c r="H210" s="8"/>
      <c r="I210" s="8"/>
      <c r="J210" s="8"/>
      <c r="K210" s="8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>
        <f t="shared" si="1"/>
        <v>211</v>
      </c>
      <c r="B211" s="383" t="s">
        <v>884</v>
      </c>
      <c r="C211" s="417" t="s">
        <v>199</v>
      </c>
      <c r="D211" s="371" t="s">
        <v>872</v>
      </c>
      <c r="E211" s="372" t="s">
        <v>873</v>
      </c>
      <c r="F211" s="373" t="s">
        <v>874</v>
      </c>
      <c r="G211" s="455" t="s">
        <v>957</v>
      </c>
      <c r="H211" s="8"/>
      <c r="I211" s="8"/>
      <c r="J211" s="8"/>
      <c r="K211" s="8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>
        <f t="shared" si="1"/>
        <v>212</v>
      </c>
      <c r="B212" s="383" t="s">
        <v>884</v>
      </c>
      <c r="C212" s="417" t="s">
        <v>199</v>
      </c>
      <c r="D212" s="375" t="s">
        <v>876</v>
      </c>
      <c r="E212" s="376" t="s">
        <v>877</v>
      </c>
      <c r="F212" s="456" t="s">
        <v>958</v>
      </c>
      <c r="G212" s="8"/>
      <c r="H212" s="8"/>
      <c r="I212" s="8"/>
      <c r="J212" s="8"/>
      <c r="K212" s="8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>
        <f t="shared" si="1"/>
        <v>213</v>
      </c>
      <c r="B213" s="383" t="s">
        <v>884</v>
      </c>
      <c r="C213" s="417" t="s">
        <v>199</v>
      </c>
      <c r="D213" s="378" t="s">
        <v>879</v>
      </c>
      <c r="E213" s="379" t="s">
        <v>880</v>
      </c>
      <c r="F213" s="457" t="s">
        <v>959</v>
      </c>
      <c r="G213" s="8"/>
      <c r="H213" s="8"/>
      <c r="I213" s="8"/>
      <c r="J213" s="8"/>
      <c r="K213" s="8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>
        <f t="shared" si="1"/>
        <v>214</v>
      </c>
      <c r="B214" s="383" t="s">
        <v>884</v>
      </c>
      <c r="C214" s="417" t="s">
        <v>199</v>
      </c>
      <c r="D214" s="361" t="s">
        <v>861</v>
      </c>
      <c r="E214" s="380" t="s">
        <v>881</v>
      </c>
      <c r="F214" s="381" t="s">
        <v>882</v>
      </c>
      <c r="G214" s="458" t="s">
        <v>960</v>
      </c>
      <c r="H214" s="8"/>
      <c r="I214" s="8"/>
      <c r="J214" s="8"/>
      <c r="K214" s="8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>
        <f t="shared" si="1"/>
        <v>215</v>
      </c>
      <c r="B215" s="383" t="s">
        <v>884</v>
      </c>
      <c r="C215" s="417" t="s">
        <v>199</v>
      </c>
      <c r="D215" s="8" t="s">
        <v>62</v>
      </c>
      <c r="E215" s="383" t="s">
        <v>884</v>
      </c>
      <c r="F215" s="459" t="s">
        <v>961</v>
      </c>
      <c r="G215" s="8"/>
      <c r="H215" s="8"/>
      <c r="I215" s="8"/>
      <c r="J215" s="8"/>
      <c r="K215" s="8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>
        <f t="shared" si="1"/>
        <v>216</v>
      </c>
      <c r="B216" s="383" t="s">
        <v>884</v>
      </c>
      <c r="C216" s="417" t="s">
        <v>199</v>
      </c>
      <c r="D216" s="8" t="s">
        <v>885</v>
      </c>
      <c r="E216" s="384" t="s">
        <v>886</v>
      </c>
      <c r="F216" s="457" t="s">
        <v>959</v>
      </c>
      <c r="G216" s="8"/>
      <c r="H216" s="8"/>
      <c r="I216" s="8"/>
      <c r="J216" s="8"/>
      <c r="K216" s="8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>
        <f t="shared" si="1"/>
        <v>217</v>
      </c>
      <c r="B217" s="454" t="s">
        <v>956</v>
      </c>
      <c r="C217" s="417" t="s">
        <v>199</v>
      </c>
      <c r="D217" s="8" t="s">
        <v>64</v>
      </c>
      <c r="E217" s="368" t="s">
        <v>869</v>
      </c>
      <c r="F217" s="369" t="s">
        <v>870</v>
      </c>
      <c r="G217" s="370" t="s">
        <v>871</v>
      </c>
      <c r="H217" s="8"/>
      <c r="I217" s="8"/>
      <c r="J217" s="8"/>
      <c r="K217" s="8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>
        <f t="shared" si="1"/>
        <v>218</v>
      </c>
      <c r="B218" s="454" t="s">
        <v>956</v>
      </c>
      <c r="C218" s="417" t="s">
        <v>199</v>
      </c>
      <c r="D218" s="417" t="s">
        <v>934</v>
      </c>
      <c r="E218" s="431" t="s">
        <v>935</v>
      </c>
      <c r="F218" s="379" t="s">
        <v>880</v>
      </c>
      <c r="G218" s="457" t="s">
        <v>959</v>
      </c>
      <c r="H218" s="8"/>
      <c r="I218" s="8"/>
      <c r="J218" s="8"/>
      <c r="K218" s="8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>
        <f t="shared" si="1"/>
        <v>219</v>
      </c>
      <c r="B219" s="454" t="s">
        <v>956</v>
      </c>
      <c r="C219" s="417" t="s">
        <v>199</v>
      </c>
      <c r="D219" s="8" t="s">
        <v>163</v>
      </c>
      <c r="E219" s="431" t="s">
        <v>935</v>
      </c>
      <c r="F219" s="379" t="s">
        <v>880</v>
      </c>
      <c r="G219" s="457" t="s">
        <v>959</v>
      </c>
      <c r="H219" s="8"/>
      <c r="I219" s="8"/>
      <c r="J219" s="8"/>
      <c r="K219" s="8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>
        <f t="shared" si="1"/>
        <v>220</v>
      </c>
      <c r="B220" s="454" t="s">
        <v>956</v>
      </c>
      <c r="C220" s="417" t="s">
        <v>199</v>
      </c>
      <c r="D220" s="8" t="s">
        <v>167</v>
      </c>
      <c r="E220" s="431" t="s">
        <v>935</v>
      </c>
      <c r="F220" s="379" t="s">
        <v>880</v>
      </c>
      <c r="G220" s="457" t="s">
        <v>959</v>
      </c>
      <c r="H220" s="8"/>
      <c r="I220" s="8"/>
      <c r="J220" s="8"/>
      <c r="K220" s="8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>
        <f t="shared" si="1"/>
        <v>221</v>
      </c>
      <c r="B221" s="454" t="s">
        <v>956</v>
      </c>
      <c r="C221" s="417" t="s">
        <v>199</v>
      </c>
      <c r="D221" s="8" t="s">
        <v>166</v>
      </c>
      <c r="E221" s="431" t="s">
        <v>935</v>
      </c>
      <c r="F221" s="379" t="s">
        <v>880</v>
      </c>
      <c r="G221" s="457" t="s">
        <v>959</v>
      </c>
      <c r="H221" s="8"/>
      <c r="I221" s="8"/>
      <c r="J221" s="8"/>
      <c r="K221" s="8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>
        <f t="shared" si="1"/>
        <v>222</v>
      </c>
      <c r="B222" s="454" t="s">
        <v>956</v>
      </c>
      <c r="C222" s="417" t="s">
        <v>199</v>
      </c>
      <c r="D222" s="8" t="s">
        <v>165</v>
      </c>
      <c r="E222" s="431" t="s">
        <v>935</v>
      </c>
      <c r="F222" s="379" t="s">
        <v>880</v>
      </c>
      <c r="G222" s="457" t="s">
        <v>959</v>
      </c>
      <c r="H222" s="8"/>
      <c r="I222" s="8"/>
      <c r="J222" s="8"/>
      <c r="K222" s="8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>
        <f t="shared" si="1"/>
        <v>223</v>
      </c>
      <c r="B223" s="454" t="s">
        <v>956</v>
      </c>
      <c r="C223" s="417" t="s">
        <v>199</v>
      </c>
      <c r="D223" s="8" t="s">
        <v>164</v>
      </c>
      <c r="E223" s="431" t="s">
        <v>935</v>
      </c>
      <c r="F223" s="379" t="s">
        <v>880</v>
      </c>
      <c r="G223" s="457" t="s">
        <v>959</v>
      </c>
      <c r="H223" s="8"/>
      <c r="I223" s="8"/>
      <c r="J223" s="8"/>
      <c r="K223" s="8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>
        <f t="shared" si="1"/>
        <v>224</v>
      </c>
      <c r="B224" s="457" t="s">
        <v>959</v>
      </c>
      <c r="C224" s="417" t="s">
        <v>199</v>
      </c>
      <c r="D224" s="428" t="s">
        <v>64</v>
      </c>
      <c r="E224" s="379" t="s">
        <v>880</v>
      </c>
      <c r="F224" s="8"/>
      <c r="G224" s="8"/>
      <c r="H224" s="8"/>
      <c r="I224" s="8"/>
      <c r="J224" s="8"/>
      <c r="K224" s="8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>
        <f t="shared" si="1"/>
        <v>225</v>
      </c>
      <c r="B225" s="455" t="s">
        <v>957</v>
      </c>
      <c r="C225" s="417" t="s">
        <v>199</v>
      </c>
      <c r="D225" s="8" t="s">
        <v>64</v>
      </c>
      <c r="E225" s="372" t="s">
        <v>873</v>
      </c>
      <c r="F225" s="373" t="s">
        <v>874</v>
      </c>
      <c r="G225" s="374" t="s">
        <v>875</v>
      </c>
      <c r="H225" s="8"/>
      <c r="I225" s="8"/>
      <c r="J225" s="8"/>
      <c r="K225" s="8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>
        <f t="shared" si="1"/>
        <v>226</v>
      </c>
      <c r="B226" s="455" t="s">
        <v>957</v>
      </c>
      <c r="C226" s="417" t="s">
        <v>199</v>
      </c>
      <c r="D226" s="417" t="s">
        <v>934</v>
      </c>
      <c r="E226" s="443" t="s">
        <v>947</v>
      </c>
      <c r="F226" s="379" t="s">
        <v>880</v>
      </c>
      <c r="G226" s="457" t="s">
        <v>959</v>
      </c>
      <c r="H226" s="8"/>
      <c r="I226" s="8"/>
      <c r="J226" s="8"/>
      <c r="K226" s="8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>
        <f t="shared" si="1"/>
        <v>227</v>
      </c>
      <c r="B227" s="455" t="s">
        <v>957</v>
      </c>
      <c r="C227" s="417" t="s">
        <v>199</v>
      </c>
      <c r="D227" s="8" t="s">
        <v>163</v>
      </c>
      <c r="E227" s="443" t="s">
        <v>947</v>
      </c>
      <c r="F227" s="379" t="s">
        <v>880</v>
      </c>
      <c r="G227" s="457" t="s">
        <v>959</v>
      </c>
      <c r="H227" s="8"/>
      <c r="I227" s="8"/>
      <c r="J227" s="8"/>
      <c r="K227" s="8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>
        <f t="shared" si="1"/>
        <v>228</v>
      </c>
      <c r="B228" s="455" t="s">
        <v>957</v>
      </c>
      <c r="C228" s="417" t="s">
        <v>199</v>
      </c>
      <c r="D228" s="8" t="s">
        <v>167</v>
      </c>
      <c r="E228" s="443" t="s">
        <v>947</v>
      </c>
      <c r="F228" s="379" t="s">
        <v>880</v>
      </c>
      <c r="G228" s="457" t="s">
        <v>959</v>
      </c>
      <c r="H228" s="8"/>
      <c r="I228" s="8"/>
      <c r="J228" s="8"/>
      <c r="K228" s="8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>
        <f t="shared" si="1"/>
        <v>229</v>
      </c>
      <c r="B229" s="455" t="s">
        <v>957</v>
      </c>
      <c r="C229" s="417" t="s">
        <v>199</v>
      </c>
      <c r="D229" s="8" t="s">
        <v>166</v>
      </c>
      <c r="E229" s="443" t="s">
        <v>947</v>
      </c>
      <c r="F229" s="379" t="s">
        <v>880</v>
      </c>
      <c r="G229" s="457" t="s">
        <v>959</v>
      </c>
      <c r="H229" s="8"/>
      <c r="I229" s="8"/>
      <c r="J229" s="8"/>
      <c r="K229" s="8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>
        <f t="shared" si="1"/>
        <v>230</v>
      </c>
      <c r="B230" s="455" t="s">
        <v>957</v>
      </c>
      <c r="C230" s="417" t="s">
        <v>199</v>
      </c>
      <c r="D230" s="8" t="s">
        <v>165</v>
      </c>
      <c r="E230" s="443" t="s">
        <v>947</v>
      </c>
      <c r="F230" s="379" t="s">
        <v>880</v>
      </c>
      <c r="G230" s="457" t="s">
        <v>959</v>
      </c>
      <c r="H230" s="8"/>
      <c r="I230" s="8"/>
      <c r="J230" s="8"/>
      <c r="K230" s="8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>
        <f t="shared" si="1"/>
        <v>231</v>
      </c>
      <c r="B231" s="455" t="s">
        <v>957</v>
      </c>
      <c r="C231" s="417" t="s">
        <v>199</v>
      </c>
      <c r="D231" s="428" t="s">
        <v>164</v>
      </c>
      <c r="E231" s="443" t="s">
        <v>947</v>
      </c>
      <c r="F231" s="379" t="s">
        <v>880</v>
      </c>
      <c r="G231" s="457" t="s">
        <v>959</v>
      </c>
      <c r="H231" s="8"/>
      <c r="I231" s="8"/>
      <c r="J231" s="8"/>
      <c r="K231" s="8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>
        <f t="shared" si="1"/>
        <v>232</v>
      </c>
      <c r="B232" s="374" t="s">
        <v>875</v>
      </c>
      <c r="C232" s="417" t="s">
        <v>199</v>
      </c>
      <c r="D232" s="417" t="s">
        <v>934</v>
      </c>
      <c r="E232" s="443" t="s">
        <v>947</v>
      </c>
      <c r="F232" s="379" t="s">
        <v>880</v>
      </c>
      <c r="G232" s="8"/>
      <c r="H232" s="8"/>
      <c r="I232" s="8"/>
      <c r="J232" s="8"/>
      <c r="K232" s="8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>
        <f t="shared" si="1"/>
        <v>233</v>
      </c>
      <c r="B233" s="374" t="s">
        <v>875</v>
      </c>
      <c r="C233" s="417" t="s">
        <v>199</v>
      </c>
      <c r="D233" s="8" t="s">
        <v>163</v>
      </c>
      <c r="E233" s="443" t="s">
        <v>947</v>
      </c>
      <c r="F233" s="379" t="s">
        <v>880</v>
      </c>
      <c r="G233" s="8"/>
      <c r="H233" s="8"/>
      <c r="I233" s="8"/>
      <c r="J233" s="8"/>
      <c r="K233" s="8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>
        <f t="shared" si="1"/>
        <v>234</v>
      </c>
      <c r="B234" s="374" t="s">
        <v>875</v>
      </c>
      <c r="C234" s="417" t="s">
        <v>199</v>
      </c>
      <c r="D234" s="8" t="s">
        <v>167</v>
      </c>
      <c r="E234" s="443" t="s">
        <v>947</v>
      </c>
      <c r="F234" s="379" t="s">
        <v>880</v>
      </c>
      <c r="G234" s="8"/>
      <c r="H234" s="8"/>
      <c r="I234" s="8"/>
      <c r="J234" s="8"/>
      <c r="K234" s="8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>
        <f t="shared" si="1"/>
        <v>235</v>
      </c>
      <c r="B235" s="374" t="s">
        <v>875</v>
      </c>
      <c r="C235" s="417" t="s">
        <v>199</v>
      </c>
      <c r="D235" s="8" t="s">
        <v>166</v>
      </c>
      <c r="E235" s="443" t="s">
        <v>947</v>
      </c>
      <c r="F235" s="379" t="s">
        <v>880</v>
      </c>
      <c r="G235" s="8"/>
      <c r="H235" s="8"/>
      <c r="I235" s="8"/>
      <c r="J235" s="8"/>
      <c r="K235" s="8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>
        <f t="shared" si="1"/>
        <v>236</v>
      </c>
      <c r="B236" s="374" t="s">
        <v>875</v>
      </c>
      <c r="C236" s="417" t="s">
        <v>199</v>
      </c>
      <c r="D236" s="8" t="s">
        <v>165</v>
      </c>
      <c r="E236" s="443" t="s">
        <v>947</v>
      </c>
      <c r="F236" s="379" t="s">
        <v>880</v>
      </c>
      <c r="G236" s="8"/>
      <c r="H236" s="8"/>
      <c r="I236" s="8"/>
      <c r="J236" s="8"/>
      <c r="K236" s="8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>
        <f t="shared" si="1"/>
        <v>237</v>
      </c>
      <c r="B237" s="374" t="s">
        <v>875</v>
      </c>
      <c r="C237" s="417" t="s">
        <v>199</v>
      </c>
      <c r="D237" s="8" t="s">
        <v>164</v>
      </c>
      <c r="E237" s="443" t="s">
        <v>947</v>
      </c>
      <c r="F237" s="379" t="s">
        <v>880</v>
      </c>
      <c r="G237" s="8"/>
      <c r="H237" s="8"/>
      <c r="I237" s="8"/>
      <c r="J237" s="8"/>
      <c r="K237" s="8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>
        <f t="shared" si="1"/>
        <v>238</v>
      </c>
      <c r="B238" s="374" t="s">
        <v>875</v>
      </c>
      <c r="C238" s="417" t="s">
        <v>199</v>
      </c>
      <c r="D238" s="8" t="s">
        <v>8</v>
      </c>
      <c r="E238" s="8"/>
      <c r="F238" s="8"/>
      <c r="G238" s="8"/>
      <c r="H238" s="8"/>
      <c r="I238" s="8"/>
      <c r="J238" s="8"/>
      <c r="K238" s="8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>
        <f t="shared" si="1"/>
        <v>239</v>
      </c>
      <c r="B239" s="456" t="s">
        <v>958</v>
      </c>
      <c r="C239" s="417" t="s">
        <v>199</v>
      </c>
      <c r="D239" s="8" t="s">
        <v>64</v>
      </c>
      <c r="E239" s="376" t="s">
        <v>877</v>
      </c>
      <c r="F239" s="377" t="s">
        <v>878</v>
      </c>
      <c r="G239" s="8"/>
      <c r="H239" s="8"/>
      <c r="I239" s="8"/>
      <c r="J239" s="8"/>
      <c r="K239" s="8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>
        <f t="shared" si="1"/>
        <v>240</v>
      </c>
      <c r="B240" s="456" t="s">
        <v>958</v>
      </c>
      <c r="C240" s="417" t="s">
        <v>199</v>
      </c>
      <c r="D240" s="417" t="s">
        <v>934</v>
      </c>
      <c r="E240" s="448" t="s">
        <v>952</v>
      </c>
      <c r="F240" s="379" t="s">
        <v>880</v>
      </c>
      <c r="G240" s="457" t="s">
        <v>959</v>
      </c>
      <c r="H240" s="8"/>
      <c r="I240" s="8"/>
      <c r="J240" s="8"/>
      <c r="K240" s="8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7">
        <v>210.0</v>
      </c>
      <c r="B241" s="460" t="s">
        <v>958</v>
      </c>
      <c r="C241" s="417" t="s">
        <v>199</v>
      </c>
      <c r="D241" s="21" t="s">
        <v>167</v>
      </c>
      <c r="E241" s="450" t="s">
        <v>952</v>
      </c>
      <c r="F241" s="379" t="s">
        <v>880</v>
      </c>
      <c r="G241" s="457" t="s">
        <v>959</v>
      </c>
      <c r="H241" s="8"/>
      <c r="I241" s="8"/>
      <c r="J241" s="8"/>
      <c r="K241" s="8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7">
        <v>211.0</v>
      </c>
      <c r="B242" s="460" t="s">
        <v>958</v>
      </c>
      <c r="C242" s="417" t="s">
        <v>199</v>
      </c>
      <c r="D242" s="21" t="s">
        <v>166</v>
      </c>
      <c r="E242" s="450" t="s">
        <v>952</v>
      </c>
      <c r="F242" s="379" t="s">
        <v>880</v>
      </c>
      <c r="G242" s="457" t="s">
        <v>959</v>
      </c>
      <c r="H242" s="8"/>
      <c r="I242" s="8"/>
      <c r="J242" s="8"/>
      <c r="K242" s="8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7">
        <v>212.0</v>
      </c>
      <c r="B243" s="460" t="s">
        <v>958</v>
      </c>
      <c r="C243" s="417" t="s">
        <v>199</v>
      </c>
      <c r="D243" s="21" t="s">
        <v>165</v>
      </c>
      <c r="E243" s="450" t="s">
        <v>952</v>
      </c>
      <c r="F243" s="379" t="s">
        <v>880</v>
      </c>
      <c r="G243" s="457" t="s">
        <v>959</v>
      </c>
      <c r="H243" s="8"/>
      <c r="I243" s="8"/>
      <c r="J243" s="8"/>
      <c r="K243" s="8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7">
        <v>213.0</v>
      </c>
      <c r="B244" s="460" t="s">
        <v>958</v>
      </c>
      <c r="C244" s="417" t="s">
        <v>199</v>
      </c>
      <c r="D244" s="21" t="s">
        <v>164</v>
      </c>
      <c r="E244" s="450" t="s">
        <v>952</v>
      </c>
      <c r="F244" s="379" t="s">
        <v>880</v>
      </c>
      <c r="G244" s="457" t="s">
        <v>959</v>
      </c>
      <c r="H244" s="8"/>
      <c r="I244" s="8"/>
      <c r="J244" s="8"/>
      <c r="K244" s="8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>
        <f t="shared" ref="A245:A489" si="6">ROW()</f>
        <v>245</v>
      </c>
      <c r="B245" s="456" t="s">
        <v>958</v>
      </c>
      <c r="C245" s="417" t="s">
        <v>199</v>
      </c>
      <c r="D245" s="8" t="s">
        <v>163</v>
      </c>
      <c r="E245" s="448" t="s">
        <v>952</v>
      </c>
      <c r="F245" s="379" t="s">
        <v>880</v>
      </c>
      <c r="G245" s="457" t="s">
        <v>959</v>
      </c>
      <c r="H245" s="8"/>
      <c r="I245" s="8"/>
      <c r="J245" s="8"/>
      <c r="K245" s="8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>
        <f t="shared" si="6"/>
        <v>246</v>
      </c>
      <c r="B246" s="461" t="s">
        <v>878</v>
      </c>
      <c r="C246" s="417" t="s">
        <v>199</v>
      </c>
      <c r="D246" s="21" t="s">
        <v>167</v>
      </c>
      <c r="E246" s="450" t="s">
        <v>952</v>
      </c>
      <c r="F246" s="379" t="s">
        <v>880</v>
      </c>
      <c r="G246" s="8"/>
      <c r="H246" s="8"/>
      <c r="I246" s="8"/>
      <c r="J246" s="8"/>
      <c r="K246" s="8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>
        <f t="shared" si="6"/>
        <v>247</v>
      </c>
      <c r="B247" s="461" t="s">
        <v>878</v>
      </c>
      <c r="C247" s="417" t="s">
        <v>199</v>
      </c>
      <c r="D247" s="21" t="s">
        <v>166</v>
      </c>
      <c r="E247" s="450" t="s">
        <v>952</v>
      </c>
      <c r="F247" s="379" t="s">
        <v>880</v>
      </c>
      <c r="G247" s="8"/>
      <c r="H247" s="8"/>
      <c r="I247" s="8"/>
      <c r="J247" s="8"/>
      <c r="K247" s="8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>
        <f t="shared" si="6"/>
        <v>248</v>
      </c>
      <c r="B248" s="461" t="s">
        <v>878</v>
      </c>
      <c r="C248" s="417" t="s">
        <v>199</v>
      </c>
      <c r="D248" s="21" t="s">
        <v>165</v>
      </c>
      <c r="E248" s="450" t="s">
        <v>952</v>
      </c>
      <c r="F248" s="379" t="s">
        <v>880</v>
      </c>
      <c r="G248" s="8"/>
      <c r="H248" s="8"/>
      <c r="I248" s="8"/>
      <c r="J248" s="8"/>
      <c r="K248" s="8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>
        <f t="shared" si="6"/>
        <v>249</v>
      </c>
      <c r="B249" s="461" t="s">
        <v>878</v>
      </c>
      <c r="C249" s="417" t="s">
        <v>199</v>
      </c>
      <c r="D249" s="21" t="s">
        <v>164</v>
      </c>
      <c r="E249" s="450" t="s">
        <v>952</v>
      </c>
      <c r="F249" s="379" t="s">
        <v>880</v>
      </c>
      <c r="G249" s="8"/>
      <c r="H249" s="8"/>
      <c r="I249" s="8"/>
      <c r="J249" s="8"/>
      <c r="K249" s="8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>
        <f t="shared" si="6"/>
        <v>250</v>
      </c>
      <c r="B250" s="377" t="s">
        <v>878</v>
      </c>
      <c r="C250" s="417" t="s">
        <v>199</v>
      </c>
      <c r="D250" s="417" t="s">
        <v>934</v>
      </c>
      <c r="E250" s="448" t="s">
        <v>952</v>
      </c>
      <c r="F250" s="379" t="s">
        <v>880</v>
      </c>
      <c r="G250" s="8"/>
      <c r="H250" s="8"/>
      <c r="I250" s="8"/>
      <c r="J250" s="8"/>
      <c r="K250" s="8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>
        <f t="shared" si="6"/>
        <v>251</v>
      </c>
      <c r="B251" s="377" t="s">
        <v>878</v>
      </c>
      <c r="C251" s="417" t="s">
        <v>199</v>
      </c>
      <c r="D251" s="8" t="s">
        <v>163</v>
      </c>
      <c r="E251" s="448" t="s">
        <v>952</v>
      </c>
      <c r="F251" s="379" t="s">
        <v>880</v>
      </c>
      <c r="G251" s="8"/>
      <c r="H251" s="8"/>
      <c r="I251" s="8"/>
      <c r="J251" s="8"/>
      <c r="K251" s="8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>
        <f t="shared" si="6"/>
        <v>252</v>
      </c>
      <c r="B252" s="377" t="s">
        <v>878</v>
      </c>
      <c r="C252" s="417" t="s">
        <v>199</v>
      </c>
      <c r="D252" s="8" t="s">
        <v>8</v>
      </c>
      <c r="E252" s="8"/>
      <c r="F252" s="8"/>
      <c r="G252" s="8"/>
      <c r="H252" s="8"/>
      <c r="I252" s="8"/>
      <c r="J252" s="8"/>
      <c r="K252" s="8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>
        <f t="shared" si="6"/>
        <v>253</v>
      </c>
      <c r="B253" s="458" t="s">
        <v>960</v>
      </c>
      <c r="C253" s="417" t="s">
        <v>199</v>
      </c>
      <c r="D253" s="8" t="s">
        <v>64</v>
      </c>
      <c r="E253" s="380" t="s">
        <v>881</v>
      </c>
      <c r="F253" s="381" t="s">
        <v>882</v>
      </c>
      <c r="G253" s="382" t="s">
        <v>883</v>
      </c>
      <c r="H253" s="8"/>
      <c r="I253" s="8"/>
      <c r="J253" s="8"/>
      <c r="K253" s="8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>
        <f t="shared" si="6"/>
        <v>254</v>
      </c>
      <c r="B254" s="458" t="s">
        <v>960</v>
      </c>
      <c r="C254" s="417" t="s">
        <v>199</v>
      </c>
      <c r="D254" s="417" t="s">
        <v>934</v>
      </c>
      <c r="E254" s="453" t="s">
        <v>955</v>
      </c>
      <c r="F254" s="379" t="s">
        <v>880</v>
      </c>
      <c r="G254" s="457" t="s">
        <v>959</v>
      </c>
      <c r="H254" s="8"/>
      <c r="I254" s="8"/>
      <c r="J254" s="8"/>
      <c r="K254" s="8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>
        <f t="shared" si="6"/>
        <v>255</v>
      </c>
      <c r="B255" s="458" t="s">
        <v>960</v>
      </c>
      <c r="C255" s="417" t="s">
        <v>199</v>
      </c>
      <c r="D255" s="8" t="s">
        <v>163</v>
      </c>
      <c r="E255" s="453" t="s">
        <v>955</v>
      </c>
      <c r="F255" s="379" t="s">
        <v>880</v>
      </c>
      <c r="G255" s="457" t="s">
        <v>959</v>
      </c>
      <c r="H255" s="8"/>
      <c r="I255" s="8"/>
      <c r="J255" s="8"/>
      <c r="K255" s="8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>
        <f t="shared" si="6"/>
        <v>256</v>
      </c>
      <c r="B256" s="458" t="s">
        <v>960</v>
      </c>
      <c r="C256" s="417" t="s">
        <v>199</v>
      </c>
      <c r="D256" s="8" t="s">
        <v>167</v>
      </c>
      <c r="E256" s="453" t="s">
        <v>955</v>
      </c>
      <c r="F256" s="379" t="s">
        <v>880</v>
      </c>
      <c r="G256" s="457" t="s">
        <v>959</v>
      </c>
      <c r="H256" s="8"/>
      <c r="I256" s="8"/>
      <c r="J256" s="8"/>
      <c r="K256" s="8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>
        <f t="shared" si="6"/>
        <v>257</v>
      </c>
      <c r="B257" s="458" t="s">
        <v>960</v>
      </c>
      <c r="C257" s="417" t="s">
        <v>199</v>
      </c>
      <c r="D257" s="8" t="s">
        <v>166</v>
      </c>
      <c r="E257" s="453" t="s">
        <v>955</v>
      </c>
      <c r="F257" s="379" t="s">
        <v>880</v>
      </c>
      <c r="G257" s="457" t="s">
        <v>959</v>
      </c>
      <c r="H257" s="8"/>
      <c r="I257" s="8"/>
      <c r="J257" s="8"/>
      <c r="K257" s="8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>
        <f t="shared" si="6"/>
        <v>258</v>
      </c>
      <c r="B258" s="458" t="s">
        <v>960</v>
      </c>
      <c r="C258" s="417" t="s">
        <v>199</v>
      </c>
      <c r="D258" s="8" t="s">
        <v>165</v>
      </c>
      <c r="E258" s="453" t="s">
        <v>955</v>
      </c>
      <c r="F258" s="379" t="s">
        <v>880</v>
      </c>
      <c r="G258" s="457" t="s">
        <v>959</v>
      </c>
      <c r="H258" s="8"/>
      <c r="I258" s="8"/>
      <c r="J258" s="8"/>
      <c r="K258" s="8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>
        <f t="shared" si="6"/>
        <v>259</v>
      </c>
      <c r="B259" s="458" t="s">
        <v>960</v>
      </c>
      <c r="C259" s="417" t="s">
        <v>199</v>
      </c>
      <c r="D259" s="8" t="s">
        <v>164</v>
      </c>
      <c r="E259" s="453" t="s">
        <v>955</v>
      </c>
      <c r="F259" s="379" t="s">
        <v>880</v>
      </c>
      <c r="G259" s="457" t="s">
        <v>959</v>
      </c>
      <c r="H259" s="8"/>
      <c r="I259" s="8"/>
      <c r="J259" s="8"/>
      <c r="K259" s="8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>
        <f t="shared" si="6"/>
        <v>260</v>
      </c>
      <c r="B260" s="459" t="s">
        <v>961</v>
      </c>
      <c r="C260" s="417" t="s">
        <v>199</v>
      </c>
      <c r="D260" s="8" t="s">
        <v>64</v>
      </c>
      <c r="E260" s="380" t="s">
        <v>881</v>
      </c>
      <c r="F260" s="381" t="s">
        <v>882</v>
      </c>
      <c r="G260" s="382" t="s">
        <v>883</v>
      </c>
      <c r="H260" s="8"/>
      <c r="I260" s="8"/>
      <c r="J260" s="8"/>
      <c r="K260" s="8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>
        <f t="shared" si="6"/>
        <v>261</v>
      </c>
      <c r="B261" s="436" t="s">
        <v>941</v>
      </c>
      <c r="C261" s="417" t="s">
        <v>199</v>
      </c>
      <c r="D261" s="8" t="s">
        <v>8</v>
      </c>
      <c r="E261" s="8"/>
      <c r="F261" s="8"/>
      <c r="G261" s="8"/>
      <c r="H261" s="8"/>
      <c r="I261" s="8"/>
      <c r="J261" s="8"/>
      <c r="K261" s="8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>
        <f t="shared" si="6"/>
        <v>262</v>
      </c>
      <c r="B262" s="359" t="s">
        <v>859</v>
      </c>
      <c r="C262" s="417" t="s">
        <v>199</v>
      </c>
      <c r="D262" s="8" t="s">
        <v>887</v>
      </c>
      <c r="E262" s="358" t="s">
        <v>858</v>
      </c>
      <c r="F262" s="359" t="s">
        <v>859</v>
      </c>
      <c r="G262" s="8"/>
      <c r="H262" s="8"/>
      <c r="I262" s="8"/>
      <c r="J262" s="8"/>
      <c r="K262" s="8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>
        <f t="shared" si="6"/>
        <v>263</v>
      </c>
      <c r="B263" s="359" t="s">
        <v>859</v>
      </c>
      <c r="C263" s="417" t="s">
        <v>199</v>
      </c>
      <c r="D263" s="8" t="s">
        <v>120</v>
      </c>
      <c r="E263" s="358" t="s">
        <v>858</v>
      </c>
      <c r="F263" s="359" t="s">
        <v>859</v>
      </c>
      <c r="G263" s="8"/>
      <c r="H263" s="8"/>
      <c r="I263" s="8"/>
      <c r="J263" s="8"/>
      <c r="K263" s="8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>
        <f t="shared" si="6"/>
        <v>264</v>
      </c>
      <c r="B264" s="359" t="s">
        <v>859</v>
      </c>
      <c r="C264" s="417" t="s">
        <v>199</v>
      </c>
      <c r="D264" s="8" t="s">
        <v>121</v>
      </c>
      <c r="E264" s="358" t="s">
        <v>858</v>
      </c>
      <c r="F264" s="359" t="s">
        <v>859</v>
      </c>
      <c r="G264" s="8"/>
      <c r="H264" s="8"/>
      <c r="I264" s="8"/>
      <c r="J264" s="8"/>
      <c r="K264" s="8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>
        <f t="shared" si="6"/>
        <v>265</v>
      </c>
      <c r="B265" s="359" t="s">
        <v>859</v>
      </c>
      <c r="C265" s="417" t="s">
        <v>199</v>
      </c>
      <c r="D265" s="8" t="s">
        <v>8</v>
      </c>
      <c r="E265" s="8"/>
      <c r="F265" s="8"/>
      <c r="G265" s="8"/>
      <c r="H265" s="8"/>
      <c r="I265" s="8"/>
      <c r="J265" s="8"/>
      <c r="K265" s="8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>
        <f t="shared" si="6"/>
        <v>266</v>
      </c>
      <c r="B266" s="357" t="s">
        <v>857</v>
      </c>
      <c r="C266" s="417" t="s">
        <v>199</v>
      </c>
      <c r="D266" s="417" t="s">
        <v>924</v>
      </c>
      <c r="E266" s="356" t="s">
        <v>856</v>
      </c>
      <c r="F266" s="357" t="s">
        <v>857</v>
      </c>
      <c r="G266" s="8"/>
      <c r="H266" s="8"/>
      <c r="I266" s="8"/>
      <c r="J266" s="8"/>
      <c r="K266" s="8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>
        <f t="shared" si="6"/>
        <v>267</v>
      </c>
      <c r="B267" s="357" t="s">
        <v>857</v>
      </c>
      <c r="C267" s="417" t="s">
        <v>199</v>
      </c>
      <c r="D267" s="8" t="s">
        <v>41</v>
      </c>
      <c r="E267" s="356" t="s">
        <v>856</v>
      </c>
      <c r="F267" s="357" t="s">
        <v>857</v>
      </c>
      <c r="G267" s="8"/>
      <c r="H267" s="8"/>
      <c r="I267" s="8"/>
      <c r="J267" s="8"/>
      <c r="K267" s="8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>
        <f t="shared" si="6"/>
        <v>268</v>
      </c>
      <c r="B268" s="357" t="s">
        <v>857</v>
      </c>
      <c r="C268" s="417" t="s">
        <v>199</v>
      </c>
      <c r="D268" s="8" t="s">
        <v>8</v>
      </c>
      <c r="E268" s="8"/>
      <c r="F268" s="8"/>
      <c r="G268" s="8"/>
      <c r="H268" s="8"/>
      <c r="I268" s="8"/>
      <c r="J268" s="8"/>
      <c r="K268" s="8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>
        <f t="shared" si="6"/>
        <v>269</v>
      </c>
      <c r="B269" s="353" t="s">
        <v>854</v>
      </c>
      <c r="C269" s="3"/>
      <c r="D269" s="3" t="s">
        <v>38</v>
      </c>
      <c r="E269" s="3" t="s">
        <v>14</v>
      </c>
      <c r="F269" s="352" t="s">
        <v>853</v>
      </c>
      <c r="G269" s="353" t="s">
        <v>854</v>
      </c>
      <c r="H269" s="15"/>
      <c r="I269" s="3"/>
      <c r="J269" s="3"/>
      <c r="K269" s="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>
        <f t="shared" si="6"/>
        <v>270</v>
      </c>
      <c r="B270" s="353" t="s">
        <v>854</v>
      </c>
      <c r="C270" s="3"/>
      <c r="D270" s="3" t="s">
        <v>8</v>
      </c>
      <c r="E270" s="8"/>
      <c r="F270" s="3"/>
      <c r="G270" s="8"/>
      <c r="H270" s="15"/>
      <c r="I270" s="3"/>
      <c r="J270" s="3"/>
      <c r="K270" s="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>
        <f t="shared" si="6"/>
        <v>271</v>
      </c>
      <c r="B271" s="351" t="s">
        <v>852</v>
      </c>
      <c r="C271" s="3" t="str">
        <f t="shared" ref="C271:C284" si="7">"=&gt;"</f>
        <v>=&gt;</v>
      </c>
      <c r="D271" s="462" t="s">
        <v>962</v>
      </c>
      <c r="E271" s="3" t="s">
        <v>850</v>
      </c>
      <c r="F271" s="463" t="s">
        <v>963</v>
      </c>
      <c r="G271" s="3" t="s">
        <v>6</v>
      </c>
      <c r="H271" s="3"/>
      <c r="I271" s="8"/>
      <c r="J271" s="8"/>
      <c r="K271" s="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>
        <f t="shared" si="6"/>
        <v>272</v>
      </c>
      <c r="B272" s="462" t="s">
        <v>962</v>
      </c>
      <c r="C272" s="3" t="str">
        <f t="shared" si="7"/>
        <v>=&gt;</v>
      </c>
      <c r="D272" s="3" t="s">
        <v>30</v>
      </c>
      <c r="E272" s="3" t="s">
        <v>32</v>
      </c>
      <c r="F272" s="464" t="s">
        <v>964</v>
      </c>
      <c r="G272" s="3"/>
      <c r="H272" s="3"/>
      <c r="I272" s="3"/>
      <c r="J272" s="3"/>
      <c r="K272" s="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>
        <f t="shared" si="6"/>
        <v>273</v>
      </c>
      <c r="B273" s="464" t="s">
        <v>964</v>
      </c>
      <c r="C273" s="3" t="str">
        <f t="shared" si="7"/>
        <v>=&gt;</v>
      </c>
      <c r="D273" s="462" t="s">
        <v>962</v>
      </c>
      <c r="E273" s="3"/>
      <c r="F273" s="3"/>
      <c r="G273" s="3"/>
      <c r="H273" s="3"/>
      <c r="I273" s="3"/>
      <c r="J273" s="3"/>
      <c r="K273" s="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>
        <f t="shared" si="6"/>
        <v>274</v>
      </c>
      <c r="B274" s="464" t="s">
        <v>964</v>
      </c>
      <c r="C274" s="3" t="str">
        <f t="shared" si="7"/>
        <v>=&gt;</v>
      </c>
      <c r="D274" s="3" t="s">
        <v>8</v>
      </c>
      <c r="E274" s="3"/>
      <c r="F274" s="3"/>
      <c r="G274" s="3"/>
      <c r="H274" s="8"/>
      <c r="I274" s="3"/>
      <c r="J274" s="3"/>
      <c r="K274" s="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>
        <f t="shared" si="6"/>
        <v>275</v>
      </c>
      <c r="B275" s="463" t="s">
        <v>963</v>
      </c>
      <c r="C275" s="3" t="str">
        <f t="shared" si="7"/>
        <v>=&gt;</v>
      </c>
      <c r="D275" s="3" t="s">
        <v>14</v>
      </c>
      <c r="E275" s="465" t="s">
        <v>965</v>
      </c>
      <c r="F275" s="466" t="s">
        <v>966</v>
      </c>
      <c r="G275" s="3"/>
      <c r="H275" s="3"/>
      <c r="I275" s="3"/>
      <c r="J275" s="3"/>
      <c r="K275" s="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>
        <f t="shared" si="6"/>
        <v>276</v>
      </c>
      <c r="B276" s="465" t="s">
        <v>965</v>
      </c>
      <c r="C276" s="3" t="str">
        <f t="shared" si="7"/>
        <v>=&gt;</v>
      </c>
      <c r="D276" s="3" t="str">
        <f>"="</f>
        <v>=</v>
      </c>
      <c r="E276" s="467" t="s">
        <v>865</v>
      </c>
      <c r="F276" s="3"/>
      <c r="G276" s="3"/>
      <c r="H276" s="3"/>
      <c r="I276" s="3"/>
      <c r="J276" s="3"/>
      <c r="K276" s="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>
        <f t="shared" si="6"/>
        <v>277</v>
      </c>
      <c r="B277" s="465" t="s">
        <v>965</v>
      </c>
      <c r="C277" s="3" t="str">
        <f t="shared" si="7"/>
        <v>=&gt;</v>
      </c>
      <c r="D277" s="3" t="s">
        <v>8</v>
      </c>
      <c r="E277" s="3"/>
      <c r="F277" s="3"/>
      <c r="G277" s="3"/>
      <c r="H277" s="3"/>
      <c r="I277" s="3"/>
      <c r="J277" s="3"/>
      <c r="K277" s="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>
        <f t="shared" si="6"/>
        <v>278</v>
      </c>
      <c r="B278" s="466" t="s">
        <v>966</v>
      </c>
      <c r="C278" s="3" t="str">
        <f t="shared" si="7"/>
        <v>=&gt;</v>
      </c>
      <c r="D278" s="3" t="s">
        <v>38</v>
      </c>
      <c r="E278" s="463" t="s">
        <v>963</v>
      </c>
      <c r="F278" s="3"/>
      <c r="G278" s="3"/>
      <c r="H278" s="3"/>
      <c r="I278" s="3"/>
      <c r="J278" s="3"/>
      <c r="K278" s="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>
        <f t="shared" si="6"/>
        <v>279</v>
      </c>
      <c r="B279" s="466" t="s">
        <v>966</v>
      </c>
      <c r="C279" s="3" t="str">
        <f t="shared" si="7"/>
        <v>=&gt;</v>
      </c>
      <c r="D279" s="3" t="s">
        <v>8</v>
      </c>
      <c r="E279" s="3"/>
      <c r="F279" s="3"/>
      <c r="G279" s="3"/>
      <c r="H279" s="3"/>
      <c r="I279" s="3"/>
      <c r="J279" s="3"/>
      <c r="K279" s="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8.75" customHeight="1">
      <c r="A280" s="3">
        <f t="shared" si="6"/>
        <v>280</v>
      </c>
      <c r="B280" s="345" t="s">
        <v>843</v>
      </c>
      <c r="C280" s="3" t="str">
        <f t="shared" si="7"/>
        <v>=&gt;</v>
      </c>
      <c r="D280" s="7" t="s">
        <v>850</v>
      </c>
      <c r="E280" s="468" t="s">
        <v>967</v>
      </c>
      <c r="F280" s="21" t="s">
        <v>6</v>
      </c>
      <c r="G280" s="15"/>
      <c r="H280" s="15"/>
      <c r="I280" s="3"/>
      <c r="J280" s="3"/>
      <c r="K280" s="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>
        <f t="shared" si="6"/>
        <v>281</v>
      </c>
      <c r="B281" s="345" t="s">
        <v>843</v>
      </c>
      <c r="C281" s="3" t="str">
        <f t="shared" si="7"/>
        <v>=&gt;</v>
      </c>
      <c r="D281" s="351" t="s">
        <v>852</v>
      </c>
      <c r="E281" s="21"/>
      <c r="F281" s="21"/>
      <c r="G281" s="7"/>
      <c r="H281" s="7"/>
      <c r="I281" s="3"/>
      <c r="J281" s="3"/>
      <c r="K281" s="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>
        <f t="shared" si="6"/>
        <v>282</v>
      </c>
      <c r="B282" s="468" t="s">
        <v>967</v>
      </c>
      <c r="C282" s="3" t="str">
        <f t="shared" si="7"/>
        <v>=&gt;</v>
      </c>
      <c r="D282" s="3" t="s">
        <v>14</v>
      </c>
      <c r="E282" s="469" t="s">
        <v>968</v>
      </c>
      <c r="F282" s="470" t="s">
        <v>969</v>
      </c>
      <c r="G282" s="7"/>
      <c r="H282" s="7"/>
      <c r="I282" s="3"/>
      <c r="J282" s="3"/>
      <c r="K282" s="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>
        <f t="shared" si="6"/>
        <v>283</v>
      </c>
      <c r="B283" s="469" t="s">
        <v>968</v>
      </c>
      <c r="C283" s="3" t="str">
        <f t="shared" si="7"/>
        <v>=&gt;</v>
      </c>
      <c r="D283" s="3" t="str">
        <f>"="</f>
        <v>=</v>
      </c>
      <c r="E283" s="471" t="s">
        <v>916</v>
      </c>
      <c r="F283" s="21"/>
      <c r="G283" s="7"/>
      <c r="H283" s="7"/>
      <c r="I283" s="3"/>
      <c r="J283" s="3"/>
      <c r="K283" s="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>
        <f t="shared" si="6"/>
        <v>284</v>
      </c>
      <c r="B284" s="469" t="s">
        <v>968</v>
      </c>
      <c r="C284" s="3" t="str">
        <f t="shared" si="7"/>
        <v>=&gt;</v>
      </c>
      <c r="D284" s="3" t="s">
        <v>8</v>
      </c>
      <c r="E284" s="3"/>
      <c r="F284" s="21"/>
      <c r="G284" s="7"/>
      <c r="H284" s="7"/>
      <c r="I284" s="3"/>
      <c r="J284" s="3"/>
      <c r="K284" s="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>
        <f t="shared" si="6"/>
        <v>285</v>
      </c>
      <c r="B285" s="470" t="s">
        <v>969</v>
      </c>
      <c r="C285" s="3"/>
      <c r="D285" s="3" t="s">
        <v>38</v>
      </c>
      <c r="E285" s="3" t="s">
        <v>14</v>
      </c>
      <c r="F285" s="469" t="s">
        <v>968</v>
      </c>
      <c r="G285" s="470" t="s">
        <v>969</v>
      </c>
      <c r="H285" s="7"/>
      <c r="I285" s="3"/>
      <c r="J285" s="3"/>
      <c r="K285" s="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>
        <f t="shared" si="6"/>
        <v>286</v>
      </c>
      <c r="B286" s="470" t="s">
        <v>969</v>
      </c>
      <c r="C286" s="3"/>
      <c r="D286" s="3" t="s">
        <v>8</v>
      </c>
      <c r="E286" s="8"/>
      <c r="F286" s="3"/>
      <c r="G286" s="8"/>
      <c r="H286" s="7"/>
      <c r="I286" s="3"/>
      <c r="J286" s="3"/>
      <c r="K286" s="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>
        <f t="shared" si="6"/>
        <v>287</v>
      </c>
      <c r="B287" s="346" t="s">
        <v>845</v>
      </c>
      <c r="C287" s="3" t="str">
        <f t="shared" ref="C287:C291" si="8">"=&gt;"</f>
        <v>=&gt;</v>
      </c>
      <c r="D287" s="7" t="s">
        <v>850</v>
      </c>
      <c r="E287" s="472" t="s">
        <v>970</v>
      </c>
      <c r="F287" s="21" t="s">
        <v>6</v>
      </c>
      <c r="G287" s="15"/>
      <c r="H287" s="7"/>
      <c r="I287" s="3"/>
      <c r="J287" s="3"/>
      <c r="K287" s="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>
        <f t="shared" si="6"/>
        <v>288</v>
      </c>
      <c r="B288" s="346" t="s">
        <v>845</v>
      </c>
      <c r="C288" s="3" t="str">
        <f t="shared" si="8"/>
        <v>=&gt;</v>
      </c>
      <c r="D288" s="351" t="s">
        <v>852</v>
      </c>
      <c r="E288" s="21"/>
      <c r="F288" s="21"/>
      <c r="G288" s="7"/>
      <c r="H288" s="7"/>
      <c r="I288" s="3"/>
      <c r="J288" s="3"/>
      <c r="K288" s="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>
        <f t="shared" si="6"/>
        <v>289</v>
      </c>
      <c r="B289" s="472" t="s">
        <v>970</v>
      </c>
      <c r="C289" s="3" t="str">
        <f t="shared" si="8"/>
        <v>=&gt;</v>
      </c>
      <c r="D289" s="3" t="s">
        <v>14</v>
      </c>
      <c r="E289" s="473" t="s">
        <v>971</v>
      </c>
      <c r="F289" s="474" t="s">
        <v>972</v>
      </c>
      <c r="G289" s="7"/>
      <c r="H289" s="7"/>
      <c r="I289" s="3"/>
      <c r="J289" s="3"/>
      <c r="K289" s="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>
        <f t="shared" si="6"/>
        <v>290</v>
      </c>
      <c r="B290" s="473" t="s">
        <v>971</v>
      </c>
      <c r="C290" s="3" t="str">
        <f t="shared" si="8"/>
        <v>=&gt;</v>
      </c>
      <c r="D290" s="3" t="str">
        <f>"="</f>
        <v>=</v>
      </c>
      <c r="E290" s="475" t="s">
        <v>920</v>
      </c>
      <c r="F290" s="21"/>
      <c r="G290" s="7"/>
      <c r="H290" s="7"/>
      <c r="I290" s="3"/>
      <c r="J290" s="3"/>
      <c r="K290" s="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>
        <f t="shared" si="6"/>
        <v>291</v>
      </c>
      <c r="B291" s="473" t="s">
        <v>971</v>
      </c>
      <c r="C291" s="3" t="str">
        <f t="shared" si="8"/>
        <v>=&gt;</v>
      </c>
      <c r="D291" s="3" t="s">
        <v>8</v>
      </c>
      <c r="E291" s="3"/>
      <c r="F291" s="21"/>
      <c r="G291" s="7"/>
      <c r="H291" s="7"/>
      <c r="I291" s="3"/>
      <c r="J291" s="3"/>
      <c r="K291" s="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>
        <f t="shared" si="6"/>
        <v>292</v>
      </c>
      <c r="B292" s="474" t="s">
        <v>972</v>
      </c>
      <c r="C292" s="3"/>
      <c r="D292" s="3" t="s">
        <v>38</v>
      </c>
      <c r="E292" s="3" t="s">
        <v>14</v>
      </c>
      <c r="F292" s="473" t="s">
        <v>971</v>
      </c>
      <c r="G292" s="474" t="s">
        <v>972</v>
      </c>
      <c r="H292" s="7"/>
      <c r="I292" s="3"/>
      <c r="J292" s="3"/>
      <c r="K292" s="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>
        <f t="shared" si="6"/>
        <v>293</v>
      </c>
      <c r="B293" s="474" t="s">
        <v>972</v>
      </c>
      <c r="C293" s="3"/>
      <c r="D293" s="3" t="s">
        <v>8</v>
      </c>
      <c r="E293" s="8"/>
      <c r="F293" s="3"/>
      <c r="G293" s="8"/>
      <c r="H293" s="7"/>
      <c r="I293" s="3"/>
      <c r="J293" s="3"/>
      <c r="K293" s="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>
        <f t="shared" si="6"/>
        <v>294</v>
      </c>
      <c r="B294" s="347" t="s">
        <v>847</v>
      </c>
      <c r="C294" s="3" t="str">
        <f t="shared" ref="C294:C298" si="9">"=&gt;"</f>
        <v>=&gt;</v>
      </c>
      <c r="D294" s="7" t="s">
        <v>850</v>
      </c>
      <c r="E294" s="476" t="s">
        <v>973</v>
      </c>
      <c r="F294" s="21" t="s">
        <v>6</v>
      </c>
      <c r="G294" s="7"/>
      <c r="H294" s="7"/>
      <c r="I294" s="3"/>
      <c r="J294" s="3"/>
      <c r="K294" s="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>
        <f t="shared" si="6"/>
        <v>295</v>
      </c>
      <c r="B295" s="347" t="s">
        <v>847</v>
      </c>
      <c r="C295" s="3" t="str">
        <f t="shared" si="9"/>
        <v>=&gt;</v>
      </c>
      <c r="D295" s="351" t="s">
        <v>852</v>
      </c>
      <c r="E295" s="7"/>
      <c r="F295" s="21"/>
      <c r="G295" s="21"/>
      <c r="H295" s="7"/>
      <c r="I295" s="3"/>
      <c r="J295" s="3"/>
      <c r="K295" s="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>
        <f t="shared" si="6"/>
        <v>296</v>
      </c>
      <c r="B296" s="476" t="s">
        <v>973</v>
      </c>
      <c r="C296" s="3" t="str">
        <f t="shared" si="9"/>
        <v>=&gt;</v>
      </c>
      <c r="D296" s="3" t="s">
        <v>14</v>
      </c>
      <c r="E296" s="477" t="s">
        <v>974</v>
      </c>
      <c r="F296" s="478" t="s">
        <v>975</v>
      </c>
      <c r="G296" s="7"/>
      <c r="H296" s="7"/>
      <c r="I296" s="3"/>
      <c r="J296" s="3"/>
      <c r="K296" s="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>
        <f t="shared" si="6"/>
        <v>297</v>
      </c>
      <c r="B297" s="477" t="s">
        <v>974</v>
      </c>
      <c r="C297" s="3" t="str">
        <f t="shared" si="9"/>
        <v>=&gt;</v>
      </c>
      <c r="D297" s="3" t="str">
        <f>"="</f>
        <v>=</v>
      </c>
      <c r="E297" s="479" t="s">
        <v>976</v>
      </c>
      <c r="F297" s="21"/>
      <c r="G297" s="7"/>
      <c r="H297" s="7"/>
      <c r="I297" s="3"/>
      <c r="J297" s="3"/>
      <c r="K297" s="3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>
        <f t="shared" si="6"/>
        <v>298</v>
      </c>
      <c r="B298" s="477" t="s">
        <v>974</v>
      </c>
      <c r="C298" s="3" t="str">
        <f t="shared" si="9"/>
        <v>=&gt;</v>
      </c>
      <c r="D298" s="3" t="s">
        <v>8</v>
      </c>
      <c r="E298" s="3"/>
      <c r="F298" s="21"/>
      <c r="G298" s="7"/>
      <c r="H298" s="7"/>
      <c r="I298" s="3"/>
      <c r="J298" s="3"/>
      <c r="K298" s="3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>
        <f t="shared" si="6"/>
        <v>299</v>
      </c>
      <c r="B299" s="480" t="s">
        <v>976</v>
      </c>
      <c r="C299" s="417" t="s">
        <v>199</v>
      </c>
      <c r="D299" s="481" t="s">
        <v>977</v>
      </c>
      <c r="E299" s="482" t="s">
        <v>978</v>
      </c>
      <c r="F299" s="8"/>
      <c r="G299" s="8"/>
      <c r="H299" s="8"/>
      <c r="I299" s="8"/>
      <c r="J299" s="8"/>
      <c r="K299" s="8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>
        <f t="shared" si="6"/>
        <v>300</v>
      </c>
      <c r="B300" s="481" t="s">
        <v>977</v>
      </c>
      <c r="C300" s="417" t="s">
        <v>199</v>
      </c>
      <c r="D300" s="483" t="s">
        <v>979</v>
      </c>
      <c r="E300" s="484" t="s">
        <v>980</v>
      </c>
      <c r="F300" s="8"/>
      <c r="G300" s="8"/>
      <c r="H300" s="8"/>
      <c r="I300" s="8"/>
      <c r="J300" s="8"/>
      <c r="K300" s="8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>
        <f t="shared" si="6"/>
        <v>301</v>
      </c>
      <c r="B301" s="483" t="s">
        <v>979</v>
      </c>
      <c r="C301" s="417" t="s">
        <v>199</v>
      </c>
      <c r="D301" s="485" t="s">
        <v>981</v>
      </c>
      <c r="E301" s="486" t="s">
        <v>982</v>
      </c>
      <c r="F301" s="8"/>
      <c r="G301" s="8"/>
      <c r="H301" s="8"/>
      <c r="I301" s="8"/>
      <c r="J301" s="8"/>
      <c r="K301" s="8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>
        <f t="shared" si="6"/>
        <v>302</v>
      </c>
      <c r="B302" s="485" t="s">
        <v>981</v>
      </c>
      <c r="C302" s="417" t="s">
        <v>199</v>
      </c>
      <c r="D302" s="378" t="s">
        <v>879</v>
      </c>
      <c r="E302" s="8"/>
      <c r="F302" s="8"/>
      <c r="G302" s="8"/>
      <c r="H302" s="8"/>
      <c r="I302" s="8"/>
      <c r="J302" s="8"/>
      <c r="K302" s="8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>
        <f t="shared" si="6"/>
        <v>303</v>
      </c>
      <c r="B303" s="485" t="s">
        <v>981</v>
      </c>
      <c r="C303" s="417" t="s">
        <v>199</v>
      </c>
      <c r="D303" s="8" t="s">
        <v>885</v>
      </c>
      <c r="E303" s="485" t="s">
        <v>981</v>
      </c>
      <c r="F303" s="8"/>
      <c r="G303" s="8"/>
      <c r="H303" s="8"/>
      <c r="I303" s="8"/>
      <c r="J303" s="8"/>
      <c r="K303" s="8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>
        <f t="shared" si="6"/>
        <v>304</v>
      </c>
      <c r="B304" s="485" t="s">
        <v>981</v>
      </c>
      <c r="C304" s="417" t="s">
        <v>199</v>
      </c>
      <c r="D304" s="361" t="s">
        <v>861</v>
      </c>
      <c r="E304" s="487" t="s">
        <v>983</v>
      </c>
      <c r="F304" s="8"/>
      <c r="G304" s="8"/>
      <c r="H304" s="8"/>
      <c r="I304" s="8"/>
      <c r="J304" s="8"/>
      <c r="K304" s="8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>
        <f t="shared" si="6"/>
        <v>305</v>
      </c>
      <c r="B305" s="485" t="s">
        <v>981</v>
      </c>
      <c r="C305" s="417" t="s">
        <v>199</v>
      </c>
      <c r="D305" s="8" t="s">
        <v>62</v>
      </c>
      <c r="E305" s="488" t="s">
        <v>984</v>
      </c>
      <c r="F305" s="8"/>
      <c r="G305" s="8"/>
      <c r="H305" s="8"/>
      <c r="I305" s="8"/>
      <c r="J305" s="8"/>
      <c r="K305" s="8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>
        <f t="shared" si="6"/>
        <v>306</v>
      </c>
      <c r="B306" s="485" t="s">
        <v>981</v>
      </c>
      <c r="C306" s="417" t="s">
        <v>199</v>
      </c>
      <c r="D306" s="360" t="s">
        <v>860</v>
      </c>
      <c r="E306" s="368" t="s">
        <v>869</v>
      </c>
      <c r="F306" s="369" t="s">
        <v>870</v>
      </c>
      <c r="G306" s="489" t="s">
        <v>985</v>
      </c>
      <c r="H306" s="8"/>
      <c r="I306" s="8"/>
      <c r="J306" s="8"/>
      <c r="K306" s="8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>
        <f t="shared" si="6"/>
        <v>307</v>
      </c>
      <c r="B307" s="485" t="s">
        <v>981</v>
      </c>
      <c r="C307" s="417" t="s">
        <v>199</v>
      </c>
      <c r="D307" s="371" t="s">
        <v>872</v>
      </c>
      <c r="E307" s="372" t="s">
        <v>873</v>
      </c>
      <c r="F307" s="373" t="s">
        <v>874</v>
      </c>
      <c r="G307" s="490" t="s">
        <v>986</v>
      </c>
      <c r="H307" s="8"/>
      <c r="I307" s="8"/>
      <c r="J307" s="8"/>
      <c r="K307" s="8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>
        <f t="shared" si="6"/>
        <v>308</v>
      </c>
      <c r="B308" s="485" t="s">
        <v>981</v>
      </c>
      <c r="C308" s="417" t="s">
        <v>199</v>
      </c>
      <c r="D308" s="375" t="s">
        <v>876</v>
      </c>
      <c r="E308" s="376" t="s">
        <v>877</v>
      </c>
      <c r="F308" s="491" t="s">
        <v>987</v>
      </c>
      <c r="G308" s="8"/>
      <c r="H308" s="8"/>
      <c r="I308" s="8"/>
      <c r="J308" s="8"/>
      <c r="K308" s="8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>
        <f t="shared" si="6"/>
        <v>309</v>
      </c>
      <c r="B309" s="487" t="s">
        <v>983</v>
      </c>
      <c r="C309" s="417" t="s">
        <v>199</v>
      </c>
      <c r="D309" s="8" t="s">
        <v>887</v>
      </c>
      <c r="E309" s="451" t="s">
        <v>953</v>
      </c>
      <c r="F309" s="380" t="s">
        <v>881</v>
      </c>
      <c r="G309" s="381" t="s">
        <v>882</v>
      </c>
      <c r="H309" s="492" t="s">
        <v>988</v>
      </c>
      <c r="I309" s="8"/>
      <c r="J309" s="8"/>
      <c r="K309" s="8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>
        <f t="shared" si="6"/>
        <v>310</v>
      </c>
      <c r="B310" s="487" t="s">
        <v>983</v>
      </c>
      <c r="C310" s="417" t="s">
        <v>199</v>
      </c>
      <c r="D310" s="8" t="s">
        <v>120</v>
      </c>
      <c r="E310" s="451" t="s">
        <v>953</v>
      </c>
      <c r="F310" s="380" t="s">
        <v>881</v>
      </c>
      <c r="G310" s="381" t="s">
        <v>882</v>
      </c>
      <c r="H310" s="492" t="s">
        <v>988</v>
      </c>
      <c r="I310" s="8"/>
      <c r="J310" s="8"/>
      <c r="K310" s="8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>
        <f t="shared" si="6"/>
        <v>311</v>
      </c>
      <c r="B311" s="487" t="s">
        <v>983</v>
      </c>
      <c r="C311" s="417" t="s">
        <v>199</v>
      </c>
      <c r="D311" s="8" t="s">
        <v>121</v>
      </c>
      <c r="E311" s="451" t="s">
        <v>953</v>
      </c>
      <c r="F311" s="380" t="s">
        <v>881</v>
      </c>
      <c r="G311" s="381" t="s">
        <v>882</v>
      </c>
      <c r="H311" s="492" t="s">
        <v>988</v>
      </c>
      <c r="I311" s="8"/>
      <c r="J311" s="8"/>
      <c r="K311" s="8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>
        <f t="shared" si="6"/>
        <v>312</v>
      </c>
      <c r="B312" s="487" t="s">
        <v>983</v>
      </c>
      <c r="C312" s="417" t="s">
        <v>199</v>
      </c>
      <c r="D312" s="417" t="s">
        <v>924</v>
      </c>
      <c r="E312" s="452" t="s">
        <v>954</v>
      </c>
      <c r="F312" s="381" t="s">
        <v>882</v>
      </c>
      <c r="G312" s="492" t="s">
        <v>988</v>
      </c>
      <c r="H312" s="8"/>
      <c r="I312" s="8"/>
      <c r="J312" s="8"/>
      <c r="K312" s="8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>
        <f t="shared" si="6"/>
        <v>313</v>
      </c>
      <c r="B313" s="487" t="s">
        <v>983</v>
      </c>
      <c r="C313" s="417" t="s">
        <v>199</v>
      </c>
      <c r="D313" s="8" t="s">
        <v>41</v>
      </c>
      <c r="E313" s="452" t="s">
        <v>954</v>
      </c>
      <c r="F313" s="381" t="s">
        <v>882</v>
      </c>
      <c r="G313" s="492" t="s">
        <v>988</v>
      </c>
      <c r="H313" s="8"/>
      <c r="I313" s="8"/>
      <c r="J313" s="8"/>
      <c r="K313" s="8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>
        <f t="shared" si="6"/>
        <v>314</v>
      </c>
      <c r="B314" s="493" t="s">
        <v>983</v>
      </c>
      <c r="C314" s="7" t="s">
        <v>199</v>
      </c>
      <c r="D314" s="7" t="s">
        <v>934</v>
      </c>
      <c r="E314" s="494" t="s">
        <v>955</v>
      </c>
      <c r="F314" s="8"/>
      <c r="G314" s="8"/>
      <c r="H314" s="8"/>
      <c r="I314" s="8"/>
      <c r="J314" s="8"/>
      <c r="K314" s="8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>
        <f t="shared" si="6"/>
        <v>315</v>
      </c>
      <c r="B315" s="493" t="s">
        <v>983</v>
      </c>
      <c r="C315" s="7" t="s">
        <v>199</v>
      </c>
      <c r="D315" s="7" t="s">
        <v>163</v>
      </c>
      <c r="E315" s="494" t="s">
        <v>955</v>
      </c>
      <c r="F315" s="8"/>
      <c r="G315" s="8"/>
      <c r="H315" s="8"/>
      <c r="I315" s="8"/>
      <c r="J315" s="8"/>
      <c r="K315" s="8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>
        <f t="shared" si="6"/>
        <v>316</v>
      </c>
      <c r="B316" s="493" t="s">
        <v>983</v>
      </c>
      <c r="C316" s="7" t="s">
        <v>199</v>
      </c>
      <c r="D316" s="7" t="s">
        <v>167</v>
      </c>
      <c r="E316" s="495" t="s">
        <v>989</v>
      </c>
      <c r="F316" s="8"/>
      <c r="G316" s="8"/>
      <c r="H316" s="8"/>
      <c r="I316" s="8"/>
      <c r="J316" s="8"/>
      <c r="K316" s="8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>
        <f t="shared" si="6"/>
        <v>317</v>
      </c>
      <c r="B317" s="493" t="s">
        <v>983</v>
      </c>
      <c r="C317" s="7" t="s">
        <v>199</v>
      </c>
      <c r="D317" s="7" t="s">
        <v>166</v>
      </c>
      <c r="E317" s="495" t="s">
        <v>989</v>
      </c>
      <c r="F317" s="8"/>
      <c r="G317" s="8"/>
      <c r="H317" s="8"/>
      <c r="I317" s="8"/>
      <c r="J317" s="8"/>
      <c r="K317" s="8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>
        <f t="shared" si="6"/>
        <v>318</v>
      </c>
      <c r="B318" s="493" t="s">
        <v>983</v>
      </c>
      <c r="C318" s="7" t="s">
        <v>199</v>
      </c>
      <c r="D318" s="7" t="s">
        <v>165</v>
      </c>
      <c r="E318" s="495" t="s">
        <v>989</v>
      </c>
      <c r="F318" s="8"/>
      <c r="G318" s="8"/>
      <c r="H318" s="8"/>
      <c r="I318" s="8"/>
      <c r="J318" s="8"/>
      <c r="K318" s="8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>
        <f t="shared" si="6"/>
        <v>319</v>
      </c>
      <c r="B319" s="493" t="s">
        <v>983</v>
      </c>
      <c r="C319" s="7" t="s">
        <v>199</v>
      </c>
      <c r="D319" s="7" t="s">
        <v>164</v>
      </c>
      <c r="E319" s="495" t="s">
        <v>989</v>
      </c>
      <c r="F319" s="8"/>
      <c r="G319" s="8"/>
      <c r="H319" s="8"/>
      <c r="I319" s="8"/>
      <c r="J319" s="8"/>
      <c r="K319" s="8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>
        <f t="shared" si="6"/>
        <v>320</v>
      </c>
      <c r="B320" s="487" t="s">
        <v>983</v>
      </c>
      <c r="C320" s="417" t="s">
        <v>199</v>
      </c>
      <c r="D320" s="8" t="s">
        <v>8</v>
      </c>
      <c r="E320" s="8"/>
      <c r="F320" s="8"/>
      <c r="G320" s="8"/>
      <c r="H320" s="8"/>
      <c r="I320" s="8"/>
      <c r="J320" s="8"/>
      <c r="K320" s="8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>
        <f t="shared" si="6"/>
        <v>321</v>
      </c>
      <c r="B321" s="492" t="s">
        <v>988</v>
      </c>
      <c r="C321" s="417" t="s">
        <v>199</v>
      </c>
      <c r="D321" s="417" t="s">
        <v>934</v>
      </c>
      <c r="E321" s="453" t="s">
        <v>955</v>
      </c>
      <c r="F321" s="8"/>
      <c r="G321" s="8"/>
      <c r="H321" s="8"/>
      <c r="I321" s="8"/>
      <c r="J321" s="8"/>
      <c r="K321" s="8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>
        <f t="shared" si="6"/>
        <v>322</v>
      </c>
      <c r="B322" s="492" t="s">
        <v>988</v>
      </c>
      <c r="C322" s="417" t="s">
        <v>199</v>
      </c>
      <c r="D322" s="8" t="s">
        <v>163</v>
      </c>
      <c r="E322" s="453" t="s">
        <v>955</v>
      </c>
      <c r="F322" s="8"/>
      <c r="G322" s="8"/>
      <c r="H322" s="8"/>
      <c r="I322" s="8"/>
      <c r="J322" s="8"/>
      <c r="K322" s="8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>
        <f t="shared" si="6"/>
        <v>323</v>
      </c>
      <c r="B323" s="492" t="s">
        <v>988</v>
      </c>
      <c r="C323" s="417" t="s">
        <v>199</v>
      </c>
      <c r="D323" s="8" t="s">
        <v>167</v>
      </c>
      <c r="E323" s="453" t="s">
        <v>955</v>
      </c>
      <c r="F323" s="8"/>
      <c r="G323" s="8"/>
      <c r="H323" s="8"/>
      <c r="I323" s="8"/>
      <c r="J323" s="8"/>
      <c r="K323" s="8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>
        <f t="shared" si="6"/>
        <v>324</v>
      </c>
      <c r="B324" s="492" t="s">
        <v>988</v>
      </c>
      <c r="C324" s="417" t="s">
        <v>199</v>
      </c>
      <c r="D324" s="8" t="s">
        <v>166</v>
      </c>
      <c r="E324" s="453" t="s">
        <v>955</v>
      </c>
      <c r="F324" s="8"/>
      <c r="G324" s="8"/>
      <c r="H324" s="8"/>
      <c r="I324" s="8"/>
      <c r="J324" s="8"/>
      <c r="K324" s="8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>
        <f t="shared" si="6"/>
        <v>325</v>
      </c>
      <c r="B325" s="492" t="s">
        <v>988</v>
      </c>
      <c r="C325" s="417" t="s">
        <v>199</v>
      </c>
      <c r="D325" s="8" t="s">
        <v>165</v>
      </c>
      <c r="E325" s="453" t="s">
        <v>955</v>
      </c>
      <c r="F325" s="8"/>
      <c r="G325" s="8"/>
      <c r="H325" s="8"/>
      <c r="I325" s="8"/>
      <c r="J325" s="8"/>
      <c r="K325" s="8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>
        <f t="shared" si="6"/>
        <v>326</v>
      </c>
      <c r="B326" s="492" t="s">
        <v>988</v>
      </c>
      <c r="C326" s="417" t="s">
        <v>199</v>
      </c>
      <c r="D326" s="8" t="s">
        <v>164</v>
      </c>
      <c r="E326" s="453" t="s">
        <v>955</v>
      </c>
      <c r="F326" s="8"/>
      <c r="G326" s="8"/>
      <c r="H326" s="8"/>
      <c r="I326" s="8"/>
      <c r="J326" s="8"/>
      <c r="K326" s="8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>
        <f t="shared" si="6"/>
        <v>327</v>
      </c>
      <c r="B327" s="496" t="s">
        <v>989</v>
      </c>
      <c r="C327" s="417" t="s">
        <v>199</v>
      </c>
      <c r="D327" s="497" t="s">
        <v>990</v>
      </c>
      <c r="E327" s="498" t="s">
        <v>991</v>
      </c>
      <c r="F327" s="8"/>
      <c r="G327" s="8"/>
      <c r="H327" s="8"/>
      <c r="I327" s="8"/>
      <c r="J327" s="8"/>
      <c r="K327" s="8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>
        <f t="shared" si="6"/>
        <v>328</v>
      </c>
      <c r="B328" s="497" t="s">
        <v>990</v>
      </c>
      <c r="C328" s="417" t="s">
        <v>199</v>
      </c>
      <c r="D328" s="499" t="s">
        <v>992</v>
      </c>
      <c r="E328" s="500" t="s">
        <v>993</v>
      </c>
      <c r="F328" s="8"/>
      <c r="G328" s="8"/>
      <c r="H328" s="8"/>
      <c r="I328" s="8"/>
      <c r="J328" s="8"/>
      <c r="K328" s="8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>
        <f t="shared" si="6"/>
        <v>329</v>
      </c>
      <c r="B329" s="499" t="s">
        <v>992</v>
      </c>
      <c r="C329" s="417" t="s">
        <v>199</v>
      </c>
      <c r="D329" s="361" t="s">
        <v>861</v>
      </c>
      <c r="E329" s="8"/>
      <c r="F329" s="8"/>
      <c r="G329" s="8"/>
      <c r="H329" s="8"/>
      <c r="I329" s="8"/>
      <c r="J329" s="8"/>
      <c r="K329" s="8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>
        <f t="shared" si="6"/>
        <v>330</v>
      </c>
      <c r="B330" s="499" t="s">
        <v>992</v>
      </c>
      <c r="C330" s="417" t="s">
        <v>199</v>
      </c>
      <c r="D330" s="360" t="s">
        <v>860</v>
      </c>
      <c r="E330" s="8"/>
      <c r="F330" s="8"/>
      <c r="G330" s="8"/>
      <c r="H330" s="8"/>
      <c r="I330" s="8"/>
      <c r="J330" s="8"/>
      <c r="K330" s="8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>
        <f t="shared" si="6"/>
        <v>331</v>
      </c>
      <c r="B331" s="499" t="s">
        <v>992</v>
      </c>
      <c r="C331" s="417" t="s">
        <v>199</v>
      </c>
      <c r="D331" s="371" t="s">
        <v>872</v>
      </c>
      <c r="E331" s="8"/>
      <c r="F331" s="8"/>
      <c r="G331" s="8"/>
      <c r="H331" s="8"/>
      <c r="I331" s="8"/>
      <c r="J331" s="8"/>
      <c r="K331" s="8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>
        <f t="shared" si="6"/>
        <v>332</v>
      </c>
      <c r="B332" s="499" t="s">
        <v>992</v>
      </c>
      <c r="C332" s="417" t="s">
        <v>199</v>
      </c>
      <c r="D332" s="375" t="s">
        <v>876</v>
      </c>
      <c r="E332" s="8"/>
      <c r="F332" s="8"/>
      <c r="G332" s="8"/>
      <c r="H332" s="8"/>
      <c r="I332" s="8"/>
      <c r="J332" s="8"/>
      <c r="K332" s="8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>
        <f t="shared" si="6"/>
        <v>333</v>
      </c>
      <c r="B333" s="499" t="s">
        <v>992</v>
      </c>
      <c r="C333" s="417" t="s">
        <v>199</v>
      </c>
      <c r="D333" s="21" t="s">
        <v>62</v>
      </c>
      <c r="E333" s="501" t="s">
        <v>863</v>
      </c>
      <c r="F333" s="21" t="s">
        <v>64</v>
      </c>
      <c r="G333" s="8"/>
      <c r="H333" s="8"/>
      <c r="I333" s="8"/>
      <c r="J333" s="8"/>
      <c r="K333" s="8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>
        <f t="shared" si="6"/>
        <v>334</v>
      </c>
      <c r="B334" s="500" t="s">
        <v>993</v>
      </c>
      <c r="C334" s="417" t="s">
        <v>199</v>
      </c>
      <c r="D334" s="21" t="s">
        <v>887</v>
      </c>
      <c r="E334" s="499" t="s">
        <v>992</v>
      </c>
      <c r="F334" s="500" t="s">
        <v>993</v>
      </c>
      <c r="G334" s="8"/>
      <c r="H334" s="8"/>
      <c r="I334" s="8"/>
      <c r="J334" s="8"/>
      <c r="K334" s="8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>
        <f t="shared" si="6"/>
        <v>335</v>
      </c>
      <c r="B335" s="500" t="s">
        <v>993</v>
      </c>
      <c r="C335" s="417" t="s">
        <v>199</v>
      </c>
      <c r="D335" s="21" t="s">
        <v>120</v>
      </c>
      <c r="E335" s="499" t="s">
        <v>992</v>
      </c>
      <c r="F335" s="500" t="s">
        <v>993</v>
      </c>
      <c r="G335" s="8"/>
      <c r="H335" s="8"/>
      <c r="I335" s="8"/>
      <c r="J335" s="8"/>
      <c r="K335" s="8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>
        <f t="shared" si="6"/>
        <v>336</v>
      </c>
      <c r="B336" s="500" t="s">
        <v>993</v>
      </c>
      <c r="C336" s="417" t="s">
        <v>199</v>
      </c>
      <c r="D336" s="21" t="s">
        <v>121</v>
      </c>
      <c r="E336" s="499" t="s">
        <v>992</v>
      </c>
      <c r="F336" s="500" t="s">
        <v>993</v>
      </c>
      <c r="G336" s="8"/>
      <c r="H336" s="8"/>
      <c r="I336" s="8"/>
      <c r="J336" s="8"/>
      <c r="K336" s="8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>
        <f t="shared" si="6"/>
        <v>337</v>
      </c>
      <c r="B337" s="500" t="s">
        <v>993</v>
      </c>
      <c r="C337" s="417" t="s">
        <v>199</v>
      </c>
      <c r="D337" s="21" t="s">
        <v>8</v>
      </c>
      <c r="E337" s="8"/>
      <c r="F337" s="8"/>
      <c r="G337" s="8"/>
      <c r="H337" s="8"/>
      <c r="I337" s="8"/>
      <c r="J337" s="8"/>
      <c r="K337" s="8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>
        <f t="shared" si="6"/>
        <v>338</v>
      </c>
      <c r="B338" s="498" t="s">
        <v>991</v>
      </c>
      <c r="C338" s="417" t="s">
        <v>199</v>
      </c>
      <c r="D338" s="502" t="s">
        <v>924</v>
      </c>
      <c r="E338" s="497" t="s">
        <v>990</v>
      </c>
      <c r="F338" s="498" t="s">
        <v>991</v>
      </c>
      <c r="G338" s="8"/>
      <c r="H338" s="8"/>
      <c r="I338" s="8"/>
      <c r="J338" s="8"/>
      <c r="K338" s="8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>
        <f t="shared" si="6"/>
        <v>339</v>
      </c>
      <c r="B339" s="498" t="s">
        <v>991</v>
      </c>
      <c r="C339" s="417" t="s">
        <v>199</v>
      </c>
      <c r="D339" s="21" t="s">
        <v>41</v>
      </c>
      <c r="E339" s="497" t="s">
        <v>990</v>
      </c>
      <c r="F339" s="498" t="s">
        <v>991</v>
      </c>
      <c r="G339" s="8"/>
      <c r="H339" s="8"/>
      <c r="I339" s="8"/>
      <c r="J339" s="8"/>
      <c r="K339" s="8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>
        <f t="shared" si="6"/>
        <v>340</v>
      </c>
      <c r="B340" s="498" t="s">
        <v>991</v>
      </c>
      <c r="C340" s="417" t="s">
        <v>199</v>
      </c>
      <c r="D340" s="21" t="s">
        <v>8</v>
      </c>
      <c r="E340" s="8"/>
      <c r="F340" s="8"/>
      <c r="G340" s="8"/>
      <c r="H340" s="8"/>
      <c r="I340" s="8"/>
      <c r="J340" s="8"/>
      <c r="K340" s="8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>
        <f t="shared" si="6"/>
        <v>341</v>
      </c>
      <c r="B341" s="488" t="s">
        <v>984</v>
      </c>
      <c r="C341" s="417" t="s">
        <v>199</v>
      </c>
      <c r="D341" s="360" t="s">
        <v>860</v>
      </c>
      <c r="E341" s="368" t="s">
        <v>869</v>
      </c>
      <c r="F341" s="369" t="s">
        <v>870</v>
      </c>
      <c r="G341" s="503" t="s">
        <v>994</v>
      </c>
      <c r="H341" s="8"/>
      <c r="I341" s="8"/>
      <c r="J341" s="8"/>
      <c r="K341" s="8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>
        <f t="shared" si="6"/>
        <v>342</v>
      </c>
      <c r="B342" s="488" t="s">
        <v>984</v>
      </c>
      <c r="C342" s="417" t="s">
        <v>199</v>
      </c>
      <c r="D342" s="371" t="s">
        <v>872</v>
      </c>
      <c r="E342" s="372" t="s">
        <v>873</v>
      </c>
      <c r="F342" s="373" t="s">
        <v>874</v>
      </c>
      <c r="G342" s="504" t="s">
        <v>995</v>
      </c>
      <c r="H342" s="8"/>
      <c r="I342" s="8"/>
      <c r="J342" s="8"/>
      <c r="K342" s="8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>
        <f t="shared" si="6"/>
        <v>343</v>
      </c>
      <c r="B343" s="488" t="s">
        <v>984</v>
      </c>
      <c r="C343" s="417" t="s">
        <v>199</v>
      </c>
      <c r="D343" s="375" t="s">
        <v>876</v>
      </c>
      <c r="E343" s="376" t="s">
        <v>877</v>
      </c>
      <c r="F343" s="505" t="s">
        <v>996</v>
      </c>
      <c r="G343" s="8"/>
      <c r="H343" s="8"/>
      <c r="I343" s="8"/>
      <c r="J343" s="8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>
        <f t="shared" si="6"/>
        <v>344</v>
      </c>
      <c r="B344" s="488" t="s">
        <v>984</v>
      </c>
      <c r="C344" s="417" t="s">
        <v>199</v>
      </c>
      <c r="D344" s="378" t="s">
        <v>879</v>
      </c>
      <c r="E344" s="379" t="s">
        <v>880</v>
      </c>
      <c r="F344" s="506" t="s">
        <v>997</v>
      </c>
      <c r="G344" s="8"/>
      <c r="H344" s="8"/>
      <c r="I344" s="8"/>
      <c r="J344" s="8"/>
      <c r="K344" s="8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>
        <f t="shared" si="6"/>
        <v>345</v>
      </c>
      <c r="B345" s="488" t="s">
        <v>984</v>
      </c>
      <c r="C345" s="417" t="s">
        <v>199</v>
      </c>
      <c r="D345" s="8" t="s">
        <v>885</v>
      </c>
      <c r="E345" s="384" t="s">
        <v>886</v>
      </c>
      <c r="F345" s="506" t="s">
        <v>997</v>
      </c>
      <c r="G345" s="8"/>
      <c r="H345" s="8"/>
      <c r="I345" s="8"/>
      <c r="J345" s="8"/>
      <c r="K345" s="8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>
        <f t="shared" si="6"/>
        <v>346</v>
      </c>
      <c r="B346" s="488" t="s">
        <v>984</v>
      </c>
      <c r="C346" s="417" t="s">
        <v>199</v>
      </c>
      <c r="D346" s="361" t="s">
        <v>861</v>
      </c>
      <c r="E346" s="380" t="s">
        <v>881</v>
      </c>
      <c r="F346" s="381" t="s">
        <v>882</v>
      </c>
      <c r="G346" s="507" t="s">
        <v>998</v>
      </c>
      <c r="H346" s="8"/>
      <c r="I346" s="8"/>
      <c r="J346" s="8"/>
      <c r="K346" s="8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>
        <f t="shared" si="6"/>
        <v>347</v>
      </c>
      <c r="B347" s="488" t="s">
        <v>984</v>
      </c>
      <c r="C347" s="417" t="s">
        <v>199</v>
      </c>
      <c r="D347" s="8" t="s">
        <v>62</v>
      </c>
      <c r="E347" s="488" t="s">
        <v>984</v>
      </c>
      <c r="F347" s="507" t="s">
        <v>998</v>
      </c>
      <c r="G347" s="8"/>
      <c r="H347" s="8"/>
      <c r="I347" s="8"/>
      <c r="J347" s="8"/>
      <c r="K347" s="8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>
        <f t="shared" si="6"/>
        <v>348</v>
      </c>
      <c r="B348" s="503" t="s">
        <v>994</v>
      </c>
      <c r="C348" s="417" t="s">
        <v>199</v>
      </c>
      <c r="D348" s="8" t="s">
        <v>64</v>
      </c>
      <c r="E348" s="368" t="s">
        <v>869</v>
      </c>
      <c r="F348" s="369" t="s">
        <v>870</v>
      </c>
      <c r="G348" s="489" t="s">
        <v>985</v>
      </c>
      <c r="H348" s="8"/>
      <c r="I348" s="8"/>
      <c r="J348" s="8"/>
      <c r="K348" s="8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>
        <f t="shared" si="6"/>
        <v>349</v>
      </c>
      <c r="B349" s="503" t="s">
        <v>994</v>
      </c>
      <c r="C349" s="417" t="s">
        <v>199</v>
      </c>
      <c r="D349" s="489" t="s">
        <v>985</v>
      </c>
      <c r="E349" s="379" t="s">
        <v>880</v>
      </c>
      <c r="F349" s="506" t="s">
        <v>997</v>
      </c>
      <c r="G349" s="8"/>
      <c r="H349" s="8"/>
      <c r="I349" s="8"/>
      <c r="J349" s="8"/>
      <c r="K349" s="8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>
        <f t="shared" si="6"/>
        <v>350</v>
      </c>
      <c r="B350" s="489" t="s">
        <v>985</v>
      </c>
      <c r="C350" s="417" t="s">
        <v>199</v>
      </c>
      <c r="D350" s="417" t="s">
        <v>934</v>
      </c>
      <c r="E350" s="431" t="s">
        <v>935</v>
      </c>
      <c r="F350" s="8"/>
      <c r="G350" s="8"/>
      <c r="H350" s="8"/>
      <c r="I350" s="8"/>
      <c r="J350" s="8"/>
      <c r="K350" s="8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>
        <f t="shared" si="6"/>
        <v>351</v>
      </c>
      <c r="B351" s="489" t="s">
        <v>985</v>
      </c>
      <c r="C351" s="417" t="s">
        <v>199</v>
      </c>
      <c r="D351" s="8" t="s">
        <v>163</v>
      </c>
      <c r="E351" s="431" t="s">
        <v>935</v>
      </c>
      <c r="F351" s="8"/>
      <c r="G351" s="8"/>
      <c r="H351" s="8"/>
      <c r="I351" s="8"/>
      <c r="J351" s="8"/>
      <c r="K351" s="8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>
        <f t="shared" si="6"/>
        <v>352</v>
      </c>
      <c r="B352" s="489" t="s">
        <v>985</v>
      </c>
      <c r="C352" s="417" t="s">
        <v>199</v>
      </c>
      <c r="D352" s="8" t="s">
        <v>167</v>
      </c>
      <c r="E352" s="431" t="s">
        <v>935</v>
      </c>
      <c r="F352" s="8"/>
      <c r="G352" s="8"/>
      <c r="H352" s="8"/>
      <c r="I352" s="8"/>
      <c r="J352" s="8"/>
      <c r="K352" s="8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>
        <f t="shared" si="6"/>
        <v>353</v>
      </c>
      <c r="B353" s="489" t="s">
        <v>985</v>
      </c>
      <c r="C353" s="417" t="s">
        <v>199</v>
      </c>
      <c r="D353" s="8" t="s">
        <v>166</v>
      </c>
      <c r="E353" s="431" t="s">
        <v>935</v>
      </c>
      <c r="F353" s="8"/>
      <c r="G353" s="8"/>
      <c r="H353" s="8"/>
      <c r="I353" s="8"/>
      <c r="J353" s="8"/>
      <c r="K353" s="8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>
        <f t="shared" si="6"/>
        <v>354</v>
      </c>
      <c r="B354" s="489" t="s">
        <v>985</v>
      </c>
      <c r="C354" s="417" t="s">
        <v>199</v>
      </c>
      <c r="D354" s="8" t="s">
        <v>165</v>
      </c>
      <c r="E354" s="431" t="s">
        <v>935</v>
      </c>
      <c r="F354" s="8"/>
      <c r="G354" s="8"/>
      <c r="H354" s="8"/>
      <c r="I354" s="8"/>
      <c r="J354" s="8"/>
      <c r="K354" s="8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>
        <f t="shared" si="6"/>
        <v>355</v>
      </c>
      <c r="B355" s="489" t="s">
        <v>985</v>
      </c>
      <c r="C355" s="417" t="s">
        <v>199</v>
      </c>
      <c r="D355" s="8" t="s">
        <v>164</v>
      </c>
      <c r="E355" s="431" t="s">
        <v>935</v>
      </c>
      <c r="F355" s="8"/>
      <c r="G355" s="8"/>
      <c r="H355" s="8"/>
      <c r="I355" s="8"/>
      <c r="J355" s="8"/>
      <c r="K355" s="8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>
        <f t="shared" si="6"/>
        <v>356</v>
      </c>
      <c r="B356" s="506" t="s">
        <v>997</v>
      </c>
      <c r="C356" s="417" t="s">
        <v>199</v>
      </c>
      <c r="D356" s="8" t="s">
        <v>64</v>
      </c>
      <c r="E356" s="8"/>
      <c r="F356" s="8"/>
      <c r="G356" s="8"/>
      <c r="H356" s="8"/>
      <c r="I356" s="8"/>
      <c r="J356" s="8"/>
      <c r="K356" s="8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>
        <f t="shared" si="6"/>
        <v>357</v>
      </c>
      <c r="B357" s="504" t="s">
        <v>995</v>
      </c>
      <c r="C357" s="417" t="s">
        <v>199</v>
      </c>
      <c r="D357" s="8" t="s">
        <v>64</v>
      </c>
      <c r="E357" s="372" t="s">
        <v>873</v>
      </c>
      <c r="F357" s="373" t="s">
        <v>874</v>
      </c>
      <c r="G357" s="490" t="s">
        <v>986</v>
      </c>
      <c r="H357" s="8"/>
      <c r="I357" s="8"/>
      <c r="J357" s="8"/>
      <c r="K357" s="8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>
        <f t="shared" si="6"/>
        <v>358</v>
      </c>
      <c r="B358" s="504" t="s">
        <v>995</v>
      </c>
      <c r="C358" s="417" t="s">
        <v>199</v>
      </c>
      <c r="D358" s="490" t="s">
        <v>986</v>
      </c>
      <c r="E358" s="379" t="s">
        <v>880</v>
      </c>
      <c r="F358" s="506" t="s">
        <v>997</v>
      </c>
      <c r="G358" s="8"/>
      <c r="H358" s="8"/>
      <c r="I358" s="8"/>
      <c r="J358" s="8"/>
      <c r="K358" s="8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>
        <f t="shared" si="6"/>
        <v>359</v>
      </c>
      <c r="B359" s="490" t="s">
        <v>986</v>
      </c>
      <c r="C359" s="417" t="s">
        <v>199</v>
      </c>
      <c r="D359" s="417" t="s">
        <v>934</v>
      </c>
      <c r="E359" s="443" t="s">
        <v>947</v>
      </c>
      <c r="F359" s="8"/>
      <c r="G359" s="8"/>
      <c r="H359" s="8"/>
      <c r="I359" s="8"/>
      <c r="J359" s="8"/>
      <c r="K359" s="8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>
        <f t="shared" si="6"/>
        <v>360</v>
      </c>
      <c r="B360" s="490" t="s">
        <v>986</v>
      </c>
      <c r="C360" s="417" t="s">
        <v>199</v>
      </c>
      <c r="D360" s="8" t="s">
        <v>163</v>
      </c>
      <c r="E360" s="443" t="s">
        <v>947</v>
      </c>
      <c r="F360" s="8"/>
      <c r="G360" s="8"/>
      <c r="H360" s="8"/>
      <c r="I360" s="8"/>
      <c r="J360" s="8"/>
      <c r="K360" s="8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>
        <f t="shared" si="6"/>
        <v>361</v>
      </c>
      <c r="B361" s="490" t="s">
        <v>986</v>
      </c>
      <c r="C361" s="417" t="s">
        <v>199</v>
      </c>
      <c r="D361" s="8" t="s">
        <v>167</v>
      </c>
      <c r="E361" s="443" t="s">
        <v>947</v>
      </c>
      <c r="F361" s="8"/>
      <c r="G361" s="8"/>
      <c r="H361" s="8"/>
      <c r="I361" s="8"/>
      <c r="J361" s="8"/>
      <c r="K361" s="8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>
        <f t="shared" si="6"/>
        <v>362</v>
      </c>
      <c r="B362" s="490" t="s">
        <v>986</v>
      </c>
      <c r="C362" s="417" t="s">
        <v>199</v>
      </c>
      <c r="D362" s="8" t="s">
        <v>166</v>
      </c>
      <c r="E362" s="443" t="s">
        <v>947</v>
      </c>
      <c r="F362" s="8"/>
      <c r="G362" s="8"/>
      <c r="H362" s="8"/>
      <c r="I362" s="8"/>
      <c r="J362" s="8"/>
      <c r="K362" s="8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>
        <f t="shared" si="6"/>
        <v>363</v>
      </c>
      <c r="B363" s="490" t="s">
        <v>986</v>
      </c>
      <c r="C363" s="417" t="s">
        <v>199</v>
      </c>
      <c r="D363" s="8" t="s">
        <v>165</v>
      </c>
      <c r="E363" s="443" t="s">
        <v>947</v>
      </c>
      <c r="F363" s="8"/>
      <c r="G363" s="8"/>
      <c r="H363" s="8"/>
      <c r="I363" s="8"/>
      <c r="J363" s="8"/>
      <c r="K363" s="8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>
        <f t="shared" si="6"/>
        <v>364</v>
      </c>
      <c r="B364" s="490" t="s">
        <v>986</v>
      </c>
      <c r="C364" s="417" t="s">
        <v>199</v>
      </c>
      <c r="D364" s="8" t="s">
        <v>164</v>
      </c>
      <c r="E364" s="443" t="s">
        <v>947</v>
      </c>
      <c r="F364" s="8"/>
      <c r="G364" s="8"/>
      <c r="H364" s="8"/>
      <c r="I364" s="8"/>
      <c r="J364" s="8"/>
      <c r="K364" s="8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>
        <f t="shared" si="6"/>
        <v>365</v>
      </c>
      <c r="B365" s="505" t="s">
        <v>996</v>
      </c>
      <c r="C365" s="417" t="s">
        <v>199</v>
      </c>
      <c r="D365" s="8" t="s">
        <v>64</v>
      </c>
      <c r="E365" s="376" t="s">
        <v>877</v>
      </c>
      <c r="F365" s="491" t="s">
        <v>987</v>
      </c>
      <c r="G365" s="8"/>
      <c r="H365" s="8"/>
      <c r="I365" s="8"/>
      <c r="J365" s="8"/>
      <c r="K365" s="8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>
        <f t="shared" si="6"/>
        <v>366</v>
      </c>
      <c r="B366" s="505" t="s">
        <v>996</v>
      </c>
      <c r="C366" s="417" t="s">
        <v>199</v>
      </c>
      <c r="D366" s="491" t="s">
        <v>987</v>
      </c>
      <c r="E366" s="379" t="s">
        <v>880</v>
      </c>
      <c r="F366" s="506" t="s">
        <v>997</v>
      </c>
      <c r="G366" s="8"/>
      <c r="H366" s="8"/>
      <c r="I366" s="8"/>
      <c r="J366" s="8"/>
      <c r="K366" s="8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>
        <f t="shared" si="6"/>
        <v>367</v>
      </c>
      <c r="B367" s="508" t="s">
        <v>987</v>
      </c>
      <c r="C367" s="417" t="s">
        <v>199</v>
      </c>
      <c r="D367" s="21" t="s">
        <v>167</v>
      </c>
      <c r="E367" s="450" t="s">
        <v>952</v>
      </c>
      <c r="F367" s="8"/>
      <c r="G367" s="8"/>
      <c r="H367" s="8"/>
      <c r="I367" s="8"/>
      <c r="J367" s="8"/>
      <c r="K367" s="8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>
        <f t="shared" si="6"/>
        <v>368</v>
      </c>
      <c r="B368" s="508" t="s">
        <v>987</v>
      </c>
      <c r="C368" s="417" t="s">
        <v>199</v>
      </c>
      <c r="D368" s="21" t="s">
        <v>166</v>
      </c>
      <c r="E368" s="450" t="s">
        <v>952</v>
      </c>
      <c r="F368" s="8"/>
      <c r="G368" s="8"/>
      <c r="H368" s="8"/>
      <c r="I368" s="8"/>
      <c r="J368" s="8"/>
      <c r="K368" s="8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>
        <f t="shared" si="6"/>
        <v>369</v>
      </c>
      <c r="B369" s="508" t="s">
        <v>987</v>
      </c>
      <c r="C369" s="417" t="s">
        <v>199</v>
      </c>
      <c r="D369" s="21" t="s">
        <v>165</v>
      </c>
      <c r="E369" s="450" t="s">
        <v>952</v>
      </c>
      <c r="F369" s="8"/>
      <c r="G369" s="8"/>
      <c r="H369" s="8"/>
      <c r="I369" s="8"/>
      <c r="J369" s="8"/>
      <c r="K369" s="8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>
        <f t="shared" si="6"/>
        <v>370</v>
      </c>
      <c r="B370" s="508" t="s">
        <v>987</v>
      </c>
      <c r="C370" s="417" t="s">
        <v>199</v>
      </c>
      <c r="D370" s="21" t="s">
        <v>164</v>
      </c>
      <c r="E370" s="450" t="s">
        <v>952</v>
      </c>
      <c r="F370" s="8"/>
      <c r="G370" s="8"/>
      <c r="H370" s="8"/>
      <c r="I370" s="8"/>
      <c r="J370" s="8"/>
      <c r="K370" s="8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>
        <f t="shared" si="6"/>
        <v>371</v>
      </c>
      <c r="B371" s="491" t="s">
        <v>987</v>
      </c>
      <c r="C371" s="417" t="s">
        <v>199</v>
      </c>
      <c r="D371" s="417" t="s">
        <v>934</v>
      </c>
      <c r="E371" s="448" t="s">
        <v>952</v>
      </c>
      <c r="F371" s="8"/>
      <c r="G371" s="8"/>
      <c r="H371" s="8"/>
      <c r="I371" s="8"/>
      <c r="J371" s="8"/>
      <c r="K371" s="8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>
        <f t="shared" si="6"/>
        <v>372</v>
      </c>
      <c r="B372" s="491" t="s">
        <v>987</v>
      </c>
      <c r="C372" s="417" t="s">
        <v>199</v>
      </c>
      <c r="D372" s="8" t="s">
        <v>163</v>
      </c>
      <c r="E372" s="448" t="s">
        <v>952</v>
      </c>
      <c r="F372" s="8"/>
      <c r="G372" s="8"/>
      <c r="H372" s="8"/>
      <c r="I372" s="8"/>
      <c r="J372" s="8"/>
      <c r="K372" s="8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>
        <f t="shared" si="6"/>
        <v>373</v>
      </c>
      <c r="B373" s="507" t="s">
        <v>998</v>
      </c>
      <c r="C373" s="417" t="s">
        <v>199</v>
      </c>
      <c r="D373" s="8" t="s">
        <v>64</v>
      </c>
      <c r="E373" s="380" t="s">
        <v>881</v>
      </c>
      <c r="F373" s="381" t="s">
        <v>882</v>
      </c>
      <c r="G373" s="492" t="s">
        <v>988</v>
      </c>
      <c r="H373" s="8"/>
      <c r="I373" s="8"/>
      <c r="J373" s="8"/>
      <c r="K373" s="8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>
        <f t="shared" si="6"/>
        <v>374</v>
      </c>
      <c r="B374" s="507" t="s">
        <v>998</v>
      </c>
      <c r="C374" s="417" t="s">
        <v>199</v>
      </c>
      <c r="D374" s="492" t="s">
        <v>988</v>
      </c>
      <c r="E374" s="379" t="s">
        <v>880</v>
      </c>
      <c r="F374" s="506" t="s">
        <v>997</v>
      </c>
      <c r="G374" s="8"/>
      <c r="H374" s="8"/>
      <c r="I374" s="8"/>
      <c r="J374" s="8"/>
      <c r="K374" s="8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>
        <f t="shared" si="6"/>
        <v>375</v>
      </c>
      <c r="B375" s="486" t="s">
        <v>982</v>
      </c>
      <c r="C375" s="417" t="s">
        <v>199</v>
      </c>
      <c r="D375" s="417" t="s">
        <v>934</v>
      </c>
      <c r="E375" s="483" t="s">
        <v>979</v>
      </c>
      <c r="F375" s="8"/>
      <c r="G375" s="8"/>
      <c r="H375" s="8"/>
      <c r="I375" s="8"/>
      <c r="J375" s="8"/>
      <c r="K375" s="8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>
        <f t="shared" si="6"/>
        <v>376</v>
      </c>
      <c r="B376" s="486" t="s">
        <v>982</v>
      </c>
      <c r="C376" s="417" t="s">
        <v>199</v>
      </c>
      <c r="D376" s="8" t="s">
        <v>163</v>
      </c>
      <c r="E376" s="483" t="s">
        <v>979</v>
      </c>
      <c r="F376" s="8"/>
      <c r="G376" s="8"/>
      <c r="H376" s="8"/>
      <c r="I376" s="8"/>
      <c r="J376" s="8"/>
      <c r="K376" s="8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>
        <f t="shared" si="6"/>
        <v>377</v>
      </c>
      <c r="B377" s="486" t="s">
        <v>982</v>
      </c>
      <c r="C377" s="417" t="s">
        <v>199</v>
      </c>
      <c r="D377" s="8" t="s">
        <v>8</v>
      </c>
      <c r="E377" s="8"/>
      <c r="F377" s="8"/>
      <c r="G377" s="8"/>
      <c r="H377" s="8"/>
      <c r="I377" s="8"/>
      <c r="J377" s="8"/>
      <c r="K377" s="8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>
        <f t="shared" si="6"/>
        <v>378</v>
      </c>
      <c r="B378" s="484" t="s">
        <v>980</v>
      </c>
      <c r="C378" s="417" t="s">
        <v>199</v>
      </c>
      <c r="D378" s="8" t="s">
        <v>936</v>
      </c>
      <c r="E378" s="483" t="s">
        <v>979</v>
      </c>
      <c r="F378" s="484" t="s">
        <v>980</v>
      </c>
      <c r="G378" s="8"/>
      <c r="H378" s="8"/>
      <c r="I378" s="8"/>
      <c r="J378" s="8"/>
      <c r="K378" s="8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>
        <f t="shared" si="6"/>
        <v>379</v>
      </c>
      <c r="B379" s="484" t="s">
        <v>980</v>
      </c>
      <c r="C379" s="417" t="s">
        <v>199</v>
      </c>
      <c r="D379" s="8" t="s">
        <v>8</v>
      </c>
      <c r="E379" s="8"/>
      <c r="F379" s="8"/>
      <c r="G379" s="8"/>
      <c r="H379" s="8"/>
      <c r="I379" s="8"/>
      <c r="J379" s="8"/>
      <c r="K379" s="8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>
        <f t="shared" si="6"/>
        <v>380</v>
      </c>
      <c r="B380" s="482" t="s">
        <v>978</v>
      </c>
      <c r="C380" s="417" t="s">
        <v>199</v>
      </c>
      <c r="D380" s="8" t="s">
        <v>937</v>
      </c>
      <c r="E380" s="481" t="s">
        <v>977</v>
      </c>
      <c r="F380" s="482" t="s">
        <v>978</v>
      </c>
      <c r="G380" s="8"/>
      <c r="H380" s="8"/>
      <c r="I380" s="8"/>
      <c r="J380" s="8"/>
      <c r="K380" s="8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>
        <f t="shared" si="6"/>
        <v>381</v>
      </c>
      <c r="B381" s="482" t="s">
        <v>978</v>
      </c>
      <c r="C381" s="417" t="s">
        <v>199</v>
      </c>
      <c r="D381" s="8" t="s">
        <v>8</v>
      </c>
      <c r="E381" s="8"/>
      <c r="F381" s="8"/>
      <c r="G381" s="8"/>
      <c r="H381" s="8"/>
      <c r="I381" s="8"/>
      <c r="J381" s="8"/>
      <c r="K381" s="8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>
        <f t="shared" si="6"/>
        <v>382</v>
      </c>
      <c r="B382" s="478" t="s">
        <v>975</v>
      </c>
      <c r="C382" s="3"/>
      <c r="D382" s="3" t="s">
        <v>38</v>
      </c>
      <c r="E382" s="3" t="s">
        <v>14</v>
      </c>
      <c r="F382" s="477" t="s">
        <v>974</v>
      </c>
      <c r="G382" s="478" t="s">
        <v>975</v>
      </c>
      <c r="H382" s="7"/>
      <c r="I382" s="3"/>
      <c r="J382" s="3"/>
      <c r="K382" s="3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>
        <f t="shared" si="6"/>
        <v>383</v>
      </c>
      <c r="B383" s="478" t="s">
        <v>975</v>
      </c>
      <c r="C383" s="3"/>
      <c r="D383" s="3" t="s">
        <v>8</v>
      </c>
      <c r="E383" s="8"/>
      <c r="F383" s="3"/>
      <c r="G383" s="8"/>
      <c r="H383" s="7"/>
      <c r="I383" s="3"/>
      <c r="J383" s="3"/>
      <c r="K383" s="3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>
        <f t="shared" si="6"/>
        <v>384</v>
      </c>
      <c r="B384" s="348" t="s">
        <v>848</v>
      </c>
      <c r="C384" s="3" t="str">
        <f t="shared" ref="C384:C398" si="10">"=&gt;"</f>
        <v>=&gt;</v>
      </c>
      <c r="D384" s="3" t="s">
        <v>999</v>
      </c>
      <c r="E384" s="3" t="s">
        <v>850</v>
      </c>
      <c r="F384" s="3" t="s">
        <v>14</v>
      </c>
      <c r="G384" s="3" t="str">
        <f>"="</f>
        <v>=</v>
      </c>
      <c r="H384" s="3" t="s">
        <v>30</v>
      </c>
      <c r="I384" s="509" t="s">
        <v>1000</v>
      </c>
      <c r="J384" s="3" t="s">
        <v>32</v>
      </c>
      <c r="K384" s="3" t="s">
        <v>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>
        <f t="shared" si="6"/>
        <v>385</v>
      </c>
      <c r="B385" s="509" t="s">
        <v>1000</v>
      </c>
      <c r="C385" s="3" t="str">
        <f t="shared" si="10"/>
        <v>=&gt;</v>
      </c>
      <c r="D385" s="510" t="s">
        <v>1001</v>
      </c>
      <c r="E385" s="3" t="s">
        <v>6</v>
      </c>
      <c r="F385" s="511" t="s">
        <v>1002</v>
      </c>
      <c r="G385" s="8"/>
      <c r="H385" s="8"/>
      <c r="I385" s="8"/>
      <c r="J385" s="3"/>
      <c r="K385" s="3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>
        <f t="shared" si="6"/>
        <v>386</v>
      </c>
      <c r="B386" s="510" t="s">
        <v>1001</v>
      </c>
      <c r="C386" s="3" t="str">
        <f t="shared" si="10"/>
        <v>=&gt;</v>
      </c>
      <c r="D386" s="512" t="s">
        <v>1003</v>
      </c>
      <c r="E386" s="3" t="s">
        <v>850</v>
      </c>
      <c r="F386" s="3" t="s">
        <v>14</v>
      </c>
      <c r="G386" s="8"/>
      <c r="H386" s="8"/>
      <c r="I386" s="8"/>
      <c r="J386" s="3"/>
      <c r="K386" s="3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>
        <f t="shared" si="6"/>
        <v>387</v>
      </c>
      <c r="B387" s="512" t="s">
        <v>1003</v>
      </c>
      <c r="C387" s="3" t="str">
        <f t="shared" si="10"/>
        <v>=&gt;</v>
      </c>
      <c r="D387" s="3" t="s">
        <v>840</v>
      </c>
      <c r="E387" s="464" t="s">
        <v>964</v>
      </c>
      <c r="F387" s="8"/>
      <c r="G387" s="8"/>
      <c r="H387" s="8"/>
      <c r="I387" s="8"/>
      <c r="J387" s="3"/>
      <c r="K387" s="3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>
        <f t="shared" si="6"/>
        <v>388</v>
      </c>
      <c r="B388" s="512" t="s">
        <v>1003</v>
      </c>
      <c r="C388" s="3" t="str">
        <f t="shared" si="10"/>
        <v>=&gt;</v>
      </c>
      <c r="D388" s="3" t="s">
        <v>844</v>
      </c>
      <c r="E388" s="464" t="s">
        <v>964</v>
      </c>
      <c r="F388" s="3"/>
      <c r="G388" s="3"/>
      <c r="H388" s="3"/>
      <c r="I388" s="3"/>
      <c r="J388" s="3"/>
      <c r="K388" s="3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>
        <f t="shared" si="6"/>
        <v>389</v>
      </c>
      <c r="B389" s="512" t="s">
        <v>1003</v>
      </c>
      <c r="C389" s="3" t="str">
        <f t="shared" si="10"/>
        <v>=&gt;</v>
      </c>
      <c r="D389" s="3" t="s">
        <v>846</v>
      </c>
      <c r="E389" s="464" t="s">
        <v>964</v>
      </c>
      <c r="F389" s="3"/>
      <c r="G389" s="3"/>
      <c r="H389" s="3"/>
      <c r="I389" s="3"/>
      <c r="J389" s="3"/>
      <c r="K389" s="3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>
        <f t="shared" si="6"/>
        <v>390</v>
      </c>
      <c r="B390" s="512" t="s">
        <v>1003</v>
      </c>
      <c r="C390" s="3" t="str">
        <f t="shared" si="10"/>
        <v>=&gt;</v>
      </c>
      <c r="D390" s="3" t="s">
        <v>842</v>
      </c>
      <c r="E390" s="464" t="s">
        <v>964</v>
      </c>
      <c r="F390" s="3"/>
      <c r="G390" s="3"/>
      <c r="H390" s="3"/>
      <c r="I390" s="3"/>
      <c r="J390" s="3"/>
      <c r="K390" s="3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>
        <f t="shared" si="6"/>
        <v>391</v>
      </c>
      <c r="B391" s="512" t="s">
        <v>1003</v>
      </c>
      <c r="C391" s="3" t="str">
        <f t="shared" si="10"/>
        <v>=&gt;</v>
      </c>
      <c r="D391" s="3" t="s">
        <v>14</v>
      </c>
      <c r="E391" s="464" t="s">
        <v>964</v>
      </c>
      <c r="F391" s="3"/>
      <c r="G391" s="3"/>
      <c r="H391" s="3"/>
      <c r="I391" s="3"/>
      <c r="J391" s="3"/>
      <c r="K391" s="3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>
        <f t="shared" si="6"/>
        <v>392</v>
      </c>
      <c r="B392" s="511" t="s">
        <v>1002</v>
      </c>
      <c r="C392" s="3" t="str">
        <f t="shared" si="10"/>
        <v>=&gt;</v>
      </c>
      <c r="D392" s="509" t="s">
        <v>1000</v>
      </c>
      <c r="E392" s="3"/>
      <c r="F392" s="3"/>
      <c r="G392" s="3"/>
      <c r="H392" s="3"/>
      <c r="I392" s="3"/>
      <c r="J392" s="3"/>
      <c r="K392" s="3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>
        <f t="shared" si="6"/>
        <v>393</v>
      </c>
      <c r="B393" s="511" t="s">
        <v>1002</v>
      </c>
      <c r="C393" s="3" t="str">
        <f t="shared" si="10"/>
        <v>=&gt;</v>
      </c>
      <c r="D393" s="3" t="s">
        <v>8</v>
      </c>
      <c r="E393" s="3"/>
      <c r="F393" s="3"/>
      <c r="G393" s="3"/>
      <c r="H393" s="8"/>
      <c r="I393" s="3"/>
      <c r="J393" s="3"/>
      <c r="K393" s="3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>
        <f t="shared" si="6"/>
        <v>394</v>
      </c>
      <c r="B394" s="349" t="s">
        <v>849</v>
      </c>
      <c r="C394" s="3" t="str">
        <f t="shared" si="10"/>
        <v>=&gt;</v>
      </c>
      <c r="D394" s="3" t="s">
        <v>850</v>
      </c>
      <c r="E394" s="513" t="s">
        <v>1004</v>
      </c>
      <c r="F394" s="3" t="s">
        <v>6</v>
      </c>
      <c r="G394" s="514"/>
      <c r="H394" s="8"/>
      <c r="I394" s="3"/>
      <c r="J394" s="3"/>
      <c r="K394" s="3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>
        <f t="shared" si="6"/>
        <v>395</v>
      </c>
      <c r="B395" s="349" t="s">
        <v>849</v>
      </c>
      <c r="C395" s="3" t="str">
        <f t="shared" si="10"/>
        <v>=&gt;</v>
      </c>
      <c r="D395" s="351" t="s">
        <v>852</v>
      </c>
      <c r="E395" s="8"/>
      <c r="F395" s="514"/>
      <c r="G395" s="514"/>
      <c r="H395" s="514"/>
      <c r="I395" s="3"/>
      <c r="J395" s="3"/>
      <c r="K395" s="3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>
        <f t="shared" si="6"/>
        <v>396</v>
      </c>
      <c r="B396" s="513" t="s">
        <v>1004</v>
      </c>
      <c r="C396" s="3" t="str">
        <f t="shared" si="10"/>
        <v>=&gt;</v>
      </c>
      <c r="D396" s="3" t="s">
        <v>14</v>
      </c>
      <c r="E396" s="515" t="s">
        <v>1005</v>
      </c>
      <c r="F396" s="516" t="s">
        <v>1006</v>
      </c>
      <c r="G396" s="514"/>
      <c r="H396" s="3"/>
      <c r="I396" s="3"/>
      <c r="J396" s="3"/>
      <c r="K396" s="3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>
        <f t="shared" si="6"/>
        <v>397</v>
      </c>
      <c r="B397" s="515" t="s">
        <v>1005</v>
      </c>
      <c r="C397" s="3" t="str">
        <f t="shared" si="10"/>
        <v>=&gt;</v>
      </c>
      <c r="D397" s="3" t="str">
        <f>"="</f>
        <v>=</v>
      </c>
      <c r="E397" s="517" t="s">
        <v>1007</v>
      </c>
      <c r="F397" s="3"/>
      <c r="G397" s="3"/>
      <c r="H397" s="3"/>
      <c r="I397" s="3"/>
      <c r="J397" s="3"/>
      <c r="K397" s="3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>
        <f t="shared" si="6"/>
        <v>398</v>
      </c>
      <c r="B398" s="515" t="s">
        <v>1005</v>
      </c>
      <c r="C398" s="3" t="str">
        <f t="shared" si="10"/>
        <v>=&gt;</v>
      </c>
      <c r="D398" s="3" t="s">
        <v>8</v>
      </c>
      <c r="E398" s="3"/>
      <c r="F398" s="3"/>
      <c r="G398" s="3"/>
      <c r="H398" s="3"/>
      <c r="I398" s="3"/>
      <c r="J398" s="3"/>
      <c r="K398" s="3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>
        <f t="shared" si="6"/>
        <v>399</v>
      </c>
      <c r="B399" s="518" t="s">
        <v>1007</v>
      </c>
      <c r="C399" s="417" t="s">
        <v>199</v>
      </c>
      <c r="D399" s="21" t="s">
        <v>30</v>
      </c>
      <c r="E399" s="519" t="s">
        <v>929</v>
      </c>
      <c r="F399" s="21" t="s">
        <v>32</v>
      </c>
      <c r="G399" s="8"/>
      <c r="H399" s="8"/>
      <c r="I399" s="8"/>
      <c r="J399" s="8"/>
      <c r="K399" s="8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>
        <f t="shared" si="6"/>
        <v>400</v>
      </c>
      <c r="B400" s="518" t="s">
        <v>1007</v>
      </c>
      <c r="C400" s="417" t="s">
        <v>199</v>
      </c>
      <c r="D400" s="387" t="s">
        <v>861</v>
      </c>
      <c r="E400" s="8"/>
      <c r="F400" s="8"/>
      <c r="G400" s="8"/>
      <c r="H400" s="8"/>
      <c r="I400" s="8"/>
      <c r="J400" s="8"/>
      <c r="K400" s="8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>
        <f t="shared" si="6"/>
        <v>401</v>
      </c>
      <c r="B401" s="516" t="s">
        <v>1006</v>
      </c>
      <c r="C401" s="3" t="str">
        <f t="shared" ref="C401:C489" si="11">"=&gt;"</f>
        <v>=&gt;</v>
      </c>
      <c r="D401" s="3" t="s">
        <v>38</v>
      </c>
      <c r="E401" s="513" t="s">
        <v>1004</v>
      </c>
      <c r="F401" s="3"/>
      <c r="G401" s="3"/>
      <c r="H401" s="3"/>
      <c r="I401" s="3"/>
      <c r="J401" s="3"/>
      <c r="K401" s="3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>
        <f t="shared" si="6"/>
        <v>402</v>
      </c>
      <c r="B402" s="516" t="s">
        <v>1006</v>
      </c>
      <c r="C402" s="3" t="str">
        <f t="shared" si="11"/>
        <v>=&gt;</v>
      </c>
      <c r="D402" s="3" t="s">
        <v>8</v>
      </c>
      <c r="E402" s="3"/>
      <c r="F402" s="3"/>
      <c r="G402" s="3"/>
      <c r="H402" s="3"/>
      <c r="I402" s="3"/>
      <c r="J402" s="3"/>
      <c r="K402" s="3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>
        <f t="shared" si="6"/>
        <v>403</v>
      </c>
      <c r="B403" s="342" t="s">
        <v>837</v>
      </c>
      <c r="C403" s="3" t="str">
        <f t="shared" si="11"/>
        <v>=&gt;</v>
      </c>
      <c r="D403" s="3" t="s">
        <v>1008</v>
      </c>
      <c r="E403" s="520" t="s">
        <v>1009</v>
      </c>
      <c r="F403" s="3" t="s">
        <v>62</v>
      </c>
      <c r="G403" s="521" t="s">
        <v>1010</v>
      </c>
      <c r="H403" s="3" t="s">
        <v>64</v>
      </c>
      <c r="I403" s="651" t="s">
        <v>839</v>
      </c>
      <c r="J403" s="342" t="s">
        <v>837</v>
      </c>
      <c r="K403" s="3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>
        <f t="shared" si="6"/>
        <v>404</v>
      </c>
      <c r="B404" s="342" t="s">
        <v>837</v>
      </c>
      <c r="C404" s="3" t="str">
        <f t="shared" si="11"/>
        <v>=&gt;</v>
      </c>
      <c r="D404" s="3" t="s">
        <v>8</v>
      </c>
      <c r="E404" s="3"/>
      <c r="F404" s="3"/>
      <c r="G404" s="3"/>
      <c r="H404" s="8"/>
      <c r="I404" s="3"/>
      <c r="J404" s="3"/>
      <c r="K404" s="8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>
        <f t="shared" si="6"/>
        <v>405</v>
      </c>
      <c r="B405" s="520" t="s">
        <v>1009</v>
      </c>
      <c r="C405" s="3" t="str">
        <f t="shared" si="11"/>
        <v>=&gt;</v>
      </c>
      <c r="D405" s="510" t="s">
        <v>1001</v>
      </c>
      <c r="E405" s="3"/>
      <c r="F405" s="3"/>
      <c r="G405" s="3"/>
      <c r="H405" s="3"/>
      <c r="I405" s="3"/>
      <c r="J405" s="3"/>
      <c r="K405" s="3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>
        <f t="shared" si="6"/>
        <v>406</v>
      </c>
      <c r="B406" s="521" t="s">
        <v>1010</v>
      </c>
      <c r="C406" s="3" t="str">
        <f t="shared" si="11"/>
        <v>=&gt;</v>
      </c>
      <c r="D406" s="510" t="s">
        <v>1001</v>
      </c>
      <c r="E406" s="522" t="s">
        <v>1011</v>
      </c>
      <c r="F406" s="3"/>
      <c r="G406" s="3"/>
      <c r="H406" s="3"/>
      <c r="I406" s="3"/>
      <c r="J406" s="3"/>
      <c r="K406" s="3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>
        <f t="shared" si="6"/>
        <v>407</v>
      </c>
      <c r="B407" s="521" t="s">
        <v>1010</v>
      </c>
      <c r="C407" s="3" t="str">
        <f t="shared" si="11"/>
        <v>=&gt;</v>
      </c>
      <c r="D407" s="3" t="s">
        <v>8</v>
      </c>
      <c r="E407" s="3"/>
      <c r="F407" s="3"/>
      <c r="G407" s="3"/>
      <c r="H407" s="3"/>
      <c r="I407" s="3"/>
      <c r="J407" s="3"/>
      <c r="K407" s="3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>
        <f t="shared" si="6"/>
        <v>408</v>
      </c>
      <c r="B408" s="522" t="s">
        <v>1011</v>
      </c>
      <c r="C408" s="3" t="str">
        <f t="shared" si="11"/>
        <v>=&gt;</v>
      </c>
      <c r="D408" s="3" t="s">
        <v>38</v>
      </c>
      <c r="E408" s="510" t="s">
        <v>1001</v>
      </c>
      <c r="F408" s="522" t="s">
        <v>1011</v>
      </c>
      <c r="G408" s="3"/>
      <c r="H408" s="3"/>
      <c r="I408" s="3"/>
      <c r="J408" s="3"/>
      <c r="K408" s="3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>
        <f t="shared" si="6"/>
        <v>409</v>
      </c>
      <c r="B409" s="522" t="s">
        <v>1011</v>
      </c>
      <c r="C409" s="3" t="str">
        <f t="shared" si="11"/>
        <v>=&gt;</v>
      </c>
      <c r="D409" s="3" t="s">
        <v>8</v>
      </c>
      <c r="E409" s="3"/>
      <c r="F409" s="3"/>
      <c r="G409" s="3"/>
      <c r="H409" s="3"/>
      <c r="I409" s="3"/>
      <c r="J409" s="3"/>
      <c r="K409" s="3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>
        <f t="shared" si="6"/>
        <v>410</v>
      </c>
      <c r="B410" s="651" t="s">
        <v>839</v>
      </c>
      <c r="C410" s="3" t="str">
        <f t="shared" si="11"/>
        <v>=&gt;</v>
      </c>
      <c r="D410" s="3" t="s">
        <v>17</v>
      </c>
      <c r="E410" s="523" t="s">
        <v>1012</v>
      </c>
      <c r="F410" s="524" t="s">
        <v>1013</v>
      </c>
      <c r="G410" s="3" t="s">
        <v>19</v>
      </c>
      <c r="H410" s="3"/>
      <c r="I410" s="3"/>
      <c r="J410" s="8"/>
      <c r="K410" s="8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>
        <f t="shared" si="6"/>
        <v>411</v>
      </c>
      <c r="B411" s="523" t="s">
        <v>1012</v>
      </c>
      <c r="C411" s="3" t="str">
        <f t="shared" si="11"/>
        <v>=&gt;</v>
      </c>
      <c r="D411" s="3" t="s">
        <v>840</v>
      </c>
      <c r="E411" s="525" t="s">
        <v>841</v>
      </c>
      <c r="F411" s="523" t="s">
        <v>1012</v>
      </c>
      <c r="G411" s="526"/>
      <c r="H411" s="526"/>
      <c r="I411" s="526"/>
      <c r="J411" s="526"/>
      <c r="K411" s="52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>
        <f t="shared" si="6"/>
        <v>412</v>
      </c>
      <c r="B412" s="523" t="s">
        <v>1012</v>
      </c>
      <c r="C412" s="3" t="str">
        <f t="shared" si="11"/>
        <v>=&gt;</v>
      </c>
      <c r="D412" s="3" t="s">
        <v>842</v>
      </c>
      <c r="E412" s="527" t="s">
        <v>843</v>
      </c>
      <c r="F412" s="523" t="s">
        <v>1012</v>
      </c>
      <c r="G412" s="526"/>
      <c r="H412" s="526"/>
      <c r="I412" s="526"/>
      <c r="J412" s="526"/>
      <c r="K412" s="52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>
        <f t="shared" si="6"/>
        <v>413</v>
      </c>
      <c r="B413" s="523" t="s">
        <v>1012</v>
      </c>
      <c r="C413" s="3" t="str">
        <f t="shared" si="11"/>
        <v>=&gt;</v>
      </c>
      <c r="D413" s="3" t="s">
        <v>844</v>
      </c>
      <c r="E413" s="528" t="s">
        <v>845</v>
      </c>
      <c r="F413" s="523" t="s">
        <v>1012</v>
      </c>
      <c r="G413" s="526"/>
      <c r="H413" s="526"/>
      <c r="I413" s="526"/>
      <c r="J413" s="526"/>
      <c r="K413" s="52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>
        <f t="shared" si="6"/>
        <v>414</v>
      </c>
      <c r="B414" s="523" t="s">
        <v>1012</v>
      </c>
      <c r="C414" s="3" t="str">
        <f t="shared" si="11"/>
        <v>=&gt;</v>
      </c>
      <c r="D414" s="3" t="s">
        <v>846</v>
      </c>
      <c r="E414" s="529" t="s">
        <v>847</v>
      </c>
      <c r="F414" s="523" t="s">
        <v>1012</v>
      </c>
      <c r="G414" s="526"/>
      <c r="H414" s="526"/>
      <c r="I414" s="526"/>
      <c r="J414" s="526"/>
      <c r="K414" s="52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>
        <f t="shared" si="6"/>
        <v>415</v>
      </c>
      <c r="B415" s="523" t="s">
        <v>1012</v>
      </c>
      <c r="C415" s="3" t="str">
        <f t="shared" si="11"/>
        <v>=&gt;</v>
      </c>
      <c r="D415" s="3" t="s">
        <v>14</v>
      </c>
      <c r="E415" s="530" t="s">
        <v>1014</v>
      </c>
      <c r="F415" s="8"/>
      <c r="G415" s="3"/>
      <c r="H415" s="3"/>
      <c r="I415" s="3"/>
      <c r="J415" s="3"/>
      <c r="K415" s="3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>
        <f t="shared" si="6"/>
        <v>416</v>
      </c>
      <c r="B416" s="523" t="s">
        <v>1012</v>
      </c>
      <c r="C416" s="3" t="str">
        <f t="shared" si="11"/>
        <v>=&gt;</v>
      </c>
      <c r="D416" s="3" t="s">
        <v>8</v>
      </c>
      <c r="E416" s="3"/>
      <c r="F416" s="3"/>
      <c r="G416" s="3"/>
      <c r="H416" s="3"/>
      <c r="I416" s="3"/>
      <c r="J416" s="3"/>
      <c r="K416" s="3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>
        <f t="shared" si="6"/>
        <v>417</v>
      </c>
      <c r="B417" s="530" t="s">
        <v>1014</v>
      </c>
      <c r="C417" s="3" t="str">
        <f t="shared" si="11"/>
        <v>=&gt;</v>
      </c>
      <c r="D417" s="3" t="s">
        <v>850</v>
      </c>
      <c r="E417" s="513" t="s">
        <v>1004</v>
      </c>
      <c r="F417" s="3" t="s">
        <v>6</v>
      </c>
      <c r="G417" s="523" t="s">
        <v>1012</v>
      </c>
      <c r="H417" s="8"/>
      <c r="I417" s="3"/>
      <c r="J417" s="3"/>
      <c r="K417" s="8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>
        <f t="shared" si="6"/>
        <v>418</v>
      </c>
      <c r="B418" s="530" t="s">
        <v>1014</v>
      </c>
      <c r="C418" s="3" t="str">
        <f t="shared" si="11"/>
        <v>=&gt;</v>
      </c>
      <c r="D418" s="3" t="s">
        <v>30</v>
      </c>
      <c r="E418" s="531" t="s">
        <v>1015</v>
      </c>
      <c r="F418" s="8"/>
      <c r="G418" s="8"/>
      <c r="H418" s="8"/>
      <c r="I418" s="3"/>
      <c r="J418" s="3"/>
      <c r="K418" s="8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>
        <f t="shared" si="6"/>
        <v>419</v>
      </c>
      <c r="B419" s="530" t="s">
        <v>1014</v>
      </c>
      <c r="C419" s="3" t="str">
        <f t="shared" si="11"/>
        <v>=&gt;</v>
      </c>
      <c r="D419" s="424" t="s">
        <v>930</v>
      </c>
      <c r="E419" s="532" t="s">
        <v>1016</v>
      </c>
      <c r="F419" s="395" t="s">
        <v>28</v>
      </c>
      <c r="G419" s="3" t="s">
        <v>6</v>
      </c>
      <c r="H419" s="524" t="s">
        <v>1013</v>
      </c>
      <c r="I419" s="3"/>
      <c r="J419" s="3"/>
      <c r="K419" s="8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>
        <f t="shared" si="6"/>
        <v>420</v>
      </c>
      <c r="B420" s="530" t="s">
        <v>1014</v>
      </c>
      <c r="C420" s="3" t="str">
        <f t="shared" si="11"/>
        <v>=&gt;</v>
      </c>
      <c r="D420" s="532" t="s">
        <v>1016</v>
      </c>
      <c r="E420" s="395" t="s">
        <v>28</v>
      </c>
      <c r="F420" s="3" t="s">
        <v>6</v>
      </c>
      <c r="G420" s="524" t="s">
        <v>1013</v>
      </c>
      <c r="H420" s="8"/>
      <c r="I420" s="3"/>
      <c r="J420" s="3"/>
      <c r="K420" s="8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>
        <f t="shared" si="6"/>
        <v>421</v>
      </c>
      <c r="B421" s="530" t="s">
        <v>1014</v>
      </c>
      <c r="C421" s="3" t="str">
        <f t="shared" si="11"/>
        <v>=&gt;</v>
      </c>
      <c r="D421" s="533" t="s">
        <v>1017</v>
      </c>
      <c r="E421" s="8" t="s">
        <v>6</v>
      </c>
      <c r="F421" s="524" t="s">
        <v>1013</v>
      </c>
      <c r="G421" s="8"/>
      <c r="H421" s="8"/>
      <c r="I421" s="3"/>
      <c r="J421" s="3"/>
      <c r="K421" s="8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>
        <f t="shared" si="6"/>
        <v>422</v>
      </c>
      <c r="B422" s="531" t="s">
        <v>1015</v>
      </c>
      <c r="C422" s="3" t="str">
        <f t="shared" si="11"/>
        <v>=&gt;</v>
      </c>
      <c r="D422" s="8" t="s">
        <v>32</v>
      </c>
      <c r="E422" s="464" t="s">
        <v>964</v>
      </c>
      <c r="F422" s="3" t="s">
        <v>850</v>
      </c>
      <c r="G422" s="534" t="s">
        <v>963</v>
      </c>
      <c r="H422" s="3" t="s">
        <v>6</v>
      </c>
      <c r="I422" s="523" t="s">
        <v>1012</v>
      </c>
      <c r="J422" s="3"/>
      <c r="K422" s="8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>
        <f t="shared" si="6"/>
        <v>423</v>
      </c>
      <c r="B423" s="531" t="s">
        <v>1015</v>
      </c>
      <c r="C423" s="3" t="str">
        <f t="shared" si="11"/>
        <v>=&gt;</v>
      </c>
      <c r="D423" s="354" t="s">
        <v>855</v>
      </c>
      <c r="E423" s="8" t="s">
        <v>32</v>
      </c>
      <c r="F423" s="535" t="s">
        <v>894</v>
      </c>
      <c r="G423" s="532" t="s">
        <v>1016</v>
      </c>
      <c r="H423" s="395" t="s">
        <v>28</v>
      </c>
      <c r="I423" s="3" t="s">
        <v>6</v>
      </c>
      <c r="J423" s="524" t="s">
        <v>1013</v>
      </c>
      <c r="K423" s="8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>
        <f t="shared" si="6"/>
        <v>424</v>
      </c>
      <c r="B424" s="532" t="s">
        <v>1016</v>
      </c>
      <c r="C424" s="3" t="str">
        <f t="shared" si="11"/>
        <v>=&gt;</v>
      </c>
      <c r="D424" s="8" t="str">
        <f>"="</f>
        <v>=</v>
      </c>
      <c r="E424" s="8"/>
      <c r="F424" s="8"/>
      <c r="G424" s="8"/>
      <c r="H424" s="3"/>
      <c r="I424" s="3"/>
      <c r="J424" s="3"/>
      <c r="K424" s="8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>
        <f t="shared" si="6"/>
        <v>425</v>
      </c>
      <c r="B425" s="532" t="s">
        <v>1016</v>
      </c>
      <c r="C425" s="3" t="str">
        <f t="shared" si="11"/>
        <v>=&gt;</v>
      </c>
      <c r="D425" s="8" t="str">
        <f>"+="</f>
        <v>+=</v>
      </c>
      <c r="E425" s="8"/>
      <c r="F425" s="8"/>
      <c r="G425" s="8"/>
      <c r="H425" s="3"/>
      <c r="I425" s="3"/>
      <c r="J425" s="3"/>
      <c r="K425" s="8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>
        <f t="shared" si="6"/>
        <v>426</v>
      </c>
      <c r="B426" s="532" t="s">
        <v>1016</v>
      </c>
      <c r="C426" s="3" t="str">
        <f t="shared" si="11"/>
        <v>=&gt;</v>
      </c>
      <c r="D426" s="8" t="str">
        <f>"-="</f>
        <v>-=</v>
      </c>
      <c r="E426" s="8"/>
      <c r="F426" s="8"/>
      <c r="G426" s="8"/>
      <c r="H426" s="3"/>
      <c r="I426" s="3"/>
      <c r="J426" s="3"/>
      <c r="K426" s="8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>
        <f t="shared" si="6"/>
        <v>427</v>
      </c>
      <c r="B427" s="532" t="s">
        <v>1016</v>
      </c>
      <c r="C427" s="3" t="str">
        <f t="shared" si="11"/>
        <v>=&gt;</v>
      </c>
      <c r="D427" s="8" t="str">
        <f>"*="</f>
        <v>*=</v>
      </c>
      <c r="E427" s="8"/>
      <c r="F427" s="8"/>
      <c r="G427" s="8"/>
      <c r="H427" s="3"/>
      <c r="I427" s="3"/>
      <c r="J427" s="3"/>
      <c r="K427" s="8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>
        <f t="shared" si="6"/>
        <v>428</v>
      </c>
      <c r="B428" s="532" t="s">
        <v>1016</v>
      </c>
      <c r="C428" s="3" t="str">
        <f t="shared" si="11"/>
        <v>=&gt;</v>
      </c>
      <c r="D428" s="8" t="str">
        <f>"/="</f>
        <v>/=</v>
      </c>
      <c r="E428" s="8"/>
      <c r="F428" s="8"/>
      <c r="G428" s="8"/>
      <c r="H428" s="3"/>
      <c r="I428" s="3"/>
      <c r="J428" s="3"/>
      <c r="K428" s="8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>
        <f t="shared" si="6"/>
        <v>429</v>
      </c>
      <c r="B429" s="532" t="s">
        <v>1016</v>
      </c>
      <c r="C429" s="3" t="str">
        <f t="shared" si="11"/>
        <v>=&gt;</v>
      </c>
      <c r="D429" s="8" t="str">
        <f>"%="</f>
        <v>%=</v>
      </c>
      <c r="E429" s="8"/>
      <c r="F429" s="8"/>
      <c r="G429" s="8"/>
      <c r="H429" s="3"/>
      <c r="I429" s="3"/>
      <c r="J429" s="3"/>
      <c r="K429" s="8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>
        <f t="shared" si="6"/>
        <v>430</v>
      </c>
      <c r="B430" s="524" t="s">
        <v>1013</v>
      </c>
      <c r="C430" s="3" t="str">
        <f t="shared" si="11"/>
        <v>=&gt;</v>
      </c>
      <c r="D430" s="543" t="s">
        <v>1018</v>
      </c>
      <c r="E430" s="524" t="s">
        <v>1013</v>
      </c>
      <c r="F430" s="8"/>
      <c r="G430" s="8"/>
      <c r="H430" s="8"/>
      <c r="I430" s="3"/>
      <c r="J430" s="3"/>
      <c r="K430" s="8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>
        <f t="shared" si="6"/>
        <v>431</v>
      </c>
      <c r="B431" s="524" t="s">
        <v>1013</v>
      </c>
      <c r="C431" s="3" t="str">
        <f t="shared" si="11"/>
        <v>=&gt;</v>
      </c>
      <c r="D431" s="654" t="s">
        <v>1019</v>
      </c>
      <c r="E431" s="3" t="s">
        <v>6</v>
      </c>
      <c r="F431" s="524" t="s">
        <v>1013</v>
      </c>
      <c r="G431" s="8"/>
      <c r="H431" s="8"/>
      <c r="I431" s="3"/>
      <c r="J431" s="3"/>
      <c r="K431" s="8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>
        <f t="shared" si="6"/>
        <v>432</v>
      </c>
      <c r="B432" s="524" t="s">
        <v>1013</v>
      </c>
      <c r="C432" s="3" t="str">
        <f t="shared" si="11"/>
        <v>=&gt;</v>
      </c>
      <c r="D432" s="549" t="s">
        <v>1020</v>
      </c>
      <c r="E432" s="524" t="s">
        <v>1013</v>
      </c>
      <c r="F432" s="3"/>
      <c r="G432" s="3"/>
      <c r="H432" s="3"/>
      <c r="I432" s="3"/>
      <c r="J432" s="3"/>
      <c r="K432" s="8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>
        <f t="shared" si="6"/>
        <v>433</v>
      </c>
      <c r="B433" s="524" t="s">
        <v>1013</v>
      </c>
      <c r="C433" s="3" t="str">
        <f t="shared" si="11"/>
        <v>=&gt;</v>
      </c>
      <c r="D433" s="569" t="s">
        <v>1021</v>
      </c>
      <c r="E433" s="524" t="s">
        <v>1013</v>
      </c>
      <c r="F433" s="3"/>
      <c r="G433" s="3"/>
      <c r="H433" s="3"/>
      <c r="I433" s="3"/>
      <c r="J433" s="3"/>
      <c r="K433" s="8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>
        <f t="shared" si="6"/>
        <v>434</v>
      </c>
      <c r="B434" s="524" t="s">
        <v>1013</v>
      </c>
      <c r="C434" s="3" t="str">
        <f t="shared" si="11"/>
        <v>=&gt;</v>
      </c>
      <c r="D434" s="591" t="s">
        <v>1062</v>
      </c>
      <c r="E434" s="524" t="s">
        <v>1013</v>
      </c>
      <c r="F434" s="8"/>
      <c r="G434" s="8"/>
      <c r="H434" s="8"/>
      <c r="I434" s="3"/>
      <c r="J434" s="3"/>
      <c r="K434" s="8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>
        <f t="shared" si="6"/>
        <v>435</v>
      </c>
      <c r="B435" s="524" t="s">
        <v>1013</v>
      </c>
      <c r="C435" s="3" t="str">
        <f t="shared" si="11"/>
        <v>=&gt;</v>
      </c>
      <c r="D435" s="3" t="s">
        <v>8</v>
      </c>
      <c r="E435" s="8"/>
      <c r="F435" s="8"/>
      <c r="G435" s="8"/>
      <c r="H435" s="8"/>
      <c r="I435" s="3"/>
      <c r="J435" s="3"/>
      <c r="K435" s="8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>
        <f t="shared" si="6"/>
        <v>436</v>
      </c>
      <c r="B436" s="543" t="s">
        <v>1018</v>
      </c>
      <c r="C436" s="3" t="str">
        <f t="shared" si="11"/>
        <v>=&gt;</v>
      </c>
      <c r="D436" s="3" t="s">
        <v>14</v>
      </c>
      <c r="E436" s="544" t="s">
        <v>1023</v>
      </c>
      <c r="F436" s="524" t="s">
        <v>1013</v>
      </c>
      <c r="G436" s="8"/>
      <c r="H436" s="8"/>
      <c r="I436" s="3"/>
      <c r="J436" s="3"/>
      <c r="K436" s="8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>
        <f t="shared" si="6"/>
        <v>437</v>
      </c>
      <c r="B437" s="544" t="s">
        <v>1023</v>
      </c>
      <c r="C437" s="3" t="str">
        <f t="shared" si="11"/>
        <v>=&gt;</v>
      </c>
      <c r="D437" s="533" t="s">
        <v>1017</v>
      </c>
      <c r="E437" s="8" t="s">
        <v>6</v>
      </c>
      <c r="F437" s="8"/>
      <c r="G437" s="8"/>
      <c r="H437" s="3"/>
      <c r="I437" s="3"/>
      <c r="J437" s="3"/>
      <c r="K437" s="8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>
        <f t="shared" si="6"/>
        <v>438</v>
      </c>
      <c r="B438" s="544" t="s">
        <v>1023</v>
      </c>
      <c r="C438" s="3" t="str">
        <f t="shared" si="11"/>
        <v>=&gt;</v>
      </c>
      <c r="D438" s="545" t="s">
        <v>1024</v>
      </c>
      <c r="E438" s="8"/>
      <c r="F438" s="8"/>
      <c r="G438" s="8"/>
      <c r="H438" s="3"/>
      <c r="I438" s="3"/>
      <c r="J438" s="3"/>
      <c r="K438" s="8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>
        <f t="shared" si="6"/>
        <v>439</v>
      </c>
      <c r="B439" s="533" t="s">
        <v>1017</v>
      </c>
      <c r="C439" s="3" t="str">
        <f t="shared" si="11"/>
        <v>=&gt;</v>
      </c>
      <c r="D439" s="546" t="s">
        <v>1025</v>
      </c>
      <c r="E439" s="393" t="s">
        <v>894</v>
      </c>
      <c r="F439" s="3"/>
      <c r="G439" s="8"/>
      <c r="H439" s="3"/>
      <c r="I439" s="3"/>
      <c r="J439" s="3"/>
      <c r="K439" s="3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>
        <f t="shared" si="6"/>
        <v>440</v>
      </c>
      <c r="B440" s="546" t="s">
        <v>1025</v>
      </c>
      <c r="C440" s="3" t="str">
        <f t="shared" si="11"/>
        <v>=&gt;</v>
      </c>
      <c r="D440" s="3" t="s">
        <v>62</v>
      </c>
      <c r="E440" s="394" t="s">
        <v>895</v>
      </c>
      <c r="F440" s="3" t="s">
        <v>64</v>
      </c>
      <c r="G440" s="8"/>
      <c r="H440" s="3"/>
      <c r="I440" s="3"/>
      <c r="J440" s="3"/>
      <c r="K440" s="3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>
        <f t="shared" si="6"/>
        <v>441</v>
      </c>
      <c r="B441" s="545" t="s">
        <v>1024</v>
      </c>
      <c r="C441" s="3" t="str">
        <f t="shared" si="11"/>
        <v>=&gt;</v>
      </c>
      <c r="D441" s="535" t="s">
        <v>894</v>
      </c>
      <c r="E441" s="532" t="s">
        <v>1016</v>
      </c>
      <c r="F441" s="395" t="s">
        <v>28</v>
      </c>
      <c r="G441" s="3" t="s">
        <v>6</v>
      </c>
      <c r="H441" s="8"/>
      <c r="I441" s="3"/>
      <c r="J441" s="3"/>
      <c r="K441" s="8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>
        <f t="shared" si="6"/>
        <v>442</v>
      </c>
      <c r="B442" s="547" t="s">
        <v>1019</v>
      </c>
      <c r="C442" s="3" t="str">
        <f t="shared" si="11"/>
        <v>=&gt;</v>
      </c>
      <c r="D442" s="548" t="s">
        <v>1026</v>
      </c>
      <c r="E442" s="393" t="s">
        <v>894</v>
      </c>
      <c r="F442" s="8"/>
      <c r="G442" s="8"/>
      <c r="H442" s="3"/>
      <c r="I442" s="3"/>
      <c r="J442" s="3"/>
      <c r="K442" s="3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>
        <f t="shared" si="6"/>
        <v>443</v>
      </c>
      <c r="B443" s="548" t="s">
        <v>1026</v>
      </c>
      <c r="C443" s="3" t="str">
        <f t="shared" si="11"/>
        <v>=&gt;</v>
      </c>
      <c r="D443" s="428" t="s">
        <v>911</v>
      </c>
      <c r="E443" s="8" t="s">
        <v>62</v>
      </c>
      <c r="F443" s="364" t="s">
        <v>865</v>
      </c>
      <c r="G443" s="413" t="s">
        <v>38</v>
      </c>
      <c r="H443" s="366" t="s">
        <v>28</v>
      </c>
      <c r="I443" s="8" t="s">
        <v>64</v>
      </c>
      <c r="J443" s="3"/>
      <c r="K443" s="3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>
        <f t="shared" si="6"/>
        <v>444</v>
      </c>
      <c r="B444" s="548" t="s">
        <v>1026</v>
      </c>
      <c r="C444" s="3" t="str">
        <f t="shared" si="11"/>
        <v>=&gt;</v>
      </c>
      <c r="D444" s="428" t="s">
        <v>915</v>
      </c>
      <c r="E444" s="8" t="s">
        <v>62</v>
      </c>
      <c r="F444" s="412" t="s">
        <v>916</v>
      </c>
      <c r="G444" s="8" t="s">
        <v>64</v>
      </c>
      <c r="H444" s="40"/>
      <c r="I444" s="3"/>
      <c r="J444" s="3"/>
      <c r="K444" s="3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>
        <f t="shared" si="6"/>
        <v>445</v>
      </c>
      <c r="B445" s="548" t="s">
        <v>1026</v>
      </c>
      <c r="C445" s="3" t="str">
        <f t="shared" si="11"/>
        <v>=&gt;</v>
      </c>
      <c r="D445" s="428" t="s">
        <v>918</v>
      </c>
      <c r="E445" s="8" t="s">
        <v>62</v>
      </c>
      <c r="F445" s="412" t="s">
        <v>916</v>
      </c>
      <c r="G445" s="413" t="s">
        <v>38</v>
      </c>
      <c r="H445" s="355" t="s">
        <v>855</v>
      </c>
      <c r="I445" s="413" t="s">
        <v>38</v>
      </c>
      <c r="J445" s="355" t="s">
        <v>855</v>
      </c>
      <c r="K445" s="7" t="s">
        <v>64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>
        <f t="shared" si="6"/>
        <v>446</v>
      </c>
      <c r="B446" s="548" t="s">
        <v>1026</v>
      </c>
      <c r="C446" s="3" t="str">
        <f t="shared" si="11"/>
        <v>=&gt;</v>
      </c>
      <c r="D446" s="428" t="s">
        <v>919</v>
      </c>
      <c r="E446" s="8" t="s">
        <v>62</v>
      </c>
      <c r="F446" s="355" t="s">
        <v>855</v>
      </c>
      <c r="G446" s="413" t="s">
        <v>38</v>
      </c>
      <c r="H446" s="414" t="s">
        <v>920</v>
      </c>
      <c r="I446" s="8" t="s">
        <v>64</v>
      </c>
      <c r="J446" s="3"/>
      <c r="K446" s="3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>
        <f t="shared" si="6"/>
        <v>447</v>
      </c>
      <c r="B447" s="548" t="s">
        <v>1026</v>
      </c>
      <c r="C447" s="3" t="str">
        <f t="shared" si="11"/>
        <v>=&gt;</v>
      </c>
      <c r="D447" s="428" t="s">
        <v>867</v>
      </c>
      <c r="E447" s="8" t="s">
        <v>62</v>
      </c>
      <c r="F447" s="355" t="s">
        <v>855</v>
      </c>
      <c r="G447" s="8" t="s">
        <v>64</v>
      </c>
      <c r="H447" s="40"/>
      <c r="I447" s="3"/>
      <c r="J447" s="3"/>
      <c r="K447" s="3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>
        <f t="shared" si="6"/>
        <v>448</v>
      </c>
      <c r="B448" s="548" t="s">
        <v>1026</v>
      </c>
      <c r="C448" s="3" t="str">
        <f t="shared" si="11"/>
        <v>=&gt;</v>
      </c>
      <c r="D448" s="428" t="s">
        <v>908</v>
      </c>
      <c r="E448" s="8" t="s">
        <v>62</v>
      </c>
      <c r="F448" s="407" t="s">
        <v>909</v>
      </c>
      <c r="G448" s="413" t="s">
        <v>38</v>
      </c>
      <c r="H448" s="407" t="s">
        <v>909</v>
      </c>
      <c r="I448" s="8" t="s">
        <v>64</v>
      </c>
      <c r="J448" s="3"/>
      <c r="K448" s="3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>
        <f t="shared" si="6"/>
        <v>449</v>
      </c>
      <c r="B449" s="548" t="s">
        <v>1026</v>
      </c>
      <c r="C449" s="3" t="str">
        <f t="shared" si="11"/>
        <v>=&gt;</v>
      </c>
      <c r="D449" s="428" t="s">
        <v>133</v>
      </c>
      <c r="E449" s="8" t="s">
        <v>62</v>
      </c>
      <c r="F449" s="355" t="s">
        <v>855</v>
      </c>
      <c r="G449" s="413" t="s">
        <v>38</v>
      </c>
      <c r="H449" s="355" t="s">
        <v>855</v>
      </c>
      <c r="I449" s="8" t="s">
        <v>64</v>
      </c>
      <c r="J449" s="3"/>
      <c r="K449" s="3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>
        <f t="shared" si="6"/>
        <v>450</v>
      </c>
      <c r="B450" s="548" t="s">
        <v>1026</v>
      </c>
      <c r="C450" s="3" t="str">
        <f t="shared" si="11"/>
        <v>=&gt;</v>
      </c>
      <c r="D450" s="428" t="s">
        <v>906</v>
      </c>
      <c r="E450" s="8" t="s">
        <v>62</v>
      </c>
      <c r="F450" s="8" t="s">
        <v>64</v>
      </c>
      <c r="G450" s="40"/>
      <c r="H450" s="8"/>
      <c r="I450" s="3"/>
      <c r="J450" s="3"/>
      <c r="K450" s="3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>
        <f t="shared" si="6"/>
        <v>451</v>
      </c>
      <c r="B451" s="548" t="s">
        <v>1026</v>
      </c>
      <c r="C451" s="3" t="str">
        <f t="shared" si="11"/>
        <v>=&gt;</v>
      </c>
      <c r="D451" s="428" t="s">
        <v>914</v>
      </c>
      <c r="E451" s="8" t="s">
        <v>62</v>
      </c>
      <c r="F451" s="364" t="s">
        <v>865</v>
      </c>
      <c r="G451" s="413" t="s">
        <v>38</v>
      </c>
      <c r="H451" s="366" t="s">
        <v>28</v>
      </c>
      <c r="I451" s="8" t="s">
        <v>64</v>
      </c>
      <c r="J451" s="3"/>
      <c r="K451" s="3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>
        <f t="shared" si="6"/>
        <v>452</v>
      </c>
      <c r="B452" s="548" t="s">
        <v>1026</v>
      </c>
      <c r="C452" s="3" t="str">
        <f t="shared" si="11"/>
        <v>=&gt;</v>
      </c>
      <c r="D452" s="428" t="s">
        <v>913</v>
      </c>
      <c r="E452" s="8" t="s">
        <v>62</v>
      </c>
      <c r="F452" s="364" t="s">
        <v>865</v>
      </c>
      <c r="G452" s="8" t="s">
        <v>64</v>
      </c>
      <c r="H452" s="40"/>
      <c r="I452" s="3"/>
      <c r="J452" s="3"/>
      <c r="K452" s="3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>
        <f t="shared" si="6"/>
        <v>453</v>
      </c>
      <c r="B453" s="548" t="s">
        <v>1026</v>
      </c>
      <c r="C453" s="3" t="str">
        <f t="shared" si="11"/>
        <v>=&gt;</v>
      </c>
      <c r="D453" s="428" t="s">
        <v>866</v>
      </c>
      <c r="E453" s="8" t="s">
        <v>62</v>
      </c>
      <c r="F453" s="364" t="s">
        <v>865</v>
      </c>
      <c r="G453" s="413" t="s">
        <v>38</v>
      </c>
      <c r="H453" s="366" t="s">
        <v>28</v>
      </c>
      <c r="I453" s="8" t="s">
        <v>64</v>
      </c>
      <c r="J453" s="3"/>
      <c r="K453" s="3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>
        <f t="shared" si="6"/>
        <v>454</v>
      </c>
      <c r="B454" s="548" t="s">
        <v>1026</v>
      </c>
      <c r="C454" s="3" t="str">
        <f t="shared" si="11"/>
        <v>=&gt;</v>
      </c>
      <c r="D454" s="428" t="s">
        <v>864</v>
      </c>
      <c r="E454" s="8" t="s">
        <v>62</v>
      </c>
      <c r="F454" s="364" t="s">
        <v>865</v>
      </c>
      <c r="G454" s="8" t="s">
        <v>64</v>
      </c>
      <c r="H454" s="3"/>
      <c r="I454" s="3"/>
      <c r="J454" s="3"/>
      <c r="K454" s="3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>
        <f t="shared" si="6"/>
        <v>455</v>
      </c>
      <c r="B455" s="548" t="s">
        <v>1026</v>
      </c>
      <c r="C455" s="3" t="str">
        <f t="shared" si="11"/>
        <v>=&gt;</v>
      </c>
      <c r="D455" s="428" t="s">
        <v>912</v>
      </c>
      <c r="E455" s="8" t="s">
        <v>62</v>
      </c>
      <c r="F455" s="364" t="s">
        <v>865</v>
      </c>
      <c r="G455" s="8" t="s">
        <v>64</v>
      </c>
      <c r="H455" s="3"/>
      <c r="I455" s="3"/>
      <c r="J455" s="3"/>
      <c r="K455" s="3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>
        <f t="shared" si="6"/>
        <v>456</v>
      </c>
      <c r="B456" s="548" t="s">
        <v>1026</v>
      </c>
      <c r="C456" s="3" t="str">
        <f t="shared" si="11"/>
        <v>=&gt;</v>
      </c>
      <c r="D456" s="428" t="s">
        <v>134</v>
      </c>
      <c r="E456" s="8" t="s">
        <v>62</v>
      </c>
      <c r="F456" s="355" t="s">
        <v>855</v>
      </c>
      <c r="G456" s="8" t="s">
        <v>64</v>
      </c>
      <c r="H456" s="3"/>
      <c r="I456" s="3"/>
      <c r="J456" s="3"/>
      <c r="K456" s="3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>
        <f t="shared" si="6"/>
        <v>457</v>
      </c>
      <c r="B457" s="548" t="s">
        <v>1026</v>
      </c>
      <c r="C457" s="3" t="str">
        <f t="shared" si="11"/>
        <v>=&gt;</v>
      </c>
      <c r="D457" s="428" t="s">
        <v>917</v>
      </c>
      <c r="E457" s="8" t="s">
        <v>62</v>
      </c>
      <c r="F457" s="8" t="s">
        <v>64</v>
      </c>
      <c r="G457" s="8"/>
      <c r="H457" s="3"/>
      <c r="I457" s="3"/>
      <c r="J457" s="3"/>
      <c r="K457" s="3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>
        <f t="shared" si="6"/>
        <v>458</v>
      </c>
      <c r="B458" s="548" t="s">
        <v>1026</v>
      </c>
      <c r="C458" s="3" t="str">
        <f t="shared" si="11"/>
        <v>=&gt;</v>
      </c>
      <c r="D458" s="428" t="s">
        <v>921</v>
      </c>
      <c r="E458" s="8" t="s">
        <v>62</v>
      </c>
      <c r="F458" s="363" t="s">
        <v>863</v>
      </c>
      <c r="G458" s="8" t="s">
        <v>64</v>
      </c>
      <c r="H458" s="3"/>
      <c r="I458" s="3"/>
      <c r="J458" s="3"/>
      <c r="K458" s="3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>
        <f t="shared" si="6"/>
        <v>459</v>
      </c>
      <c r="B459" s="548" t="s">
        <v>1026</v>
      </c>
      <c r="C459" s="3" t="str">
        <f t="shared" si="11"/>
        <v>=&gt;</v>
      </c>
      <c r="D459" s="428" t="s">
        <v>862</v>
      </c>
      <c r="E459" s="8" t="s">
        <v>62</v>
      </c>
      <c r="F459" s="363" t="s">
        <v>863</v>
      </c>
      <c r="G459" s="8" t="s">
        <v>64</v>
      </c>
      <c r="H459" s="3"/>
      <c r="I459" s="3"/>
      <c r="J459" s="3"/>
      <c r="K459" s="3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>
        <f t="shared" si="6"/>
        <v>460</v>
      </c>
      <c r="B460" s="548" t="s">
        <v>1026</v>
      </c>
      <c r="C460" s="3" t="str">
        <f t="shared" si="11"/>
        <v>=&gt;</v>
      </c>
      <c r="D460" s="428" t="s">
        <v>907</v>
      </c>
      <c r="E460" s="8" t="s">
        <v>62</v>
      </c>
      <c r="F460" s="363" t="s">
        <v>863</v>
      </c>
      <c r="G460" s="8" t="s">
        <v>64</v>
      </c>
      <c r="H460" s="3"/>
      <c r="I460" s="3"/>
      <c r="J460" s="3"/>
      <c r="K460" s="3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>
        <f t="shared" si="6"/>
        <v>461</v>
      </c>
      <c r="B461" s="549" t="s">
        <v>1020</v>
      </c>
      <c r="C461" s="3" t="str">
        <f t="shared" si="11"/>
        <v>=&gt;</v>
      </c>
      <c r="D461" s="550" t="s">
        <v>1027</v>
      </c>
      <c r="E461" s="3"/>
      <c r="F461" s="3"/>
      <c r="G461" s="3"/>
      <c r="H461" s="3"/>
      <c r="I461" s="3"/>
      <c r="J461" s="3"/>
      <c r="K461" s="8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>
        <f t="shared" si="6"/>
        <v>462</v>
      </c>
      <c r="B462" s="549" t="s">
        <v>1020</v>
      </c>
      <c r="C462" s="3" t="str">
        <f t="shared" si="11"/>
        <v>=&gt;</v>
      </c>
      <c r="D462" s="551" t="s">
        <v>1028</v>
      </c>
      <c r="E462" s="3"/>
      <c r="F462" s="3"/>
      <c r="G462" s="3"/>
      <c r="H462" s="3"/>
      <c r="I462" s="3"/>
      <c r="J462" s="3"/>
      <c r="K462" s="8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>
        <f t="shared" si="6"/>
        <v>463</v>
      </c>
      <c r="B463" s="550" t="s">
        <v>1027</v>
      </c>
      <c r="C463" s="3" t="str">
        <f t="shared" si="11"/>
        <v>=&gt;</v>
      </c>
      <c r="D463" s="542" t="s">
        <v>1029</v>
      </c>
      <c r="E463" s="3" t="s">
        <v>62</v>
      </c>
      <c r="F463" s="479" t="s">
        <v>976</v>
      </c>
      <c r="G463" s="3" t="s">
        <v>64</v>
      </c>
      <c r="H463" s="651" t="s">
        <v>839</v>
      </c>
      <c r="I463" s="553" t="s">
        <v>1030</v>
      </c>
      <c r="J463" s="554" t="s">
        <v>1031</v>
      </c>
      <c r="K463" s="3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>
        <f t="shared" si="6"/>
        <v>464</v>
      </c>
      <c r="B464" s="553" t="s">
        <v>1030</v>
      </c>
      <c r="C464" s="3" t="str">
        <f t="shared" si="11"/>
        <v>=&gt;</v>
      </c>
      <c r="D464" s="542" t="s">
        <v>1032</v>
      </c>
      <c r="E464" s="3" t="s">
        <v>62</v>
      </c>
      <c r="F464" s="479" t="s">
        <v>976</v>
      </c>
      <c r="G464" s="3" t="s">
        <v>64</v>
      </c>
      <c r="H464" s="651" t="s">
        <v>839</v>
      </c>
      <c r="I464" s="553" t="s">
        <v>1030</v>
      </c>
      <c r="J464" s="3"/>
      <c r="K464" s="3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>
        <f t="shared" si="6"/>
        <v>465</v>
      </c>
      <c r="B465" s="553" t="s">
        <v>1030</v>
      </c>
      <c r="C465" s="3" t="str">
        <f t="shared" si="11"/>
        <v>=&gt;</v>
      </c>
      <c r="D465" s="542" t="s">
        <v>8</v>
      </c>
      <c r="E465" s="3"/>
      <c r="F465" s="3"/>
      <c r="G465" s="3"/>
      <c r="H465" s="3"/>
      <c r="I465" s="3"/>
      <c r="J465" s="3"/>
      <c r="K465" s="3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>
        <f t="shared" si="6"/>
        <v>466</v>
      </c>
      <c r="B466" s="554" t="s">
        <v>1031</v>
      </c>
      <c r="C466" s="3" t="str">
        <f t="shared" si="11"/>
        <v>=&gt;</v>
      </c>
      <c r="D466" s="542" t="s">
        <v>1033</v>
      </c>
      <c r="E466" s="651" t="s">
        <v>839</v>
      </c>
      <c r="F466" s="3"/>
      <c r="G466" s="3"/>
      <c r="H466" s="3"/>
      <c r="I466" s="3"/>
      <c r="J466" s="3"/>
      <c r="K466" s="3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>
        <f t="shared" si="6"/>
        <v>467</v>
      </c>
      <c r="B467" s="554" t="s">
        <v>1031</v>
      </c>
      <c r="C467" s="3" t="str">
        <f t="shared" si="11"/>
        <v>=&gt;</v>
      </c>
      <c r="D467" s="542" t="s">
        <v>8</v>
      </c>
      <c r="E467" s="3"/>
      <c r="F467" s="3"/>
      <c r="G467" s="3"/>
      <c r="H467" s="3"/>
      <c r="I467" s="3"/>
      <c r="J467" s="3"/>
      <c r="K467" s="3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>
        <f t="shared" si="6"/>
        <v>468</v>
      </c>
      <c r="B468" s="551" t="s">
        <v>1028</v>
      </c>
      <c r="C468" s="3" t="str">
        <f t="shared" si="11"/>
        <v>=&gt;</v>
      </c>
      <c r="D468" s="542" t="s">
        <v>1034</v>
      </c>
      <c r="E468" s="3" t="s">
        <v>62</v>
      </c>
      <c r="F468" s="659" t="s">
        <v>863</v>
      </c>
      <c r="G468" s="3" t="s">
        <v>64</v>
      </c>
      <c r="H468" s="555" t="s">
        <v>1035</v>
      </c>
      <c r="I468" s="3"/>
      <c r="J468" s="3"/>
      <c r="K468" s="3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>
        <f t="shared" si="6"/>
        <v>469</v>
      </c>
      <c r="B469" s="555" t="s">
        <v>1035</v>
      </c>
      <c r="C469" s="3" t="str">
        <f t="shared" si="11"/>
        <v>=&gt;</v>
      </c>
      <c r="D469" s="542" t="s">
        <v>17</v>
      </c>
      <c r="E469" s="556" t="s">
        <v>1036</v>
      </c>
      <c r="F469" s="557" t="s">
        <v>1037</v>
      </c>
      <c r="G469" s="3" t="s">
        <v>19</v>
      </c>
      <c r="H469" s="3"/>
      <c r="I469" s="3"/>
      <c r="J469" s="3"/>
      <c r="K469" s="3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3">
        <f t="shared" si="6"/>
        <v>470</v>
      </c>
      <c r="B470" s="556" t="s">
        <v>1036</v>
      </c>
      <c r="C470" s="3" t="str">
        <f t="shared" si="11"/>
        <v>=&gt;</v>
      </c>
      <c r="D470" s="542" t="s">
        <v>1038</v>
      </c>
      <c r="E470" s="558" t="s">
        <v>1039</v>
      </c>
      <c r="F470" s="3" t="s">
        <v>180</v>
      </c>
      <c r="G470" s="524" t="s">
        <v>1013</v>
      </c>
      <c r="H470" s="556" t="s">
        <v>1036</v>
      </c>
      <c r="I470" s="8"/>
      <c r="J470" s="3"/>
      <c r="K470" s="3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>
        <f t="shared" si="6"/>
        <v>471</v>
      </c>
      <c r="B471" s="556" t="s">
        <v>1036</v>
      </c>
      <c r="C471" s="3" t="str">
        <f t="shared" si="11"/>
        <v>=&gt;</v>
      </c>
      <c r="D471" s="542" t="s">
        <v>8</v>
      </c>
      <c r="E471" s="3"/>
      <c r="F471" s="3"/>
      <c r="G471" s="3"/>
      <c r="H471" s="3"/>
      <c r="I471" s="3"/>
      <c r="J471" s="3"/>
      <c r="K471" s="3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>
        <f t="shared" si="6"/>
        <v>472</v>
      </c>
      <c r="B472" s="558" t="s">
        <v>1039</v>
      </c>
      <c r="C472" s="3" t="str">
        <f t="shared" si="11"/>
        <v>=&gt;</v>
      </c>
      <c r="D472" s="3" t="s">
        <v>868</v>
      </c>
      <c r="E472" s="3"/>
      <c r="F472" s="3"/>
      <c r="G472" s="3"/>
      <c r="H472" s="3"/>
      <c r="I472" s="3"/>
      <c r="J472" s="3"/>
      <c r="K472" s="3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>
        <f t="shared" si="6"/>
        <v>473</v>
      </c>
      <c r="B473" s="558" t="s">
        <v>1039</v>
      </c>
      <c r="C473" s="3" t="str">
        <f t="shared" si="11"/>
        <v>=&gt;</v>
      </c>
      <c r="D473" s="542" t="s">
        <v>904</v>
      </c>
      <c r="E473" s="3"/>
      <c r="F473" s="3"/>
      <c r="G473" s="3"/>
      <c r="H473" s="3"/>
      <c r="I473" s="3"/>
      <c r="J473" s="3"/>
      <c r="K473" s="3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>
        <f t="shared" si="6"/>
        <v>474</v>
      </c>
      <c r="B474" s="557" t="s">
        <v>1037</v>
      </c>
      <c r="C474" s="3" t="str">
        <f t="shared" si="11"/>
        <v>=&gt;</v>
      </c>
      <c r="D474" s="542" t="s">
        <v>1070</v>
      </c>
      <c r="E474" s="3" t="s">
        <v>180</v>
      </c>
      <c r="F474" s="524" t="s">
        <v>1013</v>
      </c>
      <c r="G474" s="3"/>
      <c r="H474" s="3"/>
      <c r="I474" s="3"/>
      <c r="J474" s="3"/>
      <c r="K474" s="3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>
        <f t="shared" si="6"/>
        <v>475</v>
      </c>
      <c r="B475" s="557" t="s">
        <v>1037</v>
      </c>
      <c r="C475" s="3" t="str">
        <f t="shared" si="11"/>
        <v>=&gt;</v>
      </c>
      <c r="D475" s="542" t="s">
        <v>8</v>
      </c>
      <c r="E475" s="3"/>
      <c r="F475" s="3"/>
      <c r="G475" s="3"/>
      <c r="H475" s="3"/>
      <c r="I475" s="3"/>
      <c r="J475" s="3"/>
      <c r="K475" s="3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>
        <f t="shared" si="6"/>
        <v>476</v>
      </c>
      <c r="B476" s="569" t="s">
        <v>1021</v>
      </c>
      <c r="C476" s="3" t="str">
        <f t="shared" si="11"/>
        <v>=&gt;</v>
      </c>
      <c r="D476" s="570" t="s">
        <v>1049</v>
      </c>
      <c r="E476" s="3"/>
      <c r="F476" s="3"/>
      <c r="G476" s="3"/>
      <c r="H476" s="3"/>
      <c r="I476" s="3"/>
      <c r="J476" s="3"/>
      <c r="K476" s="8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>
        <f t="shared" si="6"/>
        <v>477</v>
      </c>
      <c r="B477" s="569" t="s">
        <v>1021</v>
      </c>
      <c r="C477" s="3" t="str">
        <f t="shared" si="11"/>
        <v>=&gt;</v>
      </c>
      <c r="D477" s="571" t="s">
        <v>1050</v>
      </c>
      <c r="E477" s="3"/>
      <c r="F477" s="3"/>
      <c r="G477" s="3"/>
      <c r="H477" s="3"/>
      <c r="I477" s="3"/>
      <c r="J477" s="3"/>
      <c r="K477" s="8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>
        <f t="shared" si="6"/>
        <v>478</v>
      </c>
      <c r="B478" s="569" t="s">
        <v>1021</v>
      </c>
      <c r="C478" s="3" t="str">
        <f t="shared" si="11"/>
        <v>=&gt;</v>
      </c>
      <c r="D478" s="572" t="s">
        <v>1051</v>
      </c>
      <c r="E478" s="3"/>
      <c r="F478" s="3"/>
      <c r="G478" s="3"/>
      <c r="H478" s="3"/>
      <c r="I478" s="3"/>
      <c r="J478" s="3"/>
      <c r="K478" s="8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>
        <f t="shared" si="6"/>
        <v>479</v>
      </c>
      <c r="B479" s="570" t="s">
        <v>1049</v>
      </c>
      <c r="C479" s="3" t="str">
        <f t="shared" si="11"/>
        <v>=&gt;</v>
      </c>
      <c r="D479" s="542" t="s">
        <v>1052</v>
      </c>
      <c r="E479" s="3" t="s">
        <v>62</v>
      </c>
      <c r="F479" s="573" t="s">
        <v>1053</v>
      </c>
      <c r="G479" s="574" t="s">
        <v>189</v>
      </c>
      <c r="H479" s="479" t="s">
        <v>976</v>
      </c>
      <c r="I479" s="3" t="s">
        <v>64</v>
      </c>
      <c r="J479" s="651" t="s">
        <v>839</v>
      </c>
      <c r="K479" s="8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>
        <f t="shared" si="6"/>
        <v>480</v>
      </c>
      <c r="B480" s="573" t="s">
        <v>1053</v>
      </c>
      <c r="C480" s="3" t="str">
        <f t="shared" si="11"/>
        <v>=&gt;</v>
      </c>
      <c r="D480" s="3" t="s">
        <v>14</v>
      </c>
      <c r="E480" s="660" t="s">
        <v>1024</v>
      </c>
      <c r="F480" s="3"/>
      <c r="G480" s="3"/>
      <c r="H480" s="3"/>
      <c r="I480" s="3"/>
      <c r="J480" s="3"/>
      <c r="K480" s="3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>
        <f t="shared" si="6"/>
        <v>481</v>
      </c>
      <c r="B481" s="574" t="s">
        <v>189</v>
      </c>
      <c r="C481" s="3" t="str">
        <f t="shared" si="11"/>
        <v>=&gt;</v>
      </c>
      <c r="D481" s="3" t="s">
        <v>14</v>
      </c>
      <c r="E481" s="545" t="s">
        <v>1024</v>
      </c>
      <c r="F481" s="3"/>
      <c r="G481" s="3"/>
      <c r="H481" s="3"/>
      <c r="I481" s="3"/>
      <c r="J481" s="3"/>
      <c r="K481" s="3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>
        <f t="shared" si="6"/>
        <v>482</v>
      </c>
      <c r="B482" s="571" t="s">
        <v>1050</v>
      </c>
      <c r="C482" s="3" t="str">
        <f t="shared" si="11"/>
        <v>=&gt;</v>
      </c>
      <c r="D482" s="542" t="s">
        <v>1075</v>
      </c>
      <c r="E482" s="3" t="s">
        <v>62</v>
      </c>
      <c r="F482" s="479" t="s">
        <v>976</v>
      </c>
      <c r="G482" s="3" t="s">
        <v>64</v>
      </c>
      <c r="H482" s="651" t="s">
        <v>839</v>
      </c>
      <c r="I482" s="3"/>
      <c r="J482" s="3"/>
      <c r="K482" s="3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>
        <f t="shared" si="6"/>
        <v>483</v>
      </c>
      <c r="B483" s="572" t="s">
        <v>1051</v>
      </c>
      <c r="C483" s="3" t="str">
        <f t="shared" si="11"/>
        <v>=&gt;</v>
      </c>
      <c r="D483" s="542" t="s">
        <v>1076</v>
      </c>
      <c r="E483" s="651" t="s">
        <v>839</v>
      </c>
      <c r="F483" s="3" t="s">
        <v>1075</v>
      </c>
      <c r="G483" s="3" t="s">
        <v>62</v>
      </c>
      <c r="H483" s="479" t="s">
        <v>976</v>
      </c>
      <c r="I483" s="3" t="s">
        <v>64</v>
      </c>
      <c r="J483" s="3" t="s">
        <v>6</v>
      </c>
      <c r="K483" s="3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>
        <f t="shared" si="6"/>
        <v>484</v>
      </c>
      <c r="B484" s="591" t="s">
        <v>1062</v>
      </c>
      <c r="C484" s="3" t="str">
        <f t="shared" si="11"/>
        <v>=&gt;</v>
      </c>
      <c r="D484" s="592" t="s">
        <v>1071</v>
      </c>
      <c r="E484" s="3"/>
      <c r="F484" s="3"/>
      <c r="G484" s="3"/>
      <c r="H484" s="3"/>
      <c r="I484" s="3"/>
      <c r="J484" s="3"/>
      <c r="K484" s="8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>
        <f t="shared" si="6"/>
        <v>485</v>
      </c>
      <c r="B485" s="591" t="s">
        <v>1062</v>
      </c>
      <c r="C485" s="3" t="str">
        <f t="shared" si="11"/>
        <v>=&gt;</v>
      </c>
      <c r="D485" s="593" t="s">
        <v>1043</v>
      </c>
      <c r="E485" s="3"/>
      <c r="F485" s="3"/>
      <c r="G485" s="3"/>
      <c r="H485" s="3"/>
      <c r="I485" s="3"/>
      <c r="J485" s="3"/>
      <c r="K485" s="8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>
        <f t="shared" si="6"/>
        <v>486</v>
      </c>
      <c r="B486" s="591" t="s">
        <v>1062</v>
      </c>
      <c r="C486" s="3" t="str">
        <f t="shared" si="11"/>
        <v>=&gt;</v>
      </c>
      <c r="D486" s="594" t="s">
        <v>1022</v>
      </c>
      <c r="E486" s="3"/>
      <c r="F486" s="3"/>
      <c r="G486" s="3"/>
      <c r="H486" s="3"/>
      <c r="I486" s="3"/>
      <c r="J486" s="3"/>
      <c r="K486" s="8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>
        <f t="shared" si="6"/>
        <v>487</v>
      </c>
      <c r="B487" s="592" t="s">
        <v>1071</v>
      </c>
      <c r="C487" s="3" t="str">
        <f t="shared" si="11"/>
        <v>=&gt;</v>
      </c>
      <c r="D487" s="3" t="s">
        <v>1072</v>
      </c>
      <c r="E487" s="3" t="s">
        <v>6</v>
      </c>
      <c r="F487" s="3"/>
      <c r="G487" s="3"/>
      <c r="H487" s="3"/>
      <c r="I487" s="3"/>
      <c r="J487" s="3"/>
      <c r="K487" s="8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>
        <f t="shared" si="6"/>
        <v>488</v>
      </c>
      <c r="B488" s="593" t="s">
        <v>1043</v>
      </c>
      <c r="C488" s="3" t="str">
        <f t="shared" si="11"/>
        <v>=&gt;</v>
      </c>
      <c r="D488" s="542" t="s">
        <v>1073</v>
      </c>
      <c r="E488" s="3" t="s">
        <v>6</v>
      </c>
      <c r="F488" s="3"/>
      <c r="G488" s="3"/>
      <c r="H488" s="3"/>
      <c r="I488" s="3"/>
      <c r="J488" s="3"/>
      <c r="K488" s="3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>
        <f t="shared" si="6"/>
        <v>489</v>
      </c>
      <c r="B489" s="594" t="s">
        <v>1022</v>
      </c>
      <c r="C489" s="3" t="str">
        <f t="shared" si="11"/>
        <v>=&gt;</v>
      </c>
      <c r="D489" s="542" t="s">
        <v>1074</v>
      </c>
      <c r="E489" s="395" t="s">
        <v>28</v>
      </c>
      <c r="F489" s="3" t="s">
        <v>6</v>
      </c>
      <c r="G489" s="3"/>
      <c r="H489" s="3"/>
      <c r="I489" s="3"/>
      <c r="J489" s="3"/>
      <c r="K489" s="3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66.0"/>
    <col customWidth="1" min="3" max="3" width="28.75"/>
    <col customWidth="1" min="4" max="4" width="36.75"/>
  </cols>
  <sheetData>
    <row r="1">
      <c r="A1" s="661">
        <f t="shared" ref="A1:A583" si="1">ROW()</f>
        <v>1</v>
      </c>
      <c r="B1" s="662" t="str">
        <f t="shared" ref="B1:B583" si="2">IF(CFG!D1 = "λ", ("First(λ - λ) ∪ Follow(" &amp; CFG!B1 &amp; ") ="), ("First(" &amp; TEXTJOIN(" ", TRUE, CFG!D1:AB1) &amp; ") ="))</f>
        <v>#REF!</v>
      </c>
      <c r="C1" s="662" t="str">
        <f>IFERROR(__xludf.DUMMYFUNCTION("IF(
  REGEXMATCH($B1, ""^First\(λ - λ\) ∪ Follow\(""),
  ""Follow("" &amp; REGEXEXTRACT($B1, ""Follow\(([^)]+)\)"") &amp; "") ="",
  IF(
    OR(
      REGEXMATCH($B1, ""^First\([^&lt;]""),
      REGEXMATCH($B1, ""^First\(&lt;[^A-Za-z_]"")
    ),
    """",
    IF(
     "&amp;" CFG!$D1=""λ"",
      ""Follow("" &amp; CFG!$B1 &amp; "") ="",
      ""First("" &amp; CFG!$D1 &amp; "") =""
    )
  )
)
"),"#REF!")</f>
        <v>#REF!</v>
      </c>
      <c r="D1" s="663" t="str">
        <f>IFERROR(__xludf.DUMMYFUNCTION("IF(
  $C1="""",
  ""{ "" &amp;
    IF(
      REGEXMATCH(B1, ""^First\(\)""),
      "")"",
      REGEXEXTRACT(B1, ""^First\(([^ )]+)"")
    )
  &amp; "" }"",
  IF(
    REGEXMATCH($C1, ""^First\(&lt;""),
    VLOOKUP(REGEXEXTRACT($C1, ""\(([^)]+)\)""), 'First Set Macro"&amp;"A'!B:D, 3, FALSE),
    IF(
      REGEXMATCH($C1, ""^Follow\(&lt;""),
      VLOOKUP(REGEXEXTRACT($C1, ""\(([^)]+)\)""), 'Follow Set Macros'!B:D, 3, FALSE),
      ""{ "" &amp; REGEXEXTRACT($C1, ""\(([^)]+)\)"") &amp; "" }""
    )
  )
)
"),"#REF!")</f>
        <v>#REF!</v>
      </c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</row>
    <row r="2">
      <c r="A2" s="661">
        <f t="shared" si="1"/>
        <v>2</v>
      </c>
      <c r="B2" s="662" t="str">
        <f t="shared" si="2"/>
        <v>#REF!</v>
      </c>
      <c r="C2" s="662" t="str">
        <f>IFERROR(__xludf.DUMMYFUNCTION("IF(
  REGEXMATCH(B2, ""^First\(λ - λ\) ∪ Follow\(""),
  ""Follow("" &amp; REGEXEXTRACT(B2, ""Follow\(([^)]+)\)"") &amp; "") ="",
  IF(
    OR(
      REGEXMATCH(B2, ""^First\([^&lt;]""),
      REGEXMATCH(B2, ""^First\(&lt;[^A-Za-z_]"")
    ),
    """",
    IF(
      CFG"&amp;"!D2=""λ"",
      ""Follow("" &amp; CFG!B2 &amp; "") ="",
      ""First("" &amp; CFG!D2 &amp; "") =""
    )
  )
)
"),"#REF!")</f>
        <v>#REF!</v>
      </c>
      <c r="D2" s="663" t="str">
        <f>IFERROR(__xludf.DUMMYFUNCTION("IF(
  $C2="""",
  ""{ "" &amp;
    IF(
      REGEXMATCH(B2, ""^First\(\)""),
      "")"",
      REGEXEXTRACT(B2, ""^First\(([^ )]+)"")
    )
  &amp; "" }"",
  IF(
    REGEXMATCH($C2, ""^First\(&lt;""),
    VLOOKUP(REGEXEXTRACT($C2, ""\(([^)]+)\)""), 'First Set Macro"&amp;"A'!B:D, 3, FALSE),
    IF(
      REGEXMATCH($C2, ""^Follow\(&lt;""),
      VLOOKUP(REGEXEXTRACT($C2, ""\(([^)]+)\)""), 'Follow Set Macros'!B:D, 3, FALSE),
      ""{ "" &amp; REGEXEXTRACT($C2, ""\(([^)]+)\)"") &amp; "" }""
    )
  )
)
"),"#REF!")</f>
        <v>#REF!</v>
      </c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</row>
    <row r="3">
      <c r="A3" s="661">
        <f t="shared" si="1"/>
        <v>3</v>
      </c>
      <c r="B3" s="662" t="str">
        <f t="shared" si="2"/>
        <v>#REF!</v>
      </c>
      <c r="C3" s="662" t="str">
        <f>IFERROR(__xludf.DUMMYFUNCTION("IF(
  REGEXMATCH(B3, ""^First\(λ - λ\) ∪ Follow\(""),
  ""Follow("" &amp; REGEXEXTRACT(B3, ""Follow\(([^)]+)\)"") &amp; "") ="",
  IF(
    OR(
      REGEXMATCH(B3, ""^First\([^&lt;]""),
      REGEXMATCH(B3, ""^First\(&lt;[^A-Za-z_]"")
    ),
    """",
    IF(
      CFG"&amp;"!D3=""λ"",
      ""Follow("" &amp; CFG!B3 &amp; "") ="",
      ""First("" &amp; CFG!D3 &amp; "") =""
    )
  )
)
"),"#REF!")</f>
        <v>#REF!</v>
      </c>
      <c r="D3" s="663" t="str">
        <f>IFERROR(__xludf.DUMMYFUNCTION("IF(
  $C3="""",
  ""{ "" &amp;
    IF(
      REGEXMATCH(B3, ""^First\(\)""),
      "")"",
      REGEXEXTRACT(B3, ""^First\(([^ )]+)"")
    )
  &amp; "" }"",
  IF(
    REGEXMATCH($C3, ""^First\(&lt;""),
    VLOOKUP(REGEXEXTRACT($C3, ""\(([^)]+)\)""), 'First Set Macro"&amp;"A'!B:D, 3, FALSE),
    IF(
      REGEXMATCH($C3, ""^Follow\(&lt;""),
      VLOOKUP(REGEXEXTRACT($C3, ""\(([^)]+)\)""), 'Follow Set Macros'!B:D, 3, FALSE),
      ""{ "" &amp; REGEXEXTRACT($C3, ""\(([^)]+)\)"") &amp; "" }""
    )
  )
)
"),"#REF!")</f>
        <v>#REF!</v>
      </c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/>
      <c r="U3" s="664"/>
      <c r="V3" s="664"/>
      <c r="W3" s="664"/>
      <c r="X3" s="664"/>
    </row>
    <row r="4">
      <c r="A4" s="661">
        <f t="shared" si="1"/>
        <v>4</v>
      </c>
      <c r="B4" s="662" t="str">
        <f t="shared" si="2"/>
        <v>#REF!</v>
      </c>
      <c r="C4" s="662" t="str">
        <f>IFERROR(__xludf.DUMMYFUNCTION("IF(
  REGEXMATCH(B4, ""^First\(λ - λ\) ∪ Follow\(""),
  ""Follow("" &amp; REGEXEXTRACT(B4, ""Follow\(([^)]+)\)"") &amp; "") ="",
  IF(
    OR(
      REGEXMATCH(B4, ""^First\([^&lt;]""),
      REGEXMATCH(B4, ""^First\(&lt;[^A-Za-z_]"")
    ),
    """",
    IF(
      CFG"&amp;"!D4=""λ"",
      ""Follow("" &amp; CFG!B4 &amp; "") ="",
      ""First("" &amp; CFG!D4 &amp; "") =""
    )
  )
)
"),"#REF!")</f>
        <v>#REF!</v>
      </c>
      <c r="D4" s="663" t="str">
        <f>IFERROR(__xludf.DUMMYFUNCTION("IF(
  $C4="""",
  ""{ "" &amp;
    IF(
      REGEXMATCH(B4, ""^First\(\)""),
      "")"",
      REGEXEXTRACT(B4, ""^First\(([^ )]+)"")
    )
  &amp; "" }"",
  IF(
    REGEXMATCH($C4, ""^First\(&lt;""),
    VLOOKUP(REGEXEXTRACT($C4, ""\(([^)]+)\)""), 'First Set Macro"&amp;"A'!B:D, 3, FALSE),
    IF(
      REGEXMATCH($C4, ""^Follow\(&lt;""),
      VLOOKUP(REGEXEXTRACT($C4, ""\(([^)]+)\)""), 'Follow Set Macros'!B:D, 3, FALSE),
      ""{ "" &amp; REGEXEXTRACT($C4, ""\(([^)]+)\)"") &amp; "" }""
    )
  )
)
"),"#REF!")</f>
        <v>#REF!</v>
      </c>
      <c r="E4" s="664"/>
      <c r="F4" s="664"/>
      <c r="G4" s="664"/>
      <c r="H4" s="664"/>
      <c r="I4" s="664"/>
      <c r="J4" s="664"/>
      <c r="K4" s="664"/>
      <c r="L4" s="664"/>
      <c r="M4" s="664"/>
      <c r="N4" s="664"/>
      <c r="O4" s="664"/>
      <c r="P4" s="664"/>
      <c r="Q4" s="664"/>
      <c r="R4" s="664"/>
      <c r="S4" s="664"/>
      <c r="T4" s="664"/>
      <c r="U4" s="664"/>
      <c r="V4" s="664"/>
      <c r="W4" s="664"/>
      <c r="X4" s="664"/>
    </row>
    <row r="5">
      <c r="A5" s="661">
        <f t="shared" si="1"/>
        <v>5</v>
      </c>
      <c r="B5" s="662" t="str">
        <f t="shared" si="2"/>
        <v>#REF!</v>
      </c>
      <c r="C5" s="662" t="str">
        <f>IFERROR(__xludf.DUMMYFUNCTION("IF(
  REGEXMATCH(B5, ""^First\(λ - λ\) ∪ Follow\(""),
  ""Follow("" &amp; REGEXEXTRACT(B5, ""Follow\(([^)]+)\)"") &amp; "") ="",
  IF(
    OR(
      REGEXMATCH(B5, ""^First\([^&lt;]""),
      REGEXMATCH(B5, ""^First\(&lt;[^A-Za-z_]"")
    ),
    """",
    IF(
      CFG"&amp;"!D5=""λ"",
      ""Follow("" &amp; CFG!B5 &amp; "") ="",
      ""First("" &amp; CFG!D5 &amp; "") =""
    )
  )
)
"),"#REF!")</f>
        <v>#REF!</v>
      </c>
      <c r="D5" s="663" t="str">
        <f>IFERROR(__xludf.DUMMYFUNCTION("IF(
  $C5="""",
  ""{ "" &amp;
    IF(
      REGEXMATCH(B5, ""^First\(\)""),
      "")"",
      REGEXEXTRACT(B5, ""^First\(([^ )]+)"")
    )
  &amp; "" }"",
  IF(
    REGEXMATCH($C5, ""^First\(&lt;""),
    VLOOKUP(REGEXEXTRACT($C5, ""\(([^)]+)\)""), 'First Set Macro"&amp;"A'!B:D, 3, FALSE),
    IF(
      REGEXMATCH($C5, ""^Follow\(&lt;""),
      VLOOKUP(REGEXEXTRACT($C5, ""\(([^)]+)\)""), 'Follow Set Macros'!B:D, 3, FALSE),
      ""{ "" &amp; REGEXEXTRACT($C5, ""\(([^)]+)\)"") &amp; "" }""
    )
  )
)
"),"#REF!")</f>
        <v>#REF!</v>
      </c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</row>
    <row r="6">
      <c r="A6" s="661">
        <f t="shared" si="1"/>
        <v>6</v>
      </c>
      <c r="B6" s="662" t="str">
        <f t="shared" si="2"/>
        <v>#REF!</v>
      </c>
      <c r="C6" s="662" t="str">
        <f>IFERROR(__xludf.DUMMYFUNCTION("IF(
  REGEXMATCH(B6, ""^First\(λ - λ\) ∪ Follow\(""),
  ""Follow("" &amp; REGEXEXTRACT(B6, ""Follow\(([^)]+)\)"") &amp; "") ="",
  IF(
    OR(
      REGEXMATCH(B6, ""^First\([^&lt;]""),
      REGEXMATCH(B6, ""^First\(&lt;[^A-Za-z_]"")
    ),
    """",
    IF(
      CFG"&amp;"!D6=""λ"",
      ""Follow("" &amp; CFG!B6 &amp; "") ="",
      ""First("" &amp; CFG!D6 &amp; "") =""
    )
  )
)
"),"#REF!")</f>
        <v>#REF!</v>
      </c>
      <c r="D6" s="663" t="str">
        <f>IFERROR(__xludf.DUMMYFUNCTION("IF(
  $C6="""",
  ""{ "" &amp;
    IF(
      REGEXMATCH(B6, ""^First\(\)""),
      "")"",
      REGEXEXTRACT(B6, ""^First\(([^ )]+)"")
    )
  &amp; "" }"",
  IF(
    REGEXMATCH($C6, ""^First\(&lt;""),
    VLOOKUP(REGEXEXTRACT($C6, ""\(([^)]+)\)""), 'First Set Macro"&amp;"A'!B:D, 3, FALSE),
    IF(
      REGEXMATCH($C6, ""^Follow\(&lt;""),
      VLOOKUP(REGEXEXTRACT($C6, ""\(([^)]+)\)""), 'Follow Set Macros'!B:D, 3, FALSE),
      ""{ "" &amp; REGEXEXTRACT($C6, ""\(([^)]+)\)"") &amp; "" }""
    )
  )
)
"),"#REF!")</f>
        <v>#REF!</v>
      </c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</row>
    <row r="7">
      <c r="A7" s="661">
        <f t="shared" si="1"/>
        <v>7</v>
      </c>
      <c r="B7" s="662" t="str">
        <f t="shared" si="2"/>
        <v>#REF!</v>
      </c>
      <c r="C7" s="662" t="str">
        <f>IFERROR(__xludf.DUMMYFUNCTION("IF(
  REGEXMATCH(B7, ""^First\(λ - λ\) ∪ Follow\(""),
  ""Follow("" &amp; REGEXEXTRACT(B7, ""Follow\(([^)]+)\)"") &amp; "") ="",
  IF(
    OR(
      REGEXMATCH(B7, ""^First\([^&lt;]""),
      REGEXMATCH(B7, ""^First\(&lt;[^A-Za-z_]"")
    ),
    """",
    IF(
      CFG"&amp;"!D7=""λ"",
      ""Follow("" &amp; CFG!B7 &amp; "") ="",
      ""First("" &amp; CFG!D7 &amp; "") =""
    )
  )
)
"),"#REF!")</f>
        <v>#REF!</v>
      </c>
      <c r="D7" s="663" t="str">
        <f>IFERROR(__xludf.DUMMYFUNCTION("IF(
  $C7="""",
  ""{ "" &amp;
    IF(
      REGEXMATCH(B7, ""^First\(\)""),
      "")"",
      REGEXEXTRACT(B7, ""^First\(([^ )]+)"")
    )
  &amp; "" }"",
  IF(
    REGEXMATCH($C7, ""^First\(&lt;""),
    VLOOKUP(REGEXEXTRACT($C7, ""\(([^)]+)\)""), 'First Set Macro"&amp;"A'!B:D, 3, FALSE),
    IF(
      REGEXMATCH($C7, ""^Follow\(&lt;""),
      VLOOKUP(REGEXEXTRACT($C7, ""\(([^)]+)\)""), 'Follow Set Macros'!B:D, 3, FALSE),
      ""{ "" &amp; REGEXEXTRACT($C7, ""\(([^)]+)\)"") &amp; "" }""
    )
  )
)
"),"#REF!")</f>
        <v>#REF!</v>
      </c>
      <c r="E7" s="664"/>
      <c r="F7" s="664"/>
      <c r="G7" s="664"/>
      <c r="H7" s="664"/>
      <c r="I7" s="664"/>
      <c r="J7" s="664"/>
      <c r="K7" s="664"/>
      <c r="L7" s="664"/>
      <c r="M7" s="664"/>
      <c r="N7" s="664"/>
      <c r="O7" s="664"/>
      <c r="P7" s="664"/>
      <c r="Q7" s="664"/>
      <c r="R7" s="664"/>
      <c r="S7" s="664"/>
      <c r="T7" s="664"/>
      <c r="U7" s="664"/>
      <c r="V7" s="664"/>
      <c r="W7" s="664"/>
      <c r="X7" s="664"/>
    </row>
    <row r="8">
      <c r="A8" s="661">
        <f t="shared" si="1"/>
        <v>8</v>
      </c>
      <c r="B8" s="662" t="str">
        <f t="shared" si="2"/>
        <v>#REF!</v>
      </c>
      <c r="C8" s="662" t="str">
        <f>IFERROR(__xludf.DUMMYFUNCTION("IF(
  REGEXMATCH(B8, ""^First\(λ - λ\) ∪ Follow\(""),
  ""Follow("" &amp; REGEXEXTRACT(B8, ""Follow\(([^)]+)\)"") &amp; "") ="",
  IF(
    OR(
      REGEXMATCH(B8, ""^First\([^&lt;]""),
      REGEXMATCH(B8, ""^First\(&lt;[^A-Za-z_]"")
    ),
    """",
    IF(
      CFG"&amp;"!D8=""λ"",
      ""Follow("" &amp; CFG!B8 &amp; "") ="",
      ""First("" &amp; CFG!D8 &amp; "") =""
    )
  )
)
"),"#REF!")</f>
        <v>#REF!</v>
      </c>
      <c r="D8" s="663" t="str">
        <f>IFERROR(__xludf.DUMMYFUNCTION("IF(
  $C8="""",
  ""{ "" &amp;
    IF(
      REGEXMATCH(B8, ""^First\(\)""),
      "")"",
      REGEXEXTRACT(B8, ""^First\(([^ )]+)"")
    )
  &amp; "" }"",
  IF(
    REGEXMATCH($C8, ""^First\(&lt;""),
    VLOOKUP(REGEXEXTRACT($C8, ""\(([^)]+)\)""), 'First Set Macro"&amp;"A'!B:D, 3, FALSE),
    IF(
      REGEXMATCH($C8, ""^Follow\(&lt;""),
      VLOOKUP(REGEXEXTRACT($C8, ""\(([^)]+)\)""), 'Follow Set Macros'!B:D, 3, FALSE),
      ""{ "" &amp; REGEXEXTRACT($C8, ""\(([^)]+)\)"") &amp; "" }""
    )
  )
)
"),"#REF!")</f>
        <v>#REF!</v>
      </c>
      <c r="E8" s="664"/>
      <c r="F8" s="664"/>
      <c r="G8" s="664"/>
      <c r="H8" s="664"/>
      <c r="I8" s="664"/>
      <c r="J8" s="664"/>
      <c r="K8" s="664"/>
      <c r="L8" s="664"/>
      <c r="M8" s="664"/>
      <c r="N8" s="664"/>
      <c r="O8" s="664"/>
      <c r="P8" s="664"/>
      <c r="Q8" s="664"/>
      <c r="R8" s="664"/>
      <c r="S8" s="664"/>
      <c r="T8" s="664"/>
      <c r="U8" s="664"/>
      <c r="V8" s="664"/>
      <c r="W8" s="664"/>
      <c r="X8" s="664"/>
    </row>
    <row r="9">
      <c r="A9" s="661">
        <f t="shared" si="1"/>
        <v>9</v>
      </c>
      <c r="B9" s="662" t="str">
        <f t="shared" si="2"/>
        <v>#REF!</v>
      </c>
      <c r="C9" s="662" t="str">
        <f>IFERROR(__xludf.DUMMYFUNCTION("IF(
  REGEXMATCH(B9, ""^First\(λ - λ\) ∪ Follow\(""),
  ""Follow("" &amp; REGEXEXTRACT(B9, ""Follow\(([^)]+)\)"") &amp; "") ="",
  IF(
    OR(
      REGEXMATCH(B9, ""^First\([^&lt;]""),
      REGEXMATCH(B9, ""^First\(&lt;[^A-Za-z_]"")
    ),
    """",
    IF(
      CFG"&amp;"!D9=""λ"",
      ""Follow("" &amp; CFG!B9 &amp; "") ="",
      ""First("" &amp; CFG!D9 &amp; "") =""
    )
  )
)
"),"#REF!")</f>
        <v>#REF!</v>
      </c>
      <c r="D9" s="663" t="str">
        <f>IFERROR(__xludf.DUMMYFUNCTION("IF(
  $C9="""",
  ""{ "" &amp;
    IF(
      REGEXMATCH(B9, ""^First\(\)""),
      "")"",
      REGEXEXTRACT(B9, ""^First\(([^ )]+)"")
    )
  &amp; "" }"",
  IF(
    REGEXMATCH($C9, ""^First\(&lt;""),
    VLOOKUP(REGEXEXTRACT($C9, ""\(([^)]+)\)""), 'First Set Macro"&amp;"A'!B:D, 3, FALSE),
    IF(
      REGEXMATCH($C9, ""^Follow\(&lt;""),
      VLOOKUP(REGEXEXTRACT($C9, ""\(([^)]+)\)""), 'Follow Set Macros'!B:D, 3, FALSE),
      ""{ "" &amp; REGEXEXTRACT($C9, ""\(([^)]+)\)"") &amp; "" }""
    )
  )
)
"),"#REF!")</f>
        <v>#REF!</v>
      </c>
      <c r="E9" s="664"/>
      <c r="F9" s="664"/>
      <c r="G9" s="664"/>
      <c r="H9" s="664"/>
      <c r="I9" s="664"/>
      <c r="J9" s="664"/>
      <c r="K9" s="664"/>
      <c r="L9" s="664"/>
      <c r="M9" s="664"/>
      <c r="N9" s="664"/>
      <c r="O9" s="664"/>
      <c r="P9" s="664"/>
      <c r="Q9" s="664"/>
      <c r="R9" s="664"/>
      <c r="S9" s="664"/>
      <c r="T9" s="664"/>
      <c r="U9" s="664"/>
      <c r="V9" s="664"/>
      <c r="W9" s="664"/>
      <c r="X9" s="664"/>
    </row>
    <row r="10">
      <c r="A10" s="661">
        <f t="shared" si="1"/>
        <v>10</v>
      </c>
      <c r="B10" s="662" t="str">
        <f t="shared" si="2"/>
        <v>#REF!</v>
      </c>
      <c r="C10" s="662" t="str">
        <f>IFERROR(__xludf.DUMMYFUNCTION("IF(
  REGEXMATCH(B10, ""^First\(λ - λ\) ∪ Follow\(""),
  ""Follow("" &amp; REGEXEXTRACT(B10, ""Follow\(([^)]+)\)"") &amp; "") ="",
  IF(
    OR(
      REGEXMATCH(B10, ""^First\([^&lt;]""),
      REGEXMATCH(B10, ""^First\(&lt;[^A-Za-z_]"")
    ),
    """",
    IF(
     "&amp;" CFG!D10=""λ"",
      ""Follow("" &amp; CFG!B10 &amp; "") ="",
      ""First("" &amp; CFG!D10 &amp; "") =""
    )
  )
)
"),"#REF!")</f>
        <v>#REF!</v>
      </c>
      <c r="D10" s="663" t="str">
        <f>IFERROR(__xludf.DUMMYFUNCTION("IF(
  $C10="""",
  ""{ "" &amp;
    IF(
      REGEXMATCH(B10, ""^First\(\)""),
      "")"",
      REGEXEXTRACT(B10, ""^First\(([^ )]+)"")
    )
  &amp; "" }"",
  IF(
    REGEXMATCH($C10, ""^First\(&lt;""),
    VLOOKUP(REGEXEXTRACT($C10, ""\(([^)]+)\)""), 'First Set "&amp;"MacroA'!B:D, 3, FALSE),
    IF(
      REGEXMATCH($C10, ""^Follow\(&lt;""),
      VLOOKUP(REGEXEXTRACT($C10, ""\(([^)]+)\)""), 'Follow Set Macros'!B:D, 3, FALSE),
      ""{ "" &amp; REGEXEXTRACT($C10, ""\(([^)]+)\)"") &amp; "" }""
    )
  )
)
"),"#REF!")</f>
        <v>#REF!</v>
      </c>
      <c r="E10" s="664"/>
      <c r="F10" s="664"/>
      <c r="G10" s="664"/>
      <c r="H10" s="664"/>
      <c r="I10" s="664"/>
      <c r="J10" s="664"/>
      <c r="K10" s="664"/>
      <c r="L10" s="664"/>
      <c r="M10" s="664"/>
      <c r="N10" s="664"/>
      <c r="O10" s="664"/>
      <c r="P10" s="664"/>
      <c r="Q10" s="664"/>
      <c r="R10" s="664"/>
      <c r="S10" s="664"/>
      <c r="T10" s="664"/>
      <c r="U10" s="664"/>
      <c r="V10" s="664"/>
      <c r="W10" s="664"/>
      <c r="X10" s="664"/>
    </row>
    <row r="11">
      <c r="A11" s="661">
        <f t="shared" si="1"/>
        <v>11</v>
      </c>
      <c r="B11" s="662" t="str">
        <f t="shared" si="2"/>
        <v>#REF!</v>
      </c>
      <c r="C11" s="662" t="str">
        <f>IFERROR(__xludf.DUMMYFUNCTION("IF(
  REGEXMATCH(B11, ""^First\(λ - λ\) ∪ Follow\(""),
  ""Follow("" &amp; REGEXEXTRACT(B11, ""Follow\(([^)]+)\)"") &amp; "") ="",
  IF(
    OR(
      REGEXMATCH(B11, ""^First\([^&lt;]""),
      REGEXMATCH(B11, ""^First\(&lt;[^A-Za-z_]"")
    ),
    """",
    IF(
     "&amp;" CFG!D11=""λ"",
      ""Follow("" &amp; CFG!B11 &amp; "") ="",
      ""First("" &amp; CFG!D11 &amp; "") =""
    )
  )
)
"),"#REF!")</f>
        <v>#REF!</v>
      </c>
      <c r="D11" s="663" t="str">
        <f>IFERROR(__xludf.DUMMYFUNCTION("IF(
  $C11="""",
  ""{ "" &amp;
    IF(
      REGEXMATCH(B11, ""^First\(\)""),
      "")"",
      REGEXEXTRACT(B11, ""^First\(([^ )]+)"")
    )
  &amp; "" }"",
  IF(
    REGEXMATCH($C11, ""^First\(&lt;""),
    VLOOKUP(REGEXEXTRACT($C11, ""\(([^)]+)\)""), 'First Set "&amp;"MacroA'!B:D, 3, FALSE),
    IF(
      REGEXMATCH($C11, ""^Follow\(&lt;""),
      VLOOKUP(REGEXEXTRACT($C11, ""\(([^)]+)\)""), 'Follow Set Macros'!B:D, 3, FALSE),
      ""{ "" &amp; REGEXEXTRACT($C11, ""\(([^)]+)\)"") &amp; "" }""
    )
  )
)
"),"#REF!")</f>
        <v>#REF!</v>
      </c>
      <c r="E11" s="664"/>
      <c r="F11" s="664"/>
      <c r="G11" s="664"/>
      <c r="H11" s="664"/>
      <c r="I11" s="664"/>
      <c r="J11" s="664"/>
      <c r="K11" s="664"/>
      <c r="L11" s="664"/>
      <c r="M11" s="664"/>
      <c r="N11" s="664"/>
      <c r="O11" s="664"/>
      <c r="P11" s="664"/>
      <c r="Q11" s="664"/>
      <c r="R11" s="664"/>
      <c r="S11" s="664"/>
      <c r="T11" s="664"/>
      <c r="U11" s="664"/>
      <c r="V11" s="664"/>
      <c r="W11" s="664"/>
      <c r="X11" s="664"/>
    </row>
    <row r="12">
      <c r="A12" s="661">
        <f t="shared" si="1"/>
        <v>12</v>
      </c>
      <c r="B12" s="662" t="str">
        <f t="shared" si="2"/>
        <v>#REF!</v>
      </c>
      <c r="C12" s="662" t="str">
        <f>IFERROR(__xludf.DUMMYFUNCTION("IF(
  REGEXMATCH(B12, ""^First\(λ - λ\) ∪ Follow\(""),
  ""Follow("" &amp; REGEXEXTRACT(B12, ""Follow\(([^)]+)\)"") &amp; "") ="",
  IF(
    OR(
      REGEXMATCH(B12, ""^First\([^&lt;]""),
      REGEXMATCH(B12, ""^First\(&lt;[^A-Za-z_]"")
    ),
    """",
    IF(
     "&amp;" CFG!D12=""λ"",
      ""Follow("" &amp; CFG!B12 &amp; "") ="",
      ""First("" &amp; CFG!D12 &amp; "") =""
    )
  )
)
"),"#REF!")</f>
        <v>#REF!</v>
      </c>
      <c r="D12" s="663" t="str">
        <f>IFERROR(__xludf.DUMMYFUNCTION("IF(
  $C12="""",
  ""{ "" &amp;
    IF(
      REGEXMATCH(B12, ""^First\(\)""),
      "")"",
      REGEXEXTRACT(B12, ""^First\(([^ )]+)"")
    )
  &amp; "" }"",
  IF(
    REGEXMATCH($C12, ""^First\(&lt;""),
    VLOOKUP(REGEXEXTRACT($C12, ""\(([^)]+)\)""), 'First Set "&amp;"MacroA'!B:D, 3, FALSE),
    IF(
      REGEXMATCH($C12, ""^Follow\(&lt;""),
      VLOOKUP(REGEXEXTRACT($C12, ""\(([^)]+)\)""), 'Follow Set Macros'!B:D, 3, FALSE),
      ""{ "" &amp; REGEXEXTRACT($C12, ""\(([^)]+)\)"") &amp; "" }""
    )
  )
)
"),"#REF!")</f>
        <v>#REF!</v>
      </c>
      <c r="E12" s="664"/>
      <c r="F12" s="664"/>
      <c r="G12" s="664"/>
      <c r="H12" s="664"/>
      <c r="I12" s="664"/>
      <c r="J12" s="664"/>
      <c r="K12" s="664"/>
      <c r="L12" s="664"/>
      <c r="M12" s="664"/>
      <c r="N12" s="664"/>
      <c r="O12" s="664"/>
      <c r="P12" s="664"/>
      <c r="Q12" s="664"/>
      <c r="R12" s="664"/>
      <c r="S12" s="664"/>
      <c r="T12" s="664"/>
      <c r="U12" s="664"/>
      <c r="V12" s="664"/>
      <c r="W12" s="664"/>
      <c r="X12" s="664"/>
    </row>
    <row r="13">
      <c r="A13" s="661">
        <f t="shared" si="1"/>
        <v>13</v>
      </c>
      <c r="B13" s="662" t="str">
        <f t="shared" si="2"/>
        <v>#REF!</v>
      </c>
      <c r="C13" s="662" t="str">
        <f>IFERROR(__xludf.DUMMYFUNCTION("IF(
  REGEXMATCH(B13, ""^First\(λ - λ\) ∪ Follow\(""),
  ""Follow("" &amp; REGEXEXTRACT(B13, ""Follow\(([^)]+)\)"") &amp; "") ="",
  IF(
    OR(
      REGEXMATCH(B13, ""^First\([^&lt;]""),
      REGEXMATCH(B13, ""^First\(&lt;[^A-Za-z_]"")
    ),
    """",
    IF(
     "&amp;" CFG!D13=""λ"",
      ""Follow("" &amp; CFG!B13 &amp; "") ="",
      ""First("" &amp; CFG!D13 &amp; "") =""
    )
  )
)
"),"#REF!")</f>
        <v>#REF!</v>
      </c>
      <c r="D13" s="663" t="str">
        <f>IFERROR(__xludf.DUMMYFUNCTION("IF(
  $C13="""",
  ""{ "" &amp;
    IF(
      REGEXMATCH(B13, ""^First\(\)""),
      "")"",
      REGEXEXTRACT(B13, ""^First\(([^ )]+)"")
    )
  &amp; "" }"",
  IF(
    REGEXMATCH($C13, ""^First\(&lt;""),
    VLOOKUP(REGEXEXTRACT($C13, ""\(([^)]+)\)""), 'First Set "&amp;"MacroA'!B:D, 3, FALSE),
    IF(
      REGEXMATCH($C13, ""^Follow\(&lt;""),
      VLOOKUP(REGEXEXTRACT($C13, ""\(([^)]+)\)""), 'Follow Set Macros'!B:D, 3, FALSE),
      ""{ "" &amp; REGEXEXTRACT($C13, ""\(([^)]+)\)"") &amp; "" }""
    )
  )
)
"),"#REF!")</f>
        <v>#REF!</v>
      </c>
      <c r="E13" s="664"/>
      <c r="F13" s="664"/>
      <c r="G13" s="664"/>
      <c r="H13" s="664"/>
      <c r="I13" s="664"/>
      <c r="J13" s="664"/>
      <c r="K13" s="664"/>
      <c r="L13" s="664"/>
      <c r="M13" s="664"/>
      <c r="N13" s="664"/>
      <c r="O13" s="664"/>
      <c r="P13" s="664"/>
      <c r="Q13" s="664"/>
      <c r="R13" s="664"/>
      <c r="S13" s="664"/>
      <c r="T13" s="664"/>
      <c r="U13" s="664"/>
      <c r="V13" s="664"/>
      <c r="W13" s="664"/>
      <c r="X13" s="664"/>
    </row>
    <row r="14">
      <c r="A14" s="661">
        <f t="shared" si="1"/>
        <v>14</v>
      </c>
      <c r="B14" s="662" t="str">
        <f t="shared" si="2"/>
        <v>#REF!</v>
      </c>
      <c r="C14" s="662" t="str">
        <f>IFERROR(__xludf.DUMMYFUNCTION("IF(
  REGEXMATCH(B14, ""^First\(λ - λ\) ∪ Follow\(""),
  ""Follow("" &amp; REGEXEXTRACT(B14, ""Follow\(([^)]+)\)"") &amp; "") ="",
  IF(
    OR(
      REGEXMATCH(B14, ""^First\([^&lt;]""),
      REGEXMATCH(B14, ""^First\(&lt;[^A-Za-z_]"")
    ),
    """",
    IF(
     "&amp;" CFG!D14=""λ"",
      ""Follow("" &amp; CFG!B14 &amp; "") ="",
      ""First("" &amp; CFG!D14 &amp; "") =""
    )
  )
)
"),"#REF!")</f>
        <v>#REF!</v>
      </c>
      <c r="D14" s="663" t="str">
        <f>IFERROR(__xludf.DUMMYFUNCTION("IF(
  $C14="""",
  ""{ "" &amp;
    IF(
      REGEXMATCH(B14, ""^First\(\)""),
      "")"",
      REGEXEXTRACT(B14, ""^First\(([^ )]+)"")
    )
  &amp; "" }"",
  IF(
    REGEXMATCH($C14, ""^First\(&lt;""),
    VLOOKUP(REGEXEXTRACT($C14, ""\(([^)]+)\)""), 'First Set "&amp;"MacroA'!B:D, 3, FALSE),
    IF(
      REGEXMATCH($C14, ""^Follow\(&lt;""),
      VLOOKUP(REGEXEXTRACT($C14, ""\(([^)]+)\)""), 'Follow Set Macros'!B:D, 3, FALSE),
      ""{ "" &amp; REGEXEXTRACT($C14, ""\(([^)]+)\)"") &amp; "" }""
    )
  )
)
"),"#REF!")</f>
        <v>#REF!</v>
      </c>
      <c r="E14" s="664"/>
      <c r="F14" s="664"/>
      <c r="G14" s="664"/>
      <c r="H14" s="664"/>
      <c r="I14" s="664"/>
      <c r="J14" s="664"/>
      <c r="K14" s="664"/>
      <c r="L14" s="664"/>
      <c r="M14" s="664"/>
      <c r="N14" s="664"/>
      <c r="O14" s="664"/>
      <c r="P14" s="664"/>
      <c r="Q14" s="664"/>
      <c r="R14" s="664"/>
      <c r="S14" s="664"/>
      <c r="T14" s="664"/>
      <c r="U14" s="664"/>
      <c r="V14" s="664"/>
      <c r="W14" s="664"/>
      <c r="X14" s="664"/>
    </row>
    <row r="15">
      <c r="A15" s="661">
        <f t="shared" si="1"/>
        <v>15</v>
      </c>
      <c r="B15" s="662" t="str">
        <f t="shared" si="2"/>
        <v>#REF!</v>
      </c>
      <c r="C15" s="662" t="str">
        <f>IFERROR(__xludf.DUMMYFUNCTION("IF(
  REGEXMATCH(B15, ""^First\(λ - λ\) ∪ Follow\(""),
  ""Follow("" &amp; REGEXEXTRACT(B15, ""Follow\(([^)]+)\)"") &amp; "") ="",
  IF(
    OR(
      REGEXMATCH(B15, ""^First\([^&lt;]""),
      REGEXMATCH(B15, ""^First\(&lt;[^A-Za-z_]"")
    ),
    """",
    IF(
     "&amp;" CFG!D15=""λ"",
      ""Follow("" &amp; CFG!B15 &amp; "") ="",
      ""First("" &amp; CFG!D15 &amp; "") =""
    )
  )
)
"),"#REF!")</f>
        <v>#REF!</v>
      </c>
      <c r="D15" s="663" t="str">
        <f>IFERROR(__xludf.DUMMYFUNCTION("IF(
  $C15="""",
  ""{ "" &amp;
    IF(
      REGEXMATCH(B15, ""^First\(\)""),
      "")"",
      REGEXEXTRACT(B15, ""^First\(([^ )]+)"")
    )
  &amp; "" }"",
  IF(
    REGEXMATCH($C15, ""^First\(&lt;""),
    VLOOKUP(REGEXEXTRACT($C15, ""\(([^)]+)\)""), 'First Set "&amp;"MacroA'!B:D, 3, FALSE),
    IF(
      REGEXMATCH($C15, ""^Follow\(&lt;""),
      VLOOKUP(REGEXEXTRACT($C15, ""\(([^)]+)\)""), 'Follow Set Macros'!B:D, 3, FALSE),
      ""{ "" &amp; REGEXEXTRACT($C15, ""\(([^)]+)\)"") &amp; "" }""
    )
  )
)
"),"#REF!")</f>
        <v>#REF!</v>
      </c>
      <c r="E15" s="664"/>
      <c r="F15" s="664"/>
      <c r="G15" s="664"/>
      <c r="H15" s="664"/>
      <c r="I15" s="664"/>
      <c r="J15" s="664"/>
      <c r="K15" s="664"/>
      <c r="L15" s="664"/>
      <c r="M15" s="664"/>
      <c r="N15" s="664"/>
      <c r="O15" s="664"/>
      <c r="P15" s="664"/>
      <c r="Q15" s="664"/>
      <c r="R15" s="664"/>
      <c r="S15" s="664"/>
      <c r="T15" s="664"/>
      <c r="U15" s="664"/>
      <c r="V15" s="664"/>
      <c r="W15" s="664"/>
      <c r="X15" s="664"/>
    </row>
    <row r="16">
      <c r="A16" s="661">
        <f t="shared" si="1"/>
        <v>16</v>
      </c>
      <c r="B16" s="662" t="str">
        <f t="shared" si="2"/>
        <v>#REF!</v>
      </c>
      <c r="C16" s="662" t="str">
        <f>IFERROR(__xludf.DUMMYFUNCTION("IF(
  REGEXMATCH(B16, ""^First\(λ - λ\) ∪ Follow\(""),
  ""Follow("" &amp; REGEXEXTRACT(B16, ""Follow\(([^)]+)\)"") &amp; "") ="",
  IF(
    OR(
      REGEXMATCH(B16, ""^First\([^&lt;]""),
      REGEXMATCH(B16, ""^First\(&lt;[^A-Za-z_]"")
    ),
    """",
    IF(
     "&amp;" CFG!D16=""λ"",
      ""Follow("" &amp; CFG!B16 &amp; "") ="",
      ""First("" &amp; CFG!D16 &amp; "") =""
    )
  )
)
"),"#REF!")</f>
        <v>#REF!</v>
      </c>
      <c r="D16" s="663" t="str">
        <f>IFERROR(__xludf.DUMMYFUNCTION("IF(
  $C16="""",
  ""{ "" &amp;
    IF(
      REGEXMATCH(B16, ""^First\(\)""),
      "")"",
      REGEXEXTRACT(B16, ""^First\(([^ )]+)"")
    )
  &amp; "" }"",
  IF(
    REGEXMATCH($C16, ""^First\(&lt;""),
    VLOOKUP(REGEXEXTRACT($C16, ""\(([^)]+)\)""), 'First Set "&amp;"MacroA'!B:D, 3, FALSE),
    IF(
      REGEXMATCH($C16, ""^Follow\(&lt;""),
      VLOOKUP(REGEXEXTRACT($C16, ""\(([^)]+)\)""), 'Follow Set Macros'!B:D, 3, FALSE),
      ""{ "" &amp; REGEXEXTRACT($C16, ""\(([^)]+)\)"") &amp; "" }""
    )
  )
)
"),"#REF!")</f>
        <v>#REF!</v>
      </c>
      <c r="E16" s="664"/>
      <c r="F16" s="664"/>
      <c r="G16" s="664"/>
      <c r="H16" s="664"/>
      <c r="I16" s="664"/>
      <c r="J16" s="664"/>
      <c r="K16" s="664"/>
      <c r="L16" s="664"/>
      <c r="M16" s="664"/>
      <c r="N16" s="664"/>
      <c r="O16" s="664"/>
      <c r="P16" s="664"/>
      <c r="Q16" s="664"/>
      <c r="R16" s="664"/>
      <c r="S16" s="664"/>
      <c r="T16" s="664"/>
      <c r="U16" s="664"/>
      <c r="V16" s="664"/>
      <c r="W16" s="664"/>
      <c r="X16" s="664"/>
    </row>
    <row r="17">
      <c r="A17" s="661">
        <f t="shared" si="1"/>
        <v>17</v>
      </c>
      <c r="B17" s="662" t="str">
        <f t="shared" si="2"/>
        <v>#REF!</v>
      </c>
      <c r="C17" s="662" t="str">
        <f>IFERROR(__xludf.DUMMYFUNCTION("IF(
  REGEXMATCH(B17, ""^First\(λ - λ\) ∪ Follow\(""),
  ""Follow("" &amp; REGEXEXTRACT(B17, ""Follow\(([^)]+)\)"") &amp; "") ="",
  IF(
    OR(
      REGEXMATCH(B17, ""^First\([^&lt;]""),
      REGEXMATCH(B17, ""^First\(&lt;[^A-Za-z_]"")
    ),
    """",
    IF(
     "&amp;" CFG!D17=""λ"",
      ""Follow("" &amp; CFG!B17 &amp; "") ="",
      ""First("" &amp; CFG!D17 &amp; "") =""
    )
  )
)
"),"#REF!")</f>
        <v>#REF!</v>
      </c>
      <c r="D17" s="663" t="str">
        <f>IFERROR(__xludf.DUMMYFUNCTION("IF(
  $C17="""",
  ""{ "" &amp;
    IF(
      REGEXMATCH(B17, ""^First\(\)""),
      "")"",
      REGEXEXTRACT(B17, ""^First\(([^ )]+)"")
    )
  &amp; "" }"",
  IF(
    REGEXMATCH($C17, ""^First\(&lt;""),
    VLOOKUP(REGEXEXTRACT($C17, ""\(([^)]+)\)""), 'First Set "&amp;"MacroA'!B:D, 3, FALSE),
    IF(
      REGEXMATCH($C17, ""^Follow\(&lt;""),
      VLOOKUP(REGEXEXTRACT($C17, ""\(([^)]+)\)""), 'Follow Set Macros'!B:D, 3, FALSE),
      ""{ "" &amp; REGEXEXTRACT($C17, ""\(([^)]+)\)"") &amp; "" }""
    )
  )
)
"),"#REF!")</f>
        <v>#REF!</v>
      </c>
      <c r="E17" s="664"/>
      <c r="F17" s="664"/>
      <c r="G17" s="664"/>
      <c r="H17" s="664"/>
      <c r="I17" s="664"/>
      <c r="J17" s="664"/>
      <c r="K17" s="664"/>
      <c r="L17" s="664"/>
      <c r="M17" s="664"/>
      <c r="N17" s="664"/>
      <c r="O17" s="664"/>
      <c r="P17" s="664"/>
      <c r="Q17" s="664"/>
      <c r="R17" s="664"/>
      <c r="S17" s="664"/>
      <c r="T17" s="664"/>
      <c r="U17" s="664"/>
      <c r="V17" s="664"/>
      <c r="W17" s="664"/>
      <c r="X17" s="664"/>
    </row>
    <row r="18">
      <c r="A18" s="661">
        <f t="shared" si="1"/>
        <v>18</v>
      </c>
      <c r="B18" s="662" t="str">
        <f t="shared" si="2"/>
        <v>#REF!</v>
      </c>
      <c r="C18" s="662" t="str">
        <f>IFERROR(__xludf.DUMMYFUNCTION("IF(
  REGEXMATCH(B18, ""^First\(λ - λ\) ∪ Follow\(""),
  ""Follow("" &amp; REGEXEXTRACT(B18, ""Follow\(([^)]+)\)"") &amp; "") ="",
  IF(
    OR(
      REGEXMATCH(B18, ""^First\([^&lt;]""),
      REGEXMATCH(B18, ""^First\(&lt;[^A-Za-z_]"")
    ),
    """",
    IF(
     "&amp;" CFG!D18=""λ"",
      ""Follow("" &amp; CFG!B18 &amp; "") ="",
      ""First("" &amp; CFG!D18 &amp; "") =""
    )
  )
)
"),"#REF!")</f>
        <v>#REF!</v>
      </c>
      <c r="D18" s="663" t="str">
        <f>IFERROR(__xludf.DUMMYFUNCTION("IF(
  $C18="""",
  ""{ "" &amp;
    IF(
      REGEXMATCH(B18, ""^First\(\)""),
      "")"",
      REGEXEXTRACT(B18, ""^First\(([^ )]+)"")
    )
  &amp; "" }"",
  IF(
    REGEXMATCH($C18, ""^First\(&lt;""),
    VLOOKUP(REGEXEXTRACT($C18, ""\(([^)]+)\)""), 'First Set "&amp;"MacroA'!B:D, 3, FALSE),
    IF(
      REGEXMATCH($C18, ""^Follow\(&lt;""),
      VLOOKUP(REGEXEXTRACT($C18, ""\(([^)]+)\)""), 'Follow Set Macros'!B:D, 3, FALSE),
      ""{ "" &amp; REGEXEXTRACT($C18, ""\(([^)]+)\)"") &amp; "" }""
    )
  )
)
"),"#REF!")</f>
        <v>#REF!</v>
      </c>
      <c r="E18" s="664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4"/>
      <c r="Q18" s="664"/>
      <c r="R18" s="664"/>
      <c r="S18" s="664"/>
      <c r="T18" s="664"/>
      <c r="U18" s="664"/>
      <c r="V18" s="664"/>
      <c r="W18" s="664"/>
      <c r="X18" s="664"/>
    </row>
    <row r="19">
      <c r="A19" s="661">
        <f t="shared" si="1"/>
        <v>19</v>
      </c>
      <c r="B19" s="662" t="str">
        <f t="shared" si="2"/>
        <v>#REF!</v>
      </c>
      <c r="C19" s="662" t="str">
        <f>IFERROR(__xludf.DUMMYFUNCTION("IF(
  REGEXMATCH(B19, ""^First\(λ - λ\) ∪ Follow\(""),
  ""Follow("" &amp; REGEXEXTRACT(B19, ""Follow\(([^)]+)\)"") &amp; "") ="",
  IF(
    OR(
      REGEXMATCH(B19, ""^First\([^&lt;]""),
      REGEXMATCH(B19, ""^First\(&lt;[^A-Za-z_]"")
    ),
    """",
    IF(
     "&amp;" CFG!D19=""λ"",
      ""Follow("" &amp; CFG!B19 &amp; "") ="",
      ""First("" &amp; CFG!D19 &amp; "") =""
    )
  )
)
"),"#REF!")</f>
        <v>#REF!</v>
      </c>
      <c r="D19" s="663" t="str">
        <f>IFERROR(__xludf.DUMMYFUNCTION("IF(
  $C19="""",
  ""{ "" &amp;
    IF(
      REGEXMATCH(B19, ""^First\(\)""),
      "")"",
      REGEXEXTRACT(B19, ""^First\(([^ )]+)"")
    )
  &amp; "" }"",
  IF(
    REGEXMATCH($C19, ""^First\(&lt;""),
    VLOOKUP(REGEXEXTRACT($C19, ""\(([^)]+)\)""), 'First Set "&amp;"MacroA'!B:D, 3, FALSE),
    IF(
      REGEXMATCH($C19, ""^Follow\(&lt;""),
      VLOOKUP(REGEXEXTRACT($C19, ""\(([^)]+)\)""), 'Follow Set Macros'!B:D, 3, FALSE),
      ""{ "" &amp; REGEXEXTRACT($C19, ""\(([^)]+)\)"") &amp; "" }""
    )
  )
)
"),"#REF!")</f>
        <v>#REF!</v>
      </c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</row>
    <row r="20">
      <c r="A20" s="661">
        <f t="shared" si="1"/>
        <v>20</v>
      </c>
      <c r="B20" s="662" t="str">
        <f t="shared" si="2"/>
        <v>#REF!</v>
      </c>
      <c r="C20" s="662" t="str">
        <f>IFERROR(__xludf.DUMMYFUNCTION("IF(
  REGEXMATCH(B20, ""^First\(λ - λ\) ∪ Follow\(""),
  ""Follow("" &amp; REGEXEXTRACT(B20, ""Follow\(([^)]+)\)"") &amp; "") ="",
  IF(
    OR(
      REGEXMATCH(B20, ""^First\([^&lt;]""),
      REGEXMATCH(B20, ""^First\(&lt;[^A-Za-z_]"")
    ),
    """",
    IF(
     "&amp;" CFG!D20=""λ"",
      ""Follow("" &amp; CFG!B20 &amp; "") ="",
      ""First("" &amp; CFG!D20 &amp; "") =""
    )
  )
)
"),"#REF!")</f>
        <v>#REF!</v>
      </c>
      <c r="D20" s="663" t="str">
        <f>IFERROR(__xludf.DUMMYFUNCTION("IF(
  $C20="""",
  ""{ "" &amp;
    IF(
      REGEXMATCH(B20, ""^First\(\)""),
      "")"",
      REGEXEXTRACT(B20, ""^First\(([^ )]+)"")
    )
  &amp; "" }"",
  IF(
    REGEXMATCH($C20, ""^First\(&lt;""),
    VLOOKUP(REGEXEXTRACT($C20, ""\(([^)]+)\)""), 'First Set "&amp;"MacroA'!B:D, 3, FALSE),
    IF(
      REGEXMATCH($C20, ""^Follow\(&lt;""),
      VLOOKUP(REGEXEXTRACT($C20, ""\(([^)]+)\)""), 'Follow Set Macros'!B:D, 3, FALSE),
      ""{ "" &amp; REGEXEXTRACT($C20, ""\(([^)]+)\)"") &amp; "" }""
    )
  )
)
"),"#REF!")</f>
        <v>#REF!</v>
      </c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</row>
    <row r="21">
      <c r="A21" s="661">
        <f t="shared" si="1"/>
        <v>21</v>
      </c>
      <c r="B21" s="662" t="str">
        <f t="shared" si="2"/>
        <v>#REF!</v>
      </c>
      <c r="C21" s="662" t="str">
        <f>IFERROR(__xludf.DUMMYFUNCTION("IF(
  REGEXMATCH(B21, ""^First\(λ - λ\) ∪ Follow\(""),
  ""Follow("" &amp; REGEXEXTRACT(B21, ""Follow\(([^)]+)\)"") &amp; "") ="",
  IF(
    OR(
      REGEXMATCH(B21, ""^First\([^&lt;]""),
      REGEXMATCH(B21, ""^First\(&lt;[^A-Za-z_]"")
    ),
    """",
    IF(
     "&amp;" CFG!D21=""λ"",
      ""Follow("" &amp; CFG!B21 &amp; "") ="",
      ""First("" &amp; CFG!D21 &amp; "") =""
    )
  )
)
"),"#REF!")</f>
        <v>#REF!</v>
      </c>
      <c r="D21" s="663" t="str">
        <f>IFERROR(__xludf.DUMMYFUNCTION("IF(
  $C21="""",
  ""{ "" &amp;
    IF(
      REGEXMATCH(B21, ""^First\(\)""),
      "")"",
      REGEXEXTRACT(B21, ""^First\(([^ )]+)"")
    )
  &amp; "" }"",
  IF(
    REGEXMATCH($C21, ""^First\(&lt;""),
    VLOOKUP(REGEXEXTRACT($C21, ""\(([^)]+)\)""), 'First Set "&amp;"MacroA'!B:D, 3, FALSE),
    IF(
      REGEXMATCH($C21, ""^Follow\(&lt;""),
      VLOOKUP(REGEXEXTRACT($C21, ""\(([^)]+)\)""), 'Follow Set Macros'!B:D, 3, FALSE),
      ""{ "" &amp; REGEXEXTRACT($C21, ""\(([^)]+)\)"") &amp; "" }""
    )
  )
)
"),"#REF!")</f>
        <v>#REF!</v>
      </c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</row>
    <row r="22">
      <c r="A22" s="661">
        <f t="shared" si="1"/>
        <v>22</v>
      </c>
      <c r="B22" s="662" t="str">
        <f t="shared" si="2"/>
        <v>#REF!</v>
      </c>
      <c r="C22" s="662" t="str">
        <f>IFERROR(__xludf.DUMMYFUNCTION("IF(
  REGEXMATCH(B22, ""^First\(λ - λ\) ∪ Follow\(""),
  ""Follow("" &amp; REGEXEXTRACT(B22, ""Follow\(([^)]+)\)"") &amp; "") ="",
  IF(
    OR(
      REGEXMATCH(B22, ""^First\([^&lt;]""),
      REGEXMATCH(B22, ""^First\(&lt;[^A-Za-z_]"")
    ),
    """",
    IF(
     "&amp;" CFG!D22=""λ"",
      ""Follow("" &amp; CFG!B22 &amp; "") ="",
      ""First("" &amp; CFG!D22 &amp; "") =""
    )
  )
)
"),"#REF!")</f>
        <v>#REF!</v>
      </c>
      <c r="D22" s="663" t="str">
        <f>IFERROR(__xludf.DUMMYFUNCTION("IF(
  $C22="""",
  ""{ "" &amp;
    IF(
      REGEXMATCH(B22, ""^First\(\)""),
      "")"",
      REGEXEXTRACT(B22, ""^First\(([^ )]+)"")
    )
  &amp; "" }"",
  IF(
    REGEXMATCH($C22, ""^First\(&lt;""),
    VLOOKUP(REGEXEXTRACT($C22, ""\(([^)]+)\)""), 'First Set "&amp;"MacroA'!B:D, 3, FALSE),
    IF(
      REGEXMATCH($C22, ""^Follow\(&lt;""),
      VLOOKUP(REGEXEXTRACT($C22, ""\(([^)]+)\)""), 'Follow Set Macros'!B:D, 3, FALSE),
      ""{ "" &amp; REGEXEXTRACT($C22, ""\(([^)]+)\)"") &amp; "" }""
    )
  )
)
"),"#REF!")</f>
        <v>#REF!</v>
      </c>
      <c r="E22" s="664"/>
      <c r="F22" s="664"/>
      <c r="G22" s="664"/>
      <c r="H22" s="664"/>
      <c r="I22" s="664"/>
      <c r="J22" s="664"/>
      <c r="K22" s="664"/>
      <c r="L22" s="664"/>
      <c r="M22" s="664"/>
      <c r="N22" s="664"/>
      <c r="O22" s="664"/>
      <c r="P22" s="664"/>
      <c r="Q22" s="664"/>
      <c r="R22" s="664"/>
      <c r="S22" s="664"/>
      <c r="T22" s="664"/>
      <c r="U22" s="664"/>
      <c r="V22" s="664"/>
      <c r="W22" s="664"/>
      <c r="X22" s="664"/>
    </row>
    <row r="23">
      <c r="A23" s="661">
        <f t="shared" si="1"/>
        <v>23</v>
      </c>
      <c r="B23" s="662" t="str">
        <f t="shared" si="2"/>
        <v>#REF!</v>
      </c>
      <c r="C23" s="662" t="str">
        <f>IFERROR(__xludf.DUMMYFUNCTION("IF(
  REGEXMATCH(B23, ""^First\(λ - λ\) ∪ Follow\(""),
  ""Follow("" &amp; REGEXEXTRACT(B23, ""Follow\(([^)]+)\)"") &amp; "") ="",
  IF(
    OR(
      REGEXMATCH(B23, ""^First\([^&lt;]""),
      REGEXMATCH(B23, ""^First\(&lt;[^A-Za-z_]"")
    ),
    """",
    IF(
     "&amp;" CFG!D23=""λ"",
      ""Follow("" &amp; CFG!B23 &amp; "") ="",
      ""First("" &amp; CFG!D23 &amp; "") =""
    )
  )
)
"),"#REF!")</f>
        <v>#REF!</v>
      </c>
      <c r="D23" s="663" t="str">
        <f>IFERROR(__xludf.DUMMYFUNCTION("IF(
  $C23="""",
  ""{ "" &amp;
    IF(
      REGEXMATCH(B23, ""^First\(\)""),
      "")"",
      REGEXEXTRACT(B23, ""^First\(([^ )]+)"")
    )
  &amp; "" }"",
  IF(
    REGEXMATCH($C23, ""^First\(&lt;""),
    VLOOKUP(REGEXEXTRACT($C23, ""\(([^)]+)\)""), 'First Set "&amp;"MacroA'!B:D, 3, FALSE),
    IF(
      REGEXMATCH($C23, ""^Follow\(&lt;""),
      VLOOKUP(REGEXEXTRACT($C23, ""\(([^)]+)\)""), 'Follow Set Macros'!B:D, 3, FALSE),
      ""{ "" &amp; REGEXEXTRACT($C23, ""\(([^)]+)\)"") &amp; "" }""
    )
  )
)
"),"#REF!")</f>
        <v>#REF!</v>
      </c>
      <c r="E23" s="664"/>
      <c r="F23" s="664"/>
      <c r="G23" s="664"/>
      <c r="H23" s="664"/>
      <c r="I23" s="664"/>
      <c r="J23" s="664"/>
      <c r="K23" s="664"/>
      <c r="L23" s="664"/>
      <c r="M23" s="664"/>
      <c r="N23" s="664"/>
      <c r="O23" s="664"/>
      <c r="P23" s="664"/>
      <c r="Q23" s="664"/>
      <c r="R23" s="664"/>
      <c r="S23" s="664"/>
      <c r="T23" s="664"/>
      <c r="U23" s="664"/>
      <c r="V23" s="664"/>
      <c r="W23" s="664"/>
      <c r="X23" s="664"/>
    </row>
    <row r="24">
      <c r="A24" s="661">
        <f t="shared" si="1"/>
        <v>24</v>
      </c>
      <c r="B24" s="662" t="str">
        <f t="shared" si="2"/>
        <v>#REF!</v>
      </c>
      <c r="C24" s="662" t="str">
        <f>IFERROR(__xludf.DUMMYFUNCTION("IF(
  REGEXMATCH(B24, ""^First\(λ - λ\) ∪ Follow\(""),
  ""Follow("" &amp; REGEXEXTRACT(B24, ""Follow\(([^)]+)\)"") &amp; "") ="",
  IF(
    OR(
      REGEXMATCH(B24, ""^First\([^&lt;]""),
      REGEXMATCH(B24, ""^First\(&lt;[^A-Za-z_]"")
    ),
    """",
    IF(
     "&amp;" CFG!D24=""λ"",
      ""Follow("" &amp; CFG!B24 &amp; "") ="",
      ""First("" &amp; CFG!D24 &amp; "") =""
    )
  )
)
"),"#REF!")</f>
        <v>#REF!</v>
      </c>
      <c r="D24" s="663" t="str">
        <f>IFERROR(__xludf.DUMMYFUNCTION("IF(
  $C24="""",
  ""{ "" &amp;
    IF(
      REGEXMATCH(B24, ""^First\(\)""),
      "")"",
      REGEXEXTRACT(B24, ""^First\(([^ )]+)"")
    )
  &amp; "" }"",
  IF(
    REGEXMATCH($C24, ""^First\(&lt;""),
    VLOOKUP(REGEXEXTRACT($C24, ""\(([^)]+)\)""), 'First Set "&amp;"MacroA'!B:D, 3, FALSE),
    IF(
      REGEXMATCH($C24, ""^Follow\(&lt;""),
      VLOOKUP(REGEXEXTRACT($C24, ""\(([^)]+)\)""), 'Follow Set Macros'!B:D, 3, FALSE),
      ""{ "" &amp; REGEXEXTRACT($C24, ""\(([^)]+)\)"") &amp; "" }""
    )
  )
)
"),"#REF!")</f>
        <v>#REF!</v>
      </c>
      <c r="E24" s="664"/>
      <c r="F24" s="664"/>
      <c r="G24" s="664"/>
      <c r="H24" s="664"/>
      <c r="I24" s="664"/>
      <c r="J24" s="664"/>
      <c r="K24" s="664"/>
      <c r="L24" s="664"/>
      <c r="M24" s="664"/>
      <c r="N24" s="664"/>
      <c r="O24" s="664"/>
      <c r="P24" s="664"/>
      <c r="Q24" s="664"/>
      <c r="R24" s="664"/>
      <c r="S24" s="664"/>
      <c r="T24" s="664"/>
      <c r="U24" s="664"/>
      <c r="V24" s="664"/>
      <c r="W24" s="664"/>
      <c r="X24" s="664"/>
    </row>
    <row r="25">
      <c r="A25" s="661">
        <f t="shared" si="1"/>
        <v>25</v>
      </c>
      <c r="B25" s="662" t="str">
        <f t="shared" si="2"/>
        <v>#REF!</v>
      </c>
      <c r="C25" s="662" t="str">
        <f>IFERROR(__xludf.DUMMYFUNCTION("IF(
  REGEXMATCH(B25, ""^First\(λ - λ\) ∪ Follow\(""),
  ""Follow("" &amp; REGEXEXTRACT(B25, ""Follow\(([^)]+)\)"") &amp; "") ="",
  IF(
    OR(
      REGEXMATCH(B25, ""^First\([^&lt;]""),
      REGEXMATCH(B25, ""^First\(&lt;[^A-Za-z_]"")
    ),
    """",
    IF(
     "&amp;" CFG!D25=""λ"",
      ""Follow("" &amp; CFG!B25 &amp; "") ="",
      ""First("" &amp; CFG!D25 &amp; "") =""
    )
  )
)
"),"#REF!")</f>
        <v>#REF!</v>
      </c>
      <c r="D25" s="663" t="str">
        <f>IFERROR(__xludf.DUMMYFUNCTION("IF(
  $C25="""",
  ""{ "" &amp;
    IF(
      REGEXMATCH(B25, ""^First\(\)""),
      "")"",
      REGEXEXTRACT(B25, ""^First\(([^ )]+)"")
    )
  &amp; "" }"",
  IF(
    REGEXMATCH($C25, ""^First\(&lt;""),
    VLOOKUP(REGEXEXTRACT($C25, ""\(([^)]+)\)""), 'First Set "&amp;"MacroA'!B:D, 3, FALSE),
    IF(
      REGEXMATCH($C25, ""^Follow\(&lt;""),
      VLOOKUP(REGEXEXTRACT($C25, ""\(([^)]+)\)""), 'Follow Set Macros'!B:D, 3, FALSE),
      ""{ "" &amp; REGEXEXTRACT($C25, ""\(([^)]+)\)"") &amp; "" }""
    )
  )
)
"),"#REF!")</f>
        <v>#REF!</v>
      </c>
      <c r="E25" s="664"/>
      <c r="F25" s="664"/>
      <c r="G25" s="664"/>
      <c r="H25" s="664"/>
      <c r="I25" s="664"/>
      <c r="J25" s="664"/>
      <c r="K25" s="664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  <c r="W25" s="664"/>
      <c r="X25" s="664"/>
    </row>
    <row r="26">
      <c r="A26" s="661">
        <f t="shared" si="1"/>
        <v>26</v>
      </c>
      <c r="B26" s="662" t="str">
        <f t="shared" si="2"/>
        <v>#REF!</v>
      </c>
      <c r="C26" s="662" t="str">
        <f>IFERROR(__xludf.DUMMYFUNCTION("IF(
  REGEXMATCH(B26, ""^First\(λ - λ\) ∪ Follow\(""),
  ""Follow("" &amp; REGEXEXTRACT(B26, ""Follow\(([^)]+)\)"") &amp; "") ="",
  IF(
    OR(
      REGEXMATCH(B26, ""^First\([^&lt;]""),
      REGEXMATCH(B26, ""^First\(&lt;[^A-Za-z_]"")
    ),
    """",
    IF(
     "&amp;" CFG!D26=""λ"",
      ""Follow("" &amp; CFG!B26 &amp; "") ="",
      ""First("" &amp; CFG!D26 &amp; "") =""
    )
  )
)
"),"#REF!")</f>
        <v>#REF!</v>
      </c>
      <c r="D26" s="663" t="str">
        <f>IFERROR(__xludf.DUMMYFUNCTION("IF(
  $C26="""",
  ""{ "" &amp;
    IF(
      REGEXMATCH(B26, ""^First\(\)""),
      "")"",
      REGEXEXTRACT(B26, ""^First\(([^ )]+)"")
    )
  &amp; "" }"",
  IF(
    REGEXMATCH($C26, ""^First\(&lt;""),
    VLOOKUP(REGEXEXTRACT($C26, ""\(([^)]+)\)""), 'First Set "&amp;"MacroA'!B:D, 3, FALSE),
    IF(
      REGEXMATCH($C26, ""^Follow\(&lt;""),
      VLOOKUP(REGEXEXTRACT($C26, ""\(([^)]+)\)""), 'Follow Set Macros'!B:D, 3, FALSE),
      ""{ "" &amp; REGEXEXTRACT($C26, ""\(([^)]+)\)"") &amp; "" }""
    )
  )
)
"),"#REF!")</f>
        <v>#REF!</v>
      </c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</row>
    <row r="27">
      <c r="A27" s="661">
        <f t="shared" si="1"/>
        <v>27</v>
      </c>
      <c r="B27" s="662" t="str">
        <f t="shared" si="2"/>
        <v>#REF!</v>
      </c>
      <c r="C27" s="662" t="str">
        <f>IFERROR(__xludf.DUMMYFUNCTION("IF(
  REGEXMATCH(B27, ""^First\(λ - λ\) ∪ Follow\(""),
  ""Follow("" &amp; REGEXEXTRACT(B27, ""Follow\(([^)]+)\)"") &amp; "") ="",
  IF(
    OR(
      REGEXMATCH(B27, ""^First\([^&lt;]""),
      REGEXMATCH(B27, ""^First\(&lt;[^A-Za-z_]"")
    ),
    """",
    IF(
     "&amp;" CFG!D27=""λ"",
      ""Follow("" &amp; CFG!B27 &amp; "") ="",
      ""First("" &amp; CFG!D27 &amp; "") =""
    )
  )
)
"),"#REF!")</f>
        <v>#REF!</v>
      </c>
      <c r="D27" s="663" t="str">
        <f>IFERROR(__xludf.DUMMYFUNCTION("IF(
  $C27="""",
  ""{ "" &amp;
    IF(
      REGEXMATCH(B27, ""^First\(\)""),
      "")"",
      REGEXEXTRACT(B27, ""^First\(([^ )]+)"")
    )
  &amp; "" }"",
  IF(
    REGEXMATCH($C27, ""^First\(&lt;""),
    VLOOKUP(REGEXEXTRACT($C27, ""\(([^)]+)\)""), 'First Set "&amp;"MacroA'!B:D, 3, FALSE),
    IF(
      REGEXMATCH($C27, ""^Follow\(&lt;""),
      VLOOKUP(REGEXEXTRACT($C27, ""\(([^)]+)\)""), 'Follow Set Macros'!B:D, 3, FALSE),
      ""{ "" &amp; REGEXEXTRACT($C27, ""\(([^)]+)\)"") &amp; "" }""
    )
  )
)
"),"#REF!")</f>
        <v>#REF!</v>
      </c>
      <c r="E27" s="664"/>
      <c r="F27" s="664"/>
      <c r="G27" s="664"/>
      <c r="H27" s="664"/>
      <c r="I27" s="664"/>
      <c r="J27" s="664"/>
      <c r="K27" s="664"/>
      <c r="L27" s="664"/>
      <c r="M27" s="664"/>
      <c r="N27" s="664"/>
      <c r="O27" s="664"/>
      <c r="P27" s="664"/>
      <c r="Q27" s="664"/>
      <c r="R27" s="664"/>
      <c r="S27" s="664"/>
      <c r="T27" s="664"/>
      <c r="U27" s="664"/>
      <c r="V27" s="664"/>
      <c r="W27" s="664"/>
      <c r="X27" s="664"/>
    </row>
    <row r="28">
      <c r="A28" s="661">
        <f t="shared" si="1"/>
        <v>28</v>
      </c>
      <c r="B28" s="662" t="str">
        <f t="shared" si="2"/>
        <v>#REF!</v>
      </c>
      <c r="C28" s="662" t="str">
        <f>IFERROR(__xludf.DUMMYFUNCTION("IF(
  REGEXMATCH(B28, ""^First\(λ - λ\) ∪ Follow\(""),
  ""Follow("" &amp; REGEXEXTRACT(B28, ""Follow\(([^)]+)\)"") &amp; "") ="",
  IF(
    OR(
      REGEXMATCH(B28, ""^First\([^&lt;]""),
      REGEXMATCH(B28, ""^First\(&lt;[^A-Za-z_]"")
    ),
    """",
    IF(
     "&amp;" CFG!D28=""λ"",
      ""Follow("" &amp; CFG!B28 &amp; "") ="",
      ""First("" &amp; CFG!D28 &amp; "") =""
    )
  )
)
"),"#REF!")</f>
        <v>#REF!</v>
      </c>
      <c r="D28" s="663" t="str">
        <f>IFERROR(__xludf.DUMMYFUNCTION("IF(
  $C28="""",
  ""{ "" &amp;
    IF(
      REGEXMATCH(B28, ""^First\(\)""),
      "")"",
      REGEXEXTRACT(B28, ""^First\(([^ )]+)"")
    )
  &amp; "" }"",
  IF(
    REGEXMATCH($C28, ""^First\(&lt;""),
    VLOOKUP(REGEXEXTRACT($C28, ""\(([^)]+)\)""), 'First Set "&amp;"MacroA'!B:D, 3, FALSE),
    IF(
      REGEXMATCH($C28, ""^Follow\(&lt;""),
      VLOOKUP(REGEXEXTRACT($C28, ""\(([^)]+)\)""), 'Follow Set Macros'!B:D, 3, FALSE),
      ""{ "" &amp; REGEXEXTRACT($C28, ""\(([^)]+)\)"") &amp; "" }""
    )
  )
)
"),"#REF!")</f>
        <v>#REF!</v>
      </c>
      <c r="E28" s="664"/>
      <c r="F28" s="664"/>
      <c r="G28" s="664"/>
      <c r="H28" s="664"/>
      <c r="I28" s="664"/>
      <c r="J28" s="664"/>
      <c r="K28" s="664"/>
      <c r="L28" s="664"/>
      <c r="M28" s="664"/>
      <c r="N28" s="664"/>
      <c r="O28" s="664"/>
      <c r="P28" s="664"/>
      <c r="Q28" s="664"/>
      <c r="R28" s="664"/>
      <c r="S28" s="664"/>
      <c r="T28" s="664"/>
      <c r="U28" s="664"/>
      <c r="V28" s="664"/>
      <c r="W28" s="664"/>
      <c r="X28" s="664"/>
    </row>
    <row r="29">
      <c r="A29" s="661">
        <f t="shared" si="1"/>
        <v>29</v>
      </c>
      <c r="B29" s="662" t="str">
        <f t="shared" si="2"/>
        <v>#REF!</v>
      </c>
      <c r="C29" s="662" t="str">
        <f>IFERROR(__xludf.DUMMYFUNCTION("IF(
  REGEXMATCH(B29, ""^First\(λ - λ\) ∪ Follow\(""),
  ""Follow("" &amp; REGEXEXTRACT(B29, ""Follow\(([^)]+)\)"") &amp; "") ="",
  IF(
    OR(
      REGEXMATCH(B29, ""^First\([^&lt;]""),
      REGEXMATCH(B29, ""^First\(&lt;[^A-Za-z_]"")
    ),
    """",
    IF(
     "&amp;" CFG!D29=""λ"",
      ""Follow("" &amp; CFG!B29 &amp; "") ="",
      ""First("" &amp; CFG!D29 &amp; "") =""
    )
  )
)
"),"#REF!")</f>
        <v>#REF!</v>
      </c>
      <c r="D29" s="663" t="str">
        <f>IFERROR(__xludf.DUMMYFUNCTION("IF(
  $C29="""",
  ""{ "" &amp;
    IF(
      REGEXMATCH(B29, ""^First\(\)""),
      "")"",
      REGEXEXTRACT(B29, ""^First\(([^ )]+)"")
    )
  &amp; "" }"",
  IF(
    REGEXMATCH($C29, ""^First\(&lt;""),
    VLOOKUP(REGEXEXTRACT($C29, ""\(([^)]+)\)""), 'First Set "&amp;"MacroA'!B:D, 3, FALSE),
    IF(
      REGEXMATCH($C29, ""^Follow\(&lt;""),
      VLOOKUP(REGEXEXTRACT($C29, ""\(([^)]+)\)""), 'Follow Set Macros'!B:D, 3, FALSE),
      ""{ "" &amp; REGEXEXTRACT($C29, ""\(([^)]+)\)"") &amp; "" }""
    )
  )
)
"),"#REF!")</f>
        <v>#REF!</v>
      </c>
      <c r="E29" s="664"/>
      <c r="F29" s="664"/>
      <c r="G29" s="664"/>
      <c r="H29" s="664"/>
      <c r="I29" s="664"/>
      <c r="J29" s="664"/>
      <c r="K29" s="664"/>
      <c r="L29" s="664"/>
      <c r="M29" s="664"/>
      <c r="N29" s="664"/>
      <c r="O29" s="664"/>
      <c r="P29" s="664"/>
      <c r="Q29" s="664"/>
      <c r="R29" s="664"/>
      <c r="S29" s="664"/>
      <c r="T29" s="664"/>
      <c r="U29" s="664"/>
      <c r="V29" s="664"/>
      <c r="W29" s="664"/>
      <c r="X29" s="664"/>
    </row>
    <row r="30">
      <c r="A30" s="661">
        <f t="shared" si="1"/>
        <v>30</v>
      </c>
      <c r="B30" s="662" t="str">
        <f t="shared" si="2"/>
        <v>#REF!</v>
      </c>
      <c r="C30" s="662" t="str">
        <f>IFERROR(__xludf.DUMMYFUNCTION("IF(
  REGEXMATCH(B30, ""^First\(λ - λ\) ∪ Follow\(""),
  ""Follow("" &amp; REGEXEXTRACT(B30, ""Follow\(([^)]+)\)"") &amp; "") ="",
  IF(
    OR(
      REGEXMATCH(B30, ""^First\([^&lt;]""),
      REGEXMATCH(B30, ""^First\(&lt;[^A-Za-z_]"")
    ),
    """",
    IF(
     "&amp;" CFG!D30=""λ"",
      ""Follow("" &amp; CFG!B30 &amp; "") ="",
      ""First("" &amp; CFG!D30 &amp; "") =""
    )
  )
)
"),"#REF!")</f>
        <v>#REF!</v>
      </c>
      <c r="D30" s="663" t="str">
        <f>IFERROR(__xludf.DUMMYFUNCTION("IF(
  $C30="""",
  ""{ "" &amp;
    IF(
      REGEXMATCH(B30, ""^First\(\)""),
      "")"",
      REGEXEXTRACT(B30, ""^First\(([^ )]+)"")
    )
  &amp; "" }"",
  IF(
    REGEXMATCH($C30, ""^First\(&lt;""),
    VLOOKUP(REGEXEXTRACT($C30, ""\(([^)]+)\)""), 'First Set "&amp;"MacroA'!B:D, 3, FALSE),
    IF(
      REGEXMATCH($C30, ""^Follow\(&lt;""),
      VLOOKUP(REGEXEXTRACT($C30, ""\(([^)]+)\)""), 'Follow Set Macros'!B:D, 3, FALSE),
      ""{ "" &amp; REGEXEXTRACT($C30, ""\(([^)]+)\)"") &amp; "" }""
    )
  )
)
"),"#REF!")</f>
        <v>#REF!</v>
      </c>
      <c r="E30" s="664"/>
      <c r="F30" s="664"/>
      <c r="G30" s="664"/>
      <c r="H30" s="664"/>
      <c r="I30" s="664"/>
      <c r="J30" s="664"/>
      <c r="K30" s="664"/>
      <c r="L30" s="664"/>
      <c r="M30" s="664"/>
      <c r="N30" s="664"/>
      <c r="O30" s="664"/>
      <c r="P30" s="664"/>
      <c r="Q30" s="664"/>
      <c r="R30" s="664"/>
      <c r="S30" s="664"/>
      <c r="T30" s="664"/>
      <c r="U30" s="664"/>
      <c r="V30" s="664"/>
      <c r="W30" s="664"/>
      <c r="X30" s="664"/>
    </row>
    <row r="31">
      <c r="A31" s="661">
        <f t="shared" si="1"/>
        <v>31</v>
      </c>
      <c r="B31" s="662" t="str">
        <f t="shared" si="2"/>
        <v>#REF!</v>
      </c>
      <c r="C31" s="662" t="str">
        <f>IFERROR(__xludf.DUMMYFUNCTION("IF(
  REGEXMATCH(B31, ""^First\(λ - λ\) ∪ Follow\(""),
  ""Follow("" &amp; REGEXEXTRACT(B31, ""Follow\(([^)]+)\)"") &amp; "") ="",
  IF(
    OR(
      REGEXMATCH(B31, ""^First\([^&lt;]""),
      REGEXMATCH(B31, ""^First\(&lt;[^A-Za-z_]"")
    ),
    """",
    IF(
     "&amp;" CFG!D31=""λ"",
      ""Follow("" &amp; CFG!B31 &amp; "") ="",
      ""First("" &amp; CFG!D31 &amp; "") =""
    )
  )
)
"),"#REF!")</f>
        <v>#REF!</v>
      </c>
      <c r="D31" s="663" t="str">
        <f>IFERROR(__xludf.DUMMYFUNCTION("IF(
  $C31="""",
  ""{ "" &amp;
    IF(
      REGEXMATCH(B31, ""^First\(\)""),
      "")"",
      REGEXEXTRACT(B31, ""^First\(([^ )]+)"")
    )
  &amp; "" }"",
  IF(
    REGEXMATCH($C31, ""^First\(&lt;""),
    VLOOKUP(REGEXEXTRACT($C31, ""\(([^)]+)\)""), 'First Set "&amp;"MacroA'!B:D, 3, FALSE),
    IF(
      REGEXMATCH($C31, ""^Follow\(&lt;""),
      VLOOKUP(REGEXEXTRACT($C31, ""\(([^)]+)\)""), 'Follow Set Macros'!B:D, 3, FALSE),
      ""{ "" &amp; REGEXEXTRACT($C31, ""\(([^)]+)\)"") &amp; "" }""
    )
  )
)
"),"#REF!")</f>
        <v>#REF!</v>
      </c>
      <c r="E31" s="664"/>
      <c r="F31" s="664"/>
      <c r="G31" s="664"/>
      <c r="H31" s="664"/>
      <c r="I31" s="664"/>
      <c r="J31" s="664"/>
      <c r="K31" s="664"/>
      <c r="L31" s="664"/>
      <c r="M31" s="664"/>
      <c r="N31" s="664"/>
      <c r="O31" s="664"/>
      <c r="P31" s="664"/>
      <c r="Q31" s="664"/>
      <c r="R31" s="664"/>
      <c r="S31" s="664"/>
      <c r="T31" s="664"/>
      <c r="U31" s="664"/>
      <c r="V31" s="664"/>
      <c r="W31" s="664"/>
      <c r="X31" s="664"/>
    </row>
    <row r="32">
      <c r="A32" s="661">
        <f t="shared" si="1"/>
        <v>32</v>
      </c>
      <c r="B32" s="662" t="str">
        <f t="shared" si="2"/>
        <v>#REF!</v>
      </c>
      <c r="C32" s="662" t="str">
        <f>IFERROR(__xludf.DUMMYFUNCTION("IF(
  REGEXMATCH(B32, ""^First\(λ - λ\) ∪ Follow\(""),
  ""Follow("" &amp; REGEXEXTRACT(B32, ""Follow\(([^)]+)\)"") &amp; "") ="",
  IF(
    OR(
      REGEXMATCH(B32, ""^First\([^&lt;]""),
      REGEXMATCH(B32, ""^First\(&lt;[^A-Za-z_]"")
    ),
    """",
    IF(
     "&amp;" CFG!D32=""λ"",
      ""Follow("" &amp; CFG!B32 &amp; "") ="",
      ""First("" &amp; CFG!D32 &amp; "") =""
    )
  )
)
"),"#REF!")</f>
        <v>#REF!</v>
      </c>
      <c r="D32" s="663" t="str">
        <f>IFERROR(__xludf.DUMMYFUNCTION("IF(
  $C32="""",
  ""{ "" &amp;
    IF(
      REGEXMATCH(B32, ""^First\(\)""),
      "")"",
      REGEXEXTRACT(B32, ""^First\(([^ )]+)"")
    )
  &amp; "" }"",
  IF(
    REGEXMATCH($C32, ""^First\(&lt;""),
    VLOOKUP(REGEXEXTRACT($C32, ""\(([^)]+)\)""), 'First Set "&amp;"MacroA'!B:D, 3, FALSE),
    IF(
      REGEXMATCH($C32, ""^Follow\(&lt;""),
      VLOOKUP(REGEXEXTRACT($C32, ""\(([^)]+)\)""), 'Follow Set Macros'!B:D, 3, FALSE),
      ""{ "" &amp; REGEXEXTRACT($C32, ""\(([^)]+)\)"") &amp; "" }""
    )
  )
)
"),"#REF!")</f>
        <v>#REF!</v>
      </c>
      <c r="E32" s="664"/>
      <c r="F32" s="664"/>
      <c r="G32" s="664"/>
      <c r="H32" s="664"/>
      <c r="I32" s="664"/>
      <c r="J32" s="664"/>
      <c r="K32" s="664"/>
      <c r="L32" s="664"/>
      <c r="M32" s="664"/>
      <c r="N32" s="664"/>
      <c r="O32" s="664"/>
      <c r="P32" s="664"/>
      <c r="Q32" s="664"/>
      <c r="R32" s="664"/>
      <c r="S32" s="664"/>
      <c r="T32" s="664"/>
      <c r="U32" s="664"/>
      <c r="V32" s="664"/>
      <c r="W32" s="664"/>
      <c r="X32" s="664"/>
    </row>
    <row r="33">
      <c r="A33" s="661">
        <f t="shared" si="1"/>
        <v>33</v>
      </c>
      <c r="B33" s="662" t="str">
        <f t="shared" si="2"/>
        <v>#REF!</v>
      </c>
      <c r="C33" s="662" t="str">
        <f>IFERROR(__xludf.DUMMYFUNCTION("IF(
  REGEXMATCH(B33, ""^First\(λ - λ\) ∪ Follow\(""),
  ""Follow("" &amp; REGEXEXTRACT(B33, ""Follow\(([^)]+)\)"") &amp; "") ="",
  IF(
    OR(
      REGEXMATCH(B33, ""^First\([^&lt;]""),
      REGEXMATCH(B33, ""^First\(&lt;[^A-Za-z_]"")
    ),
    """",
    IF(
     "&amp;" CFG!D33=""λ"",
      ""Follow("" &amp; CFG!B33 &amp; "") ="",
      ""First("" &amp; CFG!D33 &amp; "") =""
    )
  )
)
"),"#REF!")</f>
        <v>#REF!</v>
      </c>
      <c r="D33" s="663" t="str">
        <f>IFERROR(__xludf.DUMMYFUNCTION("IF(
  $C33="""",
  ""{ "" &amp;
    IF(
      REGEXMATCH(B33, ""^First\(\)""),
      "")"",
      REGEXEXTRACT(B33, ""^First\(([^ )]+)"")
    )
  &amp; "" }"",
  IF(
    REGEXMATCH($C33, ""^First\(&lt;""),
    VLOOKUP(REGEXEXTRACT($C33, ""\(([^)]+)\)""), 'First Set "&amp;"MacroA'!B:D, 3, FALSE),
    IF(
      REGEXMATCH($C33, ""^Follow\(&lt;""),
      VLOOKUP(REGEXEXTRACT($C33, ""\(([^)]+)\)""), 'Follow Set Macros'!B:D, 3, FALSE),
      ""{ "" &amp; REGEXEXTRACT($C33, ""\(([^)]+)\)"") &amp; "" }""
    )
  )
)
"),"#REF!")</f>
        <v>#REF!</v>
      </c>
      <c r="E33" s="664"/>
      <c r="F33" s="664"/>
      <c r="G33" s="664"/>
      <c r="H33" s="664"/>
      <c r="I33" s="664"/>
      <c r="J33" s="664"/>
      <c r="K33" s="664"/>
      <c r="L33" s="664"/>
      <c r="M33" s="664"/>
      <c r="N33" s="664"/>
      <c r="O33" s="664"/>
      <c r="P33" s="664"/>
      <c r="Q33" s="664"/>
      <c r="R33" s="664"/>
      <c r="S33" s="664"/>
      <c r="T33" s="664"/>
      <c r="U33" s="664"/>
      <c r="V33" s="664"/>
      <c r="W33" s="664"/>
      <c r="X33" s="664"/>
    </row>
    <row r="34">
      <c r="A34" s="661">
        <f t="shared" si="1"/>
        <v>34</v>
      </c>
      <c r="B34" s="662" t="str">
        <f t="shared" si="2"/>
        <v>#REF!</v>
      </c>
      <c r="C34" s="662" t="str">
        <f>IFERROR(__xludf.DUMMYFUNCTION("IF(
  REGEXMATCH(B34, ""^First\(λ - λ\) ∪ Follow\(""),
  ""Follow("" &amp; REGEXEXTRACT(B34, ""Follow\(([^)]+)\)"") &amp; "") ="",
  IF(
    OR(
      REGEXMATCH(B34, ""^First\([^&lt;]""),
      REGEXMATCH(B34, ""^First\(&lt;[^A-Za-z_]"")
    ),
    """",
    IF(
     "&amp;" CFG!D34=""λ"",
      ""Follow("" &amp; CFG!B34 &amp; "") ="",
      ""First("" &amp; CFG!D34 &amp; "") =""
    )
  )
)
"),"#REF!")</f>
        <v>#REF!</v>
      </c>
      <c r="D34" s="663" t="str">
        <f>IFERROR(__xludf.DUMMYFUNCTION("IF(
  $C34="""",
  ""{ "" &amp;
    IF(
      REGEXMATCH(B34, ""^First\(\)""),
      "")"",
      REGEXEXTRACT(B34, ""^First\(([^ )]+)"")
    )
  &amp; "" }"",
  IF(
    REGEXMATCH($C34, ""^First\(&lt;""),
    VLOOKUP(REGEXEXTRACT($C34, ""\(([^)]+)\)""), 'First Set "&amp;"MacroA'!B:D, 3, FALSE),
    IF(
      REGEXMATCH($C34, ""^Follow\(&lt;""),
      VLOOKUP(REGEXEXTRACT($C34, ""\(([^)]+)\)""), 'Follow Set Macros'!B:D, 3, FALSE),
      ""{ "" &amp; REGEXEXTRACT($C34, ""\(([^)]+)\)"") &amp; "" }""
    )
  )
)
"),"#REF!")</f>
        <v>#REF!</v>
      </c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</row>
    <row r="35">
      <c r="A35" s="661">
        <f t="shared" si="1"/>
        <v>35</v>
      </c>
      <c r="B35" s="662" t="str">
        <f t="shared" si="2"/>
        <v>#REF!</v>
      </c>
      <c r="C35" s="662" t="str">
        <f>IFERROR(__xludf.DUMMYFUNCTION("IF(
  REGEXMATCH(B35, ""^First\(λ - λ\) ∪ Follow\(""),
  ""Follow("" &amp; REGEXEXTRACT(B35, ""Follow\(([^)]+)\)"") &amp; "") ="",
  IF(
    OR(
      REGEXMATCH(B35, ""^First\([^&lt;]""),
      REGEXMATCH(B35, ""^First\(&lt;[^A-Za-z_]"")
    ),
    """",
    IF(
     "&amp;" CFG!D35=""λ"",
      ""Follow("" &amp; CFG!B35 &amp; "") ="",
      ""First("" &amp; CFG!D35 &amp; "") =""
    )
  )
)
"),"#REF!")</f>
        <v>#REF!</v>
      </c>
      <c r="D35" s="663" t="str">
        <f>IFERROR(__xludf.DUMMYFUNCTION("IF(
  $C35="""",
  ""{ "" &amp;
    IF(
      REGEXMATCH(B35, ""^First\(\)""),
      "")"",
      REGEXEXTRACT(B35, ""^First\(([^ )]+)"")
    )
  &amp; "" }"",
  IF(
    REGEXMATCH($C35, ""^First\(&lt;""),
    VLOOKUP(REGEXEXTRACT($C35, ""\(([^)]+)\)""), 'First Set "&amp;"MacroA'!B:D, 3, FALSE),
    IF(
      REGEXMATCH($C35, ""^Follow\(&lt;""),
      VLOOKUP(REGEXEXTRACT($C35, ""\(([^)]+)\)""), 'Follow Set Macros'!B:D, 3, FALSE),
      ""{ "" &amp; REGEXEXTRACT($C35, ""\(([^)]+)\)"") &amp; "" }""
    )
  )
)
"),"#REF!")</f>
        <v>#REF!</v>
      </c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</row>
    <row r="36">
      <c r="A36" s="661">
        <f t="shared" si="1"/>
        <v>36</v>
      </c>
      <c r="B36" s="662" t="str">
        <f t="shared" si="2"/>
        <v>#REF!</v>
      </c>
      <c r="C36" s="662" t="str">
        <f>IFERROR(__xludf.DUMMYFUNCTION("IF(
  REGEXMATCH(B36, ""^First\(λ - λ\) ∪ Follow\(""),
  ""Follow("" &amp; REGEXEXTRACT(B36, ""Follow\(([^)]+)\)"") &amp; "") ="",
  IF(
    OR(
      REGEXMATCH(B36, ""^First\([^&lt;]""),
      REGEXMATCH(B36, ""^First\(&lt;[^A-Za-z_]"")
    ),
    """",
    IF(
     "&amp;" CFG!D36=""λ"",
      ""Follow("" &amp; CFG!B36 &amp; "") ="",
      ""First("" &amp; CFG!D36 &amp; "") =""
    )
  )
)
"),"#REF!")</f>
        <v>#REF!</v>
      </c>
      <c r="D36" s="663" t="str">
        <f>IFERROR(__xludf.DUMMYFUNCTION("IF(
  $C36="""",
  ""{ "" &amp;
    IF(
      REGEXMATCH(B36, ""^First\(\)""),
      "")"",
      REGEXEXTRACT(B36, ""^First\(([^ )]+)"")
    )
  &amp; "" }"",
  IF(
    REGEXMATCH($C36, ""^First\(&lt;""),
    VLOOKUP(REGEXEXTRACT($C36, ""\(([^)]+)\)""), 'First Set "&amp;"MacroA'!B:D, 3, FALSE),
    IF(
      REGEXMATCH($C36, ""^Follow\(&lt;""),
      VLOOKUP(REGEXEXTRACT($C36, ""\(([^)]+)\)""), 'Follow Set Macros'!B:D, 3, FALSE),
      ""{ "" &amp; REGEXEXTRACT($C36, ""\(([^)]+)\)"") &amp; "" }""
    )
  )
)
"),"#REF!")</f>
        <v>#REF!</v>
      </c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</row>
    <row r="37">
      <c r="A37" s="661">
        <f t="shared" si="1"/>
        <v>37</v>
      </c>
      <c r="B37" s="662" t="str">
        <f t="shared" si="2"/>
        <v>#REF!</v>
      </c>
      <c r="C37" s="662" t="str">
        <f>IFERROR(__xludf.DUMMYFUNCTION("IF(
  REGEXMATCH(B37, ""^First\(λ - λ\) ∪ Follow\(""),
  ""Follow("" &amp; REGEXEXTRACT(B37, ""Follow\(([^)]+)\)"") &amp; "") ="",
  IF(
    OR(
      REGEXMATCH(B37, ""^First\([^&lt;]""),
      REGEXMATCH(B37, ""^First\(&lt;[^A-Za-z_]"")
    ),
    """",
    IF(
     "&amp;" CFG!D37=""λ"",
      ""Follow("" &amp; CFG!B37 &amp; "") ="",
      ""First("" &amp; CFG!D37 &amp; "") =""
    )
  )
)
"),"#REF!")</f>
        <v>#REF!</v>
      </c>
      <c r="D37" s="663" t="str">
        <f>IFERROR(__xludf.DUMMYFUNCTION("IF(
  $C37="""",
  ""{ "" &amp;
    IF(
      REGEXMATCH(B37, ""^First\(\)""),
      "")"",
      REGEXEXTRACT(B37, ""^First\(([^ )]+)"")
    )
  &amp; "" }"",
  IF(
    REGEXMATCH($C37, ""^First\(&lt;""),
    VLOOKUP(REGEXEXTRACT($C37, ""\(([^)]+)\)""), 'First Set "&amp;"MacroA'!B:D, 3, FALSE),
    IF(
      REGEXMATCH($C37, ""^Follow\(&lt;""),
      VLOOKUP(REGEXEXTRACT($C37, ""\(([^)]+)\)""), 'Follow Set Macros'!B:D, 3, FALSE),
      ""{ "" &amp; REGEXEXTRACT($C37, ""\(([^)]+)\)"") &amp; "" }""
    )
  )
)
"),"#REF!")</f>
        <v>#REF!</v>
      </c>
      <c r="E37" s="664"/>
      <c r="F37" s="664"/>
      <c r="G37" s="664"/>
      <c r="H37" s="664"/>
      <c r="I37" s="664"/>
      <c r="J37" s="664"/>
      <c r="K37" s="664"/>
      <c r="L37" s="664"/>
      <c r="M37" s="664"/>
      <c r="N37" s="664"/>
      <c r="O37" s="664"/>
      <c r="P37" s="664"/>
      <c r="Q37" s="664"/>
      <c r="R37" s="664"/>
      <c r="S37" s="664"/>
      <c r="T37" s="664"/>
      <c r="U37" s="664"/>
      <c r="V37" s="664"/>
      <c r="W37" s="664"/>
      <c r="X37" s="664"/>
    </row>
    <row r="38">
      <c r="A38" s="661">
        <f t="shared" si="1"/>
        <v>38</v>
      </c>
      <c r="B38" s="662" t="str">
        <f t="shared" si="2"/>
        <v>#REF!</v>
      </c>
      <c r="C38" s="662" t="str">
        <f>IFERROR(__xludf.DUMMYFUNCTION("IF(
  REGEXMATCH(B38, ""^First\(λ - λ\) ∪ Follow\(""),
  ""Follow("" &amp; REGEXEXTRACT(B38, ""Follow\(([^)]+)\)"") &amp; "") ="",
  IF(
    OR(
      REGEXMATCH(B38, ""^First\([^&lt;]""),
      REGEXMATCH(B38, ""^First\(&lt;[^A-Za-z_]"")
    ),
    """",
    IF(
     "&amp;" CFG!D38=""λ"",
      ""Follow("" &amp; CFG!B38 &amp; "") ="",
      ""First("" &amp; CFG!D38 &amp; "") =""
    )
  )
)
"),"#REF!")</f>
        <v>#REF!</v>
      </c>
      <c r="D38" s="663" t="str">
        <f>IFERROR(__xludf.DUMMYFUNCTION("IF(
  $C38="""",
  ""{ "" &amp;
    IF(
      REGEXMATCH(B38, ""^First\(\)""),
      "")"",
      REGEXEXTRACT(B38, ""^First\(([^ )]+)"")
    )
  &amp; "" }"",
  IF(
    REGEXMATCH($C38, ""^First\(&lt;""),
    VLOOKUP(REGEXEXTRACT($C38, ""\(([^)]+)\)""), 'First Set "&amp;"MacroA'!B:D, 3, FALSE),
    IF(
      REGEXMATCH($C38, ""^Follow\(&lt;""),
      VLOOKUP(REGEXEXTRACT($C38, ""\(([^)]+)\)""), 'Follow Set Macros'!B:D, 3, FALSE),
      ""{ "" &amp; REGEXEXTRACT($C38, ""\(([^)]+)\)"") &amp; "" }""
    )
  )
)
"),"#REF!")</f>
        <v>#REF!</v>
      </c>
      <c r="E38" s="664"/>
      <c r="F38" s="664"/>
      <c r="G38" s="664"/>
      <c r="H38" s="664"/>
      <c r="I38" s="664"/>
      <c r="J38" s="664"/>
      <c r="K38" s="664"/>
      <c r="L38" s="664"/>
      <c r="M38" s="664"/>
      <c r="N38" s="664"/>
      <c r="O38" s="664"/>
      <c r="P38" s="664"/>
      <c r="Q38" s="664"/>
      <c r="R38" s="664"/>
      <c r="S38" s="664"/>
      <c r="T38" s="664"/>
      <c r="U38" s="664"/>
      <c r="V38" s="664"/>
      <c r="W38" s="664"/>
      <c r="X38" s="664"/>
    </row>
    <row r="39">
      <c r="A39" s="661">
        <f t="shared" si="1"/>
        <v>39</v>
      </c>
      <c r="B39" s="662" t="str">
        <f t="shared" si="2"/>
        <v>#REF!</v>
      </c>
      <c r="C39" s="662" t="str">
        <f>IFERROR(__xludf.DUMMYFUNCTION("IF(
  REGEXMATCH(B39, ""^First\(λ - λ\) ∪ Follow\(""),
  ""Follow("" &amp; REGEXEXTRACT(B39, ""Follow\(([^)]+)\)"") &amp; "") ="",
  IF(
    OR(
      REGEXMATCH(B39, ""^First\([^&lt;]""),
      REGEXMATCH(B39, ""^First\(&lt;[^A-Za-z_]"")
    ),
    """",
    IF(
     "&amp;" CFG!D39=""λ"",
      ""Follow("" &amp; CFG!B39 &amp; "") ="",
      ""First("" &amp; CFG!D39 &amp; "") =""
    )
  )
)
"),"#REF!")</f>
        <v>#REF!</v>
      </c>
      <c r="D39" s="663" t="str">
        <f>IFERROR(__xludf.DUMMYFUNCTION("IF(
  $C39="""",
  ""{ "" &amp;
    IF(
      REGEXMATCH(B39, ""^First\(\)""),
      "")"",
      REGEXEXTRACT(B39, ""^First\(([^ )]+)"")
    )
  &amp; "" }"",
  IF(
    REGEXMATCH($C39, ""^First\(&lt;""),
    VLOOKUP(REGEXEXTRACT($C39, ""\(([^)]+)\)""), 'First Set "&amp;"MacroA'!B:D, 3, FALSE),
    IF(
      REGEXMATCH($C39, ""^Follow\(&lt;""),
      VLOOKUP(REGEXEXTRACT($C39, ""\(([^)]+)\)""), 'Follow Set Macros'!B:D, 3, FALSE),
      ""{ "" &amp; REGEXEXTRACT($C39, ""\(([^)]+)\)"") &amp; "" }""
    )
  )
)
"),"#REF!")</f>
        <v>#REF!</v>
      </c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</row>
    <row r="40">
      <c r="A40" s="661">
        <f t="shared" si="1"/>
        <v>40</v>
      </c>
      <c r="B40" s="662" t="str">
        <f t="shared" si="2"/>
        <v>#REF!</v>
      </c>
      <c r="C40" s="662" t="str">
        <f>IFERROR(__xludf.DUMMYFUNCTION("IF(
  REGEXMATCH(B40, ""^First\(λ - λ\) ∪ Follow\(""),
  ""Follow("" &amp; REGEXEXTRACT(B40, ""Follow\(([^)]+)\)"") &amp; "") ="",
  IF(
    OR(
      REGEXMATCH(B40, ""^First\([^&lt;]""),
      REGEXMATCH(B40, ""^First\(&lt;[^A-Za-z_]"")
    ),
    """",
    IF(
     "&amp;" CFG!D40=""λ"",
      ""Follow("" &amp; CFG!B40 &amp; "") ="",
      ""First("" &amp; CFG!D40 &amp; "") =""
    )
  )
)
"),"#REF!")</f>
        <v>#REF!</v>
      </c>
      <c r="D40" s="663" t="str">
        <f>IFERROR(__xludf.DUMMYFUNCTION("IF(
  $C40="""",
  ""{ "" &amp;
    IF(
      REGEXMATCH(B40, ""^First\(\)""),
      "")"",
      REGEXEXTRACT(B40, ""^First\(([^ )]+)"")
    )
  &amp; "" }"",
  IF(
    REGEXMATCH($C40, ""^First\(&lt;""),
    VLOOKUP(REGEXEXTRACT($C40, ""\(([^)]+)\)""), 'First Set "&amp;"MacroA'!B:D, 3, FALSE),
    IF(
      REGEXMATCH($C40, ""^Follow\(&lt;""),
      VLOOKUP(REGEXEXTRACT($C40, ""\(([^)]+)\)""), 'Follow Set Macros'!B:D, 3, FALSE),
      ""{ "" &amp; REGEXEXTRACT($C40, ""\(([^)]+)\)"") &amp; "" }""
    )
  )
)
"),"#REF!")</f>
        <v>#REF!</v>
      </c>
      <c r="E40" s="664"/>
      <c r="F40" s="664"/>
      <c r="G40" s="664"/>
      <c r="H40" s="664"/>
      <c r="I40" s="664"/>
      <c r="J40" s="664"/>
      <c r="K40" s="664"/>
      <c r="L40" s="664"/>
      <c r="M40" s="664"/>
      <c r="N40" s="664"/>
      <c r="O40" s="664"/>
      <c r="P40" s="664"/>
      <c r="Q40" s="664"/>
      <c r="R40" s="664"/>
      <c r="S40" s="664"/>
      <c r="T40" s="664"/>
      <c r="U40" s="664"/>
      <c r="V40" s="664"/>
      <c r="W40" s="664"/>
      <c r="X40" s="664"/>
    </row>
    <row r="41">
      <c r="A41" s="661">
        <f t="shared" si="1"/>
        <v>41</v>
      </c>
      <c r="B41" s="662" t="str">
        <f t="shared" si="2"/>
        <v>#REF!</v>
      </c>
      <c r="C41" s="662" t="str">
        <f>IFERROR(__xludf.DUMMYFUNCTION("IF(
  REGEXMATCH(B41, ""^First\(λ - λ\) ∪ Follow\(""),
  ""Follow("" &amp; REGEXEXTRACT(B41, ""Follow\(([^)]+)\)"") &amp; "") ="",
  IF(
    OR(
      REGEXMATCH(B41, ""^First\([^&lt;]""),
      REGEXMATCH(B41, ""^First\(&lt;[^A-Za-z_]"")
    ),
    """",
    IF(
     "&amp;" CFG!D41=""λ"",
      ""Follow("" &amp; CFG!B41 &amp; "") ="",
      ""First("" &amp; CFG!D41 &amp; "") =""
    )
  )
)
"),"#REF!")</f>
        <v>#REF!</v>
      </c>
      <c r="D41" s="663" t="str">
        <f>IFERROR(__xludf.DUMMYFUNCTION("IF(
  $C41="""",
  ""{ "" &amp;
    IF(
      REGEXMATCH(B41, ""^First\(\)""),
      "")"",
      REGEXEXTRACT(B41, ""^First\(([^ )]+)"")
    )
  &amp; "" }"",
  IF(
    REGEXMATCH($C41, ""^First\(&lt;""),
    VLOOKUP(REGEXEXTRACT($C41, ""\(([^)]+)\)""), 'First Set "&amp;"MacroA'!B:D, 3, FALSE),
    IF(
      REGEXMATCH($C41, ""^Follow\(&lt;""),
      VLOOKUP(REGEXEXTRACT($C41, ""\(([^)]+)\)""), 'Follow Set Macros'!B:D, 3, FALSE),
      ""{ "" &amp; REGEXEXTRACT($C41, ""\(([^)]+)\)"") &amp; "" }""
    )
  )
)
"),"#REF!")</f>
        <v>#REF!</v>
      </c>
      <c r="E41" s="664"/>
      <c r="F41" s="664"/>
      <c r="G41" s="664"/>
      <c r="H41" s="664"/>
      <c r="I41" s="664"/>
      <c r="J41" s="664"/>
      <c r="K41" s="664"/>
      <c r="L41" s="664"/>
      <c r="M41" s="664"/>
      <c r="N41" s="664"/>
      <c r="O41" s="664"/>
      <c r="P41" s="664"/>
      <c r="Q41" s="664"/>
      <c r="R41" s="664"/>
      <c r="S41" s="664"/>
      <c r="T41" s="664"/>
      <c r="U41" s="664"/>
      <c r="V41" s="664"/>
      <c r="W41" s="664"/>
      <c r="X41" s="664"/>
    </row>
    <row r="42">
      <c r="A42" s="661">
        <f t="shared" si="1"/>
        <v>42</v>
      </c>
      <c r="B42" s="662" t="str">
        <f t="shared" si="2"/>
        <v>#REF!</v>
      </c>
      <c r="C42" s="662" t="str">
        <f>IFERROR(__xludf.DUMMYFUNCTION("IF(
  REGEXMATCH(B42, ""^First\(λ - λ\) ∪ Follow\(""),
  ""Follow("" &amp; REGEXEXTRACT(B42, ""Follow\(([^)]+)\)"") &amp; "") ="",
  IF(
    OR(
      REGEXMATCH(B42, ""^First\([^&lt;]""),
      REGEXMATCH(B42, ""^First\(&lt;[^A-Za-z_]"")
    ),
    """",
    IF(
     "&amp;" CFG!D42=""λ"",
      ""Follow("" &amp; CFG!B42 &amp; "") ="",
      ""First("" &amp; CFG!D42 &amp; "") =""
    )
  )
)
"),"#REF!")</f>
        <v>#REF!</v>
      </c>
      <c r="D42" s="663" t="str">
        <f>IFERROR(__xludf.DUMMYFUNCTION("IF(
  $C42="""",
  ""{ "" &amp;
    IF(
      REGEXMATCH(B42, ""^First\(\)""),
      "")"",
      REGEXEXTRACT(B42, ""^First\(([^ )]+)"")
    )
  &amp; "" }"",
  IF(
    REGEXMATCH($C42, ""^First\(&lt;""),
    VLOOKUP(REGEXEXTRACT($C42, ""\(([^)]+)\)""), 'First Set "&amp;"MacroA'!B:D, 3, FALSE),
    IF(
      REGEXMATCH($C42, ""^Follow\(&lt;""),
      VLOOKUP(REGEXEXTRACT($C42, ""\(([^)]+)\)""), 'Follow Set Macros'!B:D, 3, FALSE),
      ""{ "" &amp; REGEXEXTRACT($C42, ""\(([^)]+)\)"") &amp; "" }""
    )
  )
)
"),"#REF!")</f>
        <v>#REF!</v>
      </c>
      <c r="E42" s="664"/>
      <c r="F42" s="664"/>
      <c r="G42" s="664"/>
      <c r="H42" s="664"/>
      <c r="I42" s="664"/>
      <c r="J42" s="664"/>
      <c r="K42" s="664"/>
      <c r="L42" s="664"/>
      <c r="M42" s="664"/>
      <c r="N42" s="664"/>
      <c r="O42" s="664"/>
      <c r="P42" s="664"/>
      <c r="Q42" s="664"/>
      <c r="R42" s="664"/>
      <c r="S42" s="664"/>
      <c r="T42" s="664"/>
      <c r="U42" s="664"/>
      <c r="V42" s="664"/>
      <c r="W42" s="664"/>
      <c r="X42" s="664"/>
    </row>
    <row r="43">
      <c r="A43" s="661">
        <f t="shared" si="1"/>
        <v>43</v>
      </c>
      <c r="B43" s="662" t="str">
        <f t="shared" si="2"/>
        <v>#REF!</v>
      </c>
      <c r="C43" s="662" t="str">
        <f>IFERROR(__xludf.DUMMYFUNCTION("IF(
  REGEXMATCH(B43, ""^First\(λ - λ\) ∪ Follow\(""),
  ""Follow("" &amp; REGEXEXTRACT(B43, ""Follow\(([^)]+)\)"") &amp; "") ="",
  IF(
    OR(
      REGEXMATCH(B43, ""^First\([^&lt;]""),
      REGEXMATCH(B43, ""^First\(&lt;[^A-Za-z_]"")
    ),
    """",
    IF(
     "&amp;" CFG!D43=""λ"",
      ""Follow("" &amp; CFG!B43 &amp; "") ="",
      ""First("" &amp; CFG!D43 &amp; "") =""
    )
  )
)
"),"#REF!")</f>
        <v>#REF!</v>
      </c>
      <c r="D43" s="663" t="str">
        <f>IFERROR(__xludf.DUMMYFUNCTION("IF(
  $C43="""",
  ""{ "" &amp;
    IF(
      REGEXMATCH(B43, ""^First\(\)""),
      "")"",
      REGEXEXTRACT(B43, ""^First\(([^ )]+)"")
    )
  &amp; "" }"",
  IF(
    REGEXMATCH($C43, ""^First\(&lt;""),
    VLOOKUP(REGEXEXTRACT($C43, ""\(([^)]+)\)""), 'First Set "&amp;"MacroA'!B:D, 3, FALSE),
    IF(
      REGEXMATCH($C43, ""^Follow\(&lt;""),
      VLOOKUP(REGEXEXTRACT($C43, ""\(([^)]+)\)""), 'Follow Set Macros'!B:D, 3, FALSE),
      ""{ "" &amp; REGEXEXTRACT($C43, ""\(([^)]+)\)"") &amp; "" }""
    )
  )
)
"),"#REF!")</f>
        <v>#REF!</v>
      </c>
      <c r="E43" s="664"/>
      <c r="F43" s="664"/>
      <c r="G43" s="664"/>
      <c r="H43" s="664"/>
      <c r="I43" s="664"/>
      <c r="J43" s="664"/>
      <c r="K43" s="664"/>
      <c r="L43" s="664"/>
      <c r="M43" s="664"/>
      <c r="N43" s="664"/>
      <c r="O43" s="664"/>
      <c r="P43" s="664"/>
      <c r="Q43" s="664"/>
      <c r="R43" s="664"/>
      <c r="S43" s="664"/>
      <c r="T43" s="664"/>
      <c r="U43" s="664"/>
      <c r="V43" s="664"/>
      <c r="W43" s="664"/>
      <c r="X43" s="664"/>
    </row>
    <row r="44">
      <c r="A44" s="661">
        <f t="shared" si="1"/>
        <v>44</v>
      </c>
      <c r="B44" s="662" t="str">
        <f t="shared" si="2"/>
        <v>#REF!</v>
      </c>
      <c r="C44" s="662" t="str">
        <f>IFERROR(__xludf.DUMMYFUNCTION("IF(
  REGEXMATCH(B44, ""^First\(λ - λ\) ∪ Follow\(""),
  ""Follow("" &amp; REGEXEXTRACT(B44, ""Follow\(([^)]+)\)"") &amp; "") ="",
  IF(
    OR(
      REGEXMATCH(B44, ""^First\([^&lt;]""),
      REGEXMATCH(B44, ""^First\(&lt;[^A-Za-z_]"")
    ),
    """",
    IF(
     "&amp;" CFG!D44=""λ"",
      ""Follow("" &amp; CFG!B44 &amp; "") ="",
      ""First("" &amp; CFG!D44 &amp; "") =""
    )
  )
)
"),"#REF!")</f>
        <v>#REF!</v>
      </c>
      <c r="D44" s="663" t="str">
        <f>IFERROR(__xludf.DUMMYFUNCTION("IF(
  $C44="""",
  ""{ "" &amp;
    IF(
      REGEXMATCH(B44, ""^First\(\)""),
      "")"",
      REGEXEXTRACT(B44, ""^First\(([^ )]+)"")
    )
  &amp; "" }"",
  IF(
    REGEXMATCH($C44, ""^First\(&lt;""),
    VLOOKUP(REGEXEXTRACT($C44, ""\(([^)]+)\)""), 'First Set "&amp;"MacroA'!B:D, 3, FALSE),
    IF(
      REGEXMATCH($C44, ""^Follow\(&lt;""),
      VLOOKUP(REGEXEXTRACT($C44, ""\(([^)]+)\)""), 'Follow Set Macros'!B:D, 3, FALSE),
      ""{ "" &amp; REGEXEXTRACT($C44, ""\(([^)]+)\)"") &amp; "" }""
    )
  )
)
"),"#REF!")</f>
        <v>#REF!</v>
      </c>
      <c r="E44" s="664"/>
      <c r="F44" s="664"/>
      <c r="G44" s="664"/>
      <c r="H44" s="664"/>
      <c r="I44" s="664"/>
      <c r="J44" s="664"/>
      <c r="K44" s="664"/>
      <c r="L44" s="664"/>
      <c r="M44" s="664"/>
      <c r="N44" s="664"/>
      <c r="O44" s="664"/>
      <c r="P44" s="664"/>
      <c r="Q44" s="664"/>
      <c r="R44" s="664"/>
      <c r="S44" s="664"/>
      <c r="T44" s="664"/>
      <c r="U44" s="664"/>
      <c r="V44" s="664"/>
      <c r="W44" s="664"/>
      <c r="X44" s="664"/>
    </row>
    <row r="45">
      <c r="A45" s="661">
        <f t="shared" si="1"/>
        <v>45</v>
      </c>
      <c r="B45" s="662" t="str">
        <f t="shared" si="2"/>
        <v>#REF!</v>
      </c>
      <c r="C45" s="662" t="str">
        <f>IFERROR(__xludf.DUMMYFUNCTION("IF(
  REGEXMATCH(B45, ""^First\(λ - λ\) ∪ Follow\(""),
  ""Follow("" &amp; REGEXEXTRACT(B45, ""Follow\(([^)]+)\)"") &amp; "") ="",
  IF(
    OR(
      REGEXMATCH(B45, ""^First\([^&lt;]""),
      REGEXMATCH(B45, ""^First\(&lt;[^A-Za-z_]"")
    ),
    """",
    IF(
     "&amp;" CFG!D45=""λ"",
      ""Follow("" &amp; CFG!B45 &amp; "") ="",
      ""First("" &amp; CFG!D45 &amp; "") =""
    )
  )
)
"),"#REF!")</f>
        <v>#REF!</v>
      </c>
      <c r="D45" s="663" t="str">
        <f>IFERROR(__xludf.DUMMYFUNCTION("IF(
  $C45="""",
  ""{ "" &amp;
    IF(
      REGEXMATCH(B45, ""^First\(\)""),
      "")"",
      REGEXEXTRACT(B45, ""^First\(([^ )]+)"")
    )
  &amp; "" }"",
  IF(
    REGEXMATCH($C45, ""^First\(&lt;""),
    VLOOKUP(REGEXEXTRACT($C45, ""\(([^)]+)\)""), 'First Set "&amp;"MacroA'!B:D, 3, FALSE),
    IF(
      REGEXMATCH($C45, ""^Follow\(&lt;""),
      VLOOKUP(REGEXEXTRACT($C45, ""\(([^)]+)\)""), 'Follow Set Macros'!B:D, 3, FALSE),
      ""{ "" &amp; REGEXEXTRACT($C45, ""\(([^)]+)\)"") &amp; "" }""
    )
  )
)
"),"#REF!")</f>
        <v>#REF!</v>
      </c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</row>
    <row r="46">
      <c r="A46" s="661">
        <f t="shared" si="1"/>
        <v>46</v>
      </c>
      <c r="B46" s="662" t="str">
        <f t="shared" si="2"/>
        <v>#REF!</v>
      </c>
      <c r="C46" s="662" t="str">
        <f>IFERROR(__xludf.DUMMYFUNCTION("IF(
  REGEXMATCH(B46, ""^First\(λ - λ\) ∪ Follow\(""),
  ""Follow("" &amp; REGEXEXTRACT(B46, ""Follow\(([^)]+)\)"") &amp; "") ="",
  IF(
    OR(
      REGEXMATCH(B46, ""^First\([^&lt;]""),
      REGEXMATCH(B46, ""^First\(&lt;[^A-Za-z_]"")
    ),
    """",
    IF(
     "&amp;" CFG!D46=""λ"",
      ""Follow("" &amp; CFG!B46 &amp; "") ="",
      ""First("" &amp; CFG!D46 &amp; "") =""
    )
  )
)
"),"#REF!")</f>
        <v>#REF!</v>
      </c>
      <c r="D46" s="663" t="str">
        <f>IFERROR(__xludf.DUMMYFUNCTION("IF(
  $C46="""",
  ""{ "" &amp;
    IF(
      REGEXMATCH(B46, ""^First\(\)""),
      "")"",
      REGEXEXTRACT(B46, ""^First\(([^ )]+)"")
    )
  &amp; "" }"",
  IF(
    REGEXMATCH($C46, ""^First\(&lt;""),
    VLOOKUP(REGEXEXTRACT($C46, ""\(([^)]+)\)""), 'First Set "&amp;"MacroA'!B:D, 3, FALSE),
    IF(
      REGEXMATCH($C46, ""^Follow\(&lt;""),
      VLOOKUP(REGEXEXTRACT($C46, ""\(([^)]+)\)""), 'Follow Set Macros'!B:D, 3, FALSE),
      ""{ "" &amp; REGEXEXTRACT($C46, ""\(([^)]+)\)"") &amp; "" }""
    )
  )
)
"),"#REF!")</f>
        <v>#REF!</v>
      </c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</row>
    <row r="47">
      <c r="A47" s="661">
        <f t="shared" si="1"/>
        <v>47</v>
      </c>
      <c r="B47" s="662" t="str">
        <f t="shared" si="2"/>
        <v>#REF!</v>
      </c>
      <c r="C47" s="662" t="str">
        <f>IFERROR(__xludf.DUMMYFUNCTION("IF(
  REGEXMATCH(B47, ""^First\(λ - λ\) ∪ Follow\(""),
  ""Follow("" &amp; REGEXEXTRACT(B47, ""Follow\(([^)]+)\)"") &amp; "") ="",
  IF(
    OR(
      REGEXMATCH(B47, ""^First\([^&lt;]""),
      REGEXMATCH(B47, ""^First\(&lt;[^A-Za-z_]"")
    ),
    """",
    IF(
     "&amp;" CFG!D47=""λ"",
      ""Follow("" &amp; CFG!B47 &amp; "") ="",
      ""First("" &amp; CFG!D47 &amp; "") =""
    )
  )
)
"),"#REF!")</f>
        <v>#REF!</v>
      </c>
      <c r="D47" s="663" t="str">
        <f>IFERROR(__xludf.DUMMYFUNCTION("IF(
  $C47="""",
  ""{ "" &amp;
    IF(
      REGEXMATCH(B47, ""^First\(\)""),
      "")"",
      REGEXEXTRACT(B47, ""^First\(([^ )]+)"")
    )
  &amp; "" }"",
  IF(
    REGEXMATCH($C47, ""^First\(&lt;""),
    VLOOKUP(REGEXEXTRACT($C47, ""\(([^)]+)\)""), 'First Set "&amp;"MacroA'!B:D, 3, FALSE),
    IF(
      REGEXMATCH($C47, ""^Follow\(&lt;""),
      VLOOKUP(REGEXEXTRACT($C47, ""\(([^)]+)\)""), 'Follow Set Macros'!B:D, 3, FALSE),
      ""{ "" &amp; REGEXEXTRACT($C47, ""\(([^)]+)\)"") &amp; "" }""
    )
  )
)
"),"#REF!")</f>
        <v>#REF!</v>
      </c>
      <c r="E47" s="664"/>
      <c r="F47" s="664"/>
      <c r="G47" s="664"/>
      <c r="H47" s="664"/>
      <c r="I47" s="664"/>
      <c r="J47" s="664"/>
      <c r="K47" s="664"/>
      <c r="L47" s="664"/>
      <c r="M47" s="664"/>
      <c r="N47" s="664"/>
      <c r="O47" s="664"/>
      <c r="P47" s="664"/>
      <c r="Q47" s="664"/>
      <c r="R47" s="664"/>
      <c r="S47" s="664"/>
      <c r="T47" s="664"/>
      <c r="U47" s="664"/>
      <c r="V47" s="664"/>
      <c r="W47" s="664"/>
      <c r="X47" s="664"/>
    </row>
    <row r="48">
      <c r="A48" s="661">
        <f t="shared" si="1"/>
        <v>48</v>
      </c>
      <c r="B48" s="662" t="str">
        <f t="shared" si="2"/>
        <v>#REF!</v>
      </c>
      <c r="C48" s="662" t="str">
        <f>IFERROR(__xludf.DUMMYFUNCTION("IF(
  REGEXMATCH(B48, ""^First\(λ - λ\) ∪ Follow\(""),
  ""Follow("" &amp; REGEXEXTRACT(B48, ""Follow\(([^)]+)\)"") &amp; "") ="",
  IF(
    OR(
      REGEXMATCH(B48, ""^First\([^&lt;]""),
      REGEXMATCH(B48, ""^First\(&lt;[^A-Za-z_]"")
    ),
    """",
    IF(
     "&amp;" CFG!D48=""λ"",
      ""Follow("" &amp; CFG!B48 &amp; "") ="",
      ""First("" &amp; CFG!D48 &amp; "") =""
    )
  )
)
"),"#REF!")</f>
        <v>#REF!</v>
      </c>
      <c r="D48" s="663" t="str">
        <f>IFERROR(__xludf.DUMMYFUNCTION("IF(
  $C48="""",
  ""{ "" &amp;
    IF(
      REGEXMATCH(B48, ""^First\(\)""),
      "")"",
      REGEXEXTRACT(B48, ""^First\(([^ )]+)"")
    )
  &amp; "" }"",
  IF(
    REGEXMATCH($C48, ""^First\(&lt;""),
    VLOOKUP(REGEXEXTRACT($C48, ""\(([^)]+)\)""), 'First Set "&amp;"MacroA'!B:D, 3, FALSE),
    IF(
      REGEXMATCH($C48, ""^Follow\(&lt;""),
      VLOOKUP(REGEXEXTRACT($C48, ""\(([^)]+)\)""), 'Follow Set Macros'!B:D, 3, FALSE),
      ""{ "" &amp; REGEXEXTRACT($C48, ""\(([^)]+)\)"") &amp; "" }""
    )
  )
)
"),"#REF!")</f>
        <v>#REF!</v>
      </c>
      <c r="E48" s="664"/>
      <c r="F48" s="664"/>
      <c r="G48" s="664"/>
      <c r="H48" s="664"/>
      <c r="I48" s="664"/>
      <c r="J48" s="664"/>
      <c r="K48" s="664"/>
      <c r="L48" s="664"/>
      <c r="M48" s="664"/>
      <c r="N48" s="664"/>
      <c r="O48" s="664"/>
      <c r="P48" s="664"/>
      <c r="Q48" s="664"/>
      <c r="R48" s="664"/>
      <c r="S48" s="664"/>
      <c r="T48" s="664"/>
      <c r="U48" s="664"/>
      <c r="V48" s="664"/>
      <c r="W48" s="664"/>
      <c r="X48" s="664"/>
    </row>
    <row r="49">
      <c r="A49" s="661">
        <f t="shared" si="1"/>
        <v>49</v>
      </c>
      <c r="B49" s="662" t="str">
        <f t="shared" si="2"/>
        <v>#REF!</v>
      </c>
      <c r="C49" s="662" t="str">
        <f>IFERROR(__xludf.DUMMYFUNCTION("IF(
  REGEXMATCH(B49, ""^First\(λ - λ\) ∪ Follow\(""),
  ""Follow("" &amp; REGEXEXTRACT(B49, ""Follow\(([^)]+)\)"") &amp; "") ="",
  IF(
    OR(
      REGEXMATCH(B49, ""^First\([^&lt;]""),
      REGEXMATCH(B49, ""^First\(&lt;[^A-Za-z_]"")
    ),
    """",
    IF(
     "&amp;" CFG!D49=""λ"",
      ""Follow("" &amp; CFG!B49 &amp; "") ="",
      ""First("" &amp; CFG!D49 &amp; "") =""
    )
  )
)
"),"#REF!")</f>
        <v>#REF!</v>
      </c>
      <c r="D49" s="663" t="str">
        <f>IFERROR(__xludf.DUMMYFUNCTION("IF(
  $C49="""",
  ""{ "" &amp;
    IF(
      REGEXMATCH(B49, ""^First\(\)""),
      "")"",
      REGEXEXTRACT(B49, ""^First\(([^ )]+)"")
    )
  &amp; "" }"",
  IF(
    REGEXMATCH($C49, ""^First\(&lt;""),
    VLOOKUP(REGEXEXTRACT($C49, ""\(([^)]+)\)""), 'First Set "&amp;"MacroA'!B:D, 3, FALSE),
    IF(
      REGEXMATCH($C49, ""^Follow\(&lt;""),
      VLOOKUP(REGEXEXTRACT($C49, ""\(([^)]+)\)""), 'Follow Set Macros'!B:D, 3, FALSE),
      ""{ "" &amp; REGEXEXTRACT($C49, ""\(([^)]+)\)"") &amp; "" }""
    )
  )
)
"),"#REF!")</f>
        <v>#REF!</v>
      </c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</row>
    <row r="50">
      <c r="A50" s="661">
        <f t="shared" si="1"/>
        <v>50</v>
      </c>
      <c r="B50" s="662" t="str">
        <f t="shared" si="2"/>
        <v>#REF!</v>
      </c>
      <c r="C50" s="662" t="str">
        <f>IFERROR(__xludf.DUMMYFUNCTION("IF(
  REGEXMATCH(B50, ""^First\(λ - λ\) ∪ Follow\(""),
  ""Follow("" &amp; REGEXEXTRACT(B50, ""Follow\(([^)]+)\)"") &amp; "") ="",
  IF(
    OR(
      REGEXMATCH(B50, ""^First\([^&lt;]""),
      REGEXMATCH(B50, ""^First\(&lt;[^A-Za-z_]"")
    ),
    """",
    IF(
     "&amp;" CFG!D50=""λ"",
      ""Follow("" &amp; CFG!B50 &amp; "") ="",
      ""First("" &amp; CFG!D50 &amp; "") =""
    )
  )
)
"),"#REF!")</f>
        <v>#REF!</v>
      </c>
      <c r="D50" s="663" t="str">
        <f>IFERROR(__xludf.DUMMYFUNCTION("IF(
  $C50="""",
  ""{ "" &amp;
    IF(
      REGEXMATCH(B50, ""^First\(\)""),
      "")"",
      REGEXEXTRACT(B50, ""^First\(([^ )]+)"")
    )
  &amp; "" }"",
  IF(
    REGEXMATCH($C50, ""^First\(&lt;""),
    VLOOKUP(REGEXEXTRACT($C50, ""\(([^)]+)\)""), 'First Set "&amp;"MacroA'!B:D, 3, FALSE),
    IF(
      REGEXMATCH($C50, ""^Follow\(&lt;""),
      VLOOKUP(REGEXEXTRACT($C50, ""\(([^)]+)\)""), 'Follow Set Macros'!B:D, 3, FALSE),
      ""{ "" &amp; REGEXEXTRACT($C50, ""\(([^)]+)\)"") &amp; "" }""
    )
  )
)
"),"#REF!")</f>
        <v>#REF!</v>
      </c>
      <c r="E50" s="664"/>
      <c r="F50" s="664"/>
      <c r="G50" s="664"/>
      <c r="H50" s="664"/>
      <c r="I50" s="664"/>
      <c r="J50" s="664"/>
      <c r="K50" s="664"/>
      <c r="L50" s="664"/>
      <c r="M50" s="664"/>
      <c r="N50" s="664"/>
      <c r="O50" s="664"/>
      <c r="P50" s="664"/>
      <c r="Q50" s="664"/>
      <c r="R50" s="664"/>
      <c r="S50" s="664"/>
      <c r="T50" s="664"/>
      <c r="U50" s="664"/>
      <c r="V50" s="664"/>
      <c r="W50" s="664"/>
      <c r="X50" s="664"/>
    </row>
    <row r="51">
      <c r="A51" s="661">
        <f t="shared" si="1"/>
        <v>51</v>
      </c>
      <c r="B51" s="662" t="str">
        <f t="shared" si="2"/>
        <v>#REF!</v>
      </c>
      <c r="C51" s="662" t="str">
        <f>IFERROR(__xludf.DUMMYFUNCTION("IF(
  REGEXMATCH(B51, ""^First\(λ - λ\) ∪ Follow\(""),
  ""Follow("" &amp; REGEXEXTRACT(B51, ""Follow\(([^)]+)\)"") &amp; "") ="",
  IF(
    OR(
      REGEXMATCH(B51, ""^First\([^&lt;]""),
      REGEXMATCH(B51, ""^First\(&lt;[^A-Za-z_]"")
    ),
    """",
    IF(
     "&amp;" CFG!D51=""λ"",
      ""Follow("" &amp; CFG!B51 &amp; "") ="",
      ""First("" &amp; CFG!D51 &amp; "") =""
    )
  )
)
"),"#REF!")</f>
        <v>#REF!</v>
      </c>
      <c r="D51" s="663" t="str">
        <f>IFERROR(__xludf.DUMMYFUNCTION("IF(
  $C51="""",
  ""{ "" &amp;
    IF(
      REGEXMATCH(B51, ""^First\(\)""),
      "")"",
      REGEXEXTRACT(B51, ""^First\(([^ )]+)"")
    )
  &amp; "" }"",
  IF(
    REGEXMATCH($C51, ""^First\(&lt;""),
    VLOOKUP(REGEXEXTRACT($C51, ""\(([^)]+)\)""), 'First Set "&amp;"MacroA'!B:D, 3, FALSE),
    IF(
      REGEXMATCH($C51, ""^Follow\(&lt;""),
      VLOOKUP(REGEXEXTRACT($C51, ""\(([^)]+)\)""), 'Follow Set Macros'!B:D, 3, FALSE),
      ""{ "" &amp; REGEXEXTRACT($C51, ""\(([^)]+)\)"") &amp; "" }""
    )
  )
)
"),"#REF!")</f>
        <v>#REF!</v>
      </c>
      <c r="E51" s="664"/>
      <c r="F51" s="664"/>
      <c r="G51" s="664"/>
      <c r="H51" s="664"/>
      <c r="I51" s="664"/>
      <c r="J51" s="664"/>
      <c r="K51" s="664"/>
      <c r="L51" s="664"/>
      <c r="M51" s="664"/>
      <c r="N51" s="664"/>
      <c r="O51" s="664"/>
      <c r="P51" s="664"/>
      <c r="Q51" s="664"/>
      <c r="R51" s="664"/>
      <c r="S51" s="664"/>
      <c r="T51" s="664"/>
      <c r="U51" s="664"/>
      <c r="V51" s="664"/>
      <c r="W51" s="664"/>
      <c r="X51" s="664"/>
    </row>
    <row r="52">
      <c r="A52" s="661">
        <f t="shared" si="1"/>
        <v>52</v>
      </c>
      <c r="B52" s="662" t="str">
        <f t="shared" si="2"/>
        <v>#REF!</v>
      </c>
      <c r="C52" s="662" t="str">
        <f>IFERROR(__xludf.DUMMYFUNCTION("IF(
  REGEXMATCH(B52, ""^First\(λ - λ\) ∪ Follow\(""),
  ""Follow("" &amp; REGEXEXTRACT(B52, ""Follow\(([^)]+)\)"") &amp; "") ="",
  IF(
    OR(
      REGEXMATCH(B52, ""^First\([^&lt;]""),
      REGEXMATCH(B52, ""^First\(&lt;[^A-Za-z_]"")
    ),
    """",
    IF(
     "&amp;" CFG!D52=""λ"",
      ""Follow("" &amp; CFG!B52 &amp; "") ="",
      ""First("" &amp; CFG!D52 &amp; "") =""
    )
  )
)
"),"#REF!")</f>
        <v>#REF!</v>
      </c>
      <c r="D52" s="663" t="str">
        <f>IFERROR(__xludf.DUMMYFUNCTION("IF(
  $C52="""",
  ""{ "" &amp;
    IF(
      REGEXMATCH(B52, ""^First\(\)""),
      "")"",
      REGEXEXTRACT(B52, ""^First\(([^ )]+)"")
    )
  &amp; "" }"",
  IF(
    REGEXMATCH($C52, ""^First\(&lt;""),
    VLOOKUP(REGEXEXTRACT($C52, ""\(([^)]+)\)""), 'First Set "&amp;"MacroA'!B:D, 3, FALSE),
    IF(
      REGEXMATCH($C52, ""^Follow\(&lt;""),
      VLOOKUP(REGEXEXTRACT($C52, ""\(([^)]+)\)""), 'Follow Set Macros'!B:D, 3, FALSE),
      ""{ "" &amp; REGEXEXTRACT($C52, ""\(([^)]+)\)"") &amp; "" }""
    )
  )
)
"),"#REF!")</f>
        <v>#REF!</v>
      </c>
      <c r="E52" s="664"/>
      <c r="F52" s="664"/>
      <c r="G52" s="664"/>
      <c r="H52" s="664"/>
      <c r="I52" s="664"/>
      <c r="J52" s="664"/>
      <c r="K52" s="664"/>
      <c r="L52" s="664"/>
      <c r="M52" s="664"/>
      <c r="N52" s="664"/>
      <c r="O52" s="664"/>
      <c r="P52" s="664"/>
      <c r="Q52" s="664"/>
      <c r="R52" s="664"/>
      <c r="S52" s="664"/>
      <c r="T52" s="664"/>
      <c r="U52" s="664"/>
      <c r="V52" s="664"/>
      <c r="W52" s="664"/>
      <c r="X52" s="664"/>
    </row>
    <row r="53">
      <c r="A53" s="661">
        <f t="shared" si="1"/>
        <v>53</v>
      </c>
      <c r="B53" s="662" t="str">
        <f t="shared" si="2"/>
        <v>#REF!</v>
      </c>
      <c r="C53" s="662" t="str">
        <f>IFERROR(__xludf.DUMMYFUNCTION("IF(
  REGEXMATCH(B53, ""^First\(λ - λ\) ∪ Follow\(""),
  ""Follow("" &amp; REGEXEXTRACT(B53, ""Follow\(([^)]+)\)"") &amp; "") ="",
  IF(
    OR(
      REGEXMATCH(B53, ""^First\([^&lt;]""),
      REGEXMATCH(B53, ""^First\(&lt;[^A-Za-z_]"")
    ),
    """",
    IF(
     "&amp;" CFG!D53=""λ"",
      ""Follow("" &amp; CFG!B53 &amp; "") ="",
      ""First("" &amp; CFG!D53 &amp; "") =""
    )
  )
)
"),"#REF!")</f>
        <v>#REF!</v>
      </c>
      <c r="D53" s="663" t="str">
        <f>IFERROR(__xludf.DUMMYFUNCTION("IF(
  $C53="""",
  ""{ "" &amp;
    IF(
      REGEXMATCH(B53, ""^First\(\)""),
      "")"",
      REGEXEXTRACT(B53, ""^First\(([^ )]+)"")
    )
  &amp; "" }"",
  IF(
    REGEXMATCH($C53, ""^First\(&lt;""),
    VLOOKUP(REGEXEXTRACT($C53, ""\(([^)]+)\)""), 'First Set "&amp;"MacroA'!B:D, 3, FALSE),
    IF(
      REGEXMATCH($C53, ""^Follow\(&lt;""),
      VLOOKUP(REGEXEXTRACT($C53, ""\(([^)]+)\)""), 'Follow Set Macros'!B:D, 3, FALSE),
      ""{ "" &amp; REGEXEXTRACT($C53, ""\(([^)]+)\)"") &amp; "" }""
    )
  )
)
"),"#REF!")</f>
        <v>#REF!</v>
      </c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</row>
    <row r="54">
      <c r="A54" s="661">
        <f t="shared" si="1"/>
        <v>54</v>
      </c>
      <c r="B54" s="662" t="str">
        <f t="shared" si="2"/>
        <v>#REF!</v>
      </c>
      <c r="C54" s="662" t="str">
        <f>IFERROR(__xludf.DUMMYFUNCTION("IF(
  REGEXMATCH(B54, ""^First\(λ - λ\) ∪ Follow\(""),
  ""Follow("" &amp; REGEXEXTRACT(B54, ""Follow\(([^)]+)\)"") &amp; "") ="",
  IF(
    OR(
      REGEXMATCH(B54, ""^First\([^&lt;]""),
      REGEXMATCH(B54, ""^First\(&lt;[^A-Za-z_]"")
    ),
    """",
    IF(
     "&amp;" CFG!D54=""λ"",
      ""Follow("" &amp; CFG!B54 &amp; "") ="",
      ""First("" &amp; CFG!D54 &amp; "") =""
    )
  )
)
"),"#REF!")</f>
        <v>#REF!</v>
      </c>
      <c r="D54" s="663" t="str">
        <f>IFERROR(__xludf.DUMMYFUNCTION("IF(
  $C54="""",
  ""{ "" &amp;
    IF(
      REGEXMATCH(B54, ""^First\(\)""),
      "")"",
      REGEXEXTRACT(B54, ""^First\(([^ )]+)"")
    )
  &amp; "" }"",
  IF(
    REGEXMATCH($C54, ""^First\(&lt;""),
    VLOOKUP(REGEXEXTRACT($C54, ""\(([^)]+)\)""), 'First Set "&amp;"MacroA'!B:D, 3, FALSE),
    IF(
      REGEXMATCH($C54, ""^Follow\(&lt;""),
      VLOOKUP(REGEXEXTRACT($C54, ""\(([^)]+)\)""), 'Follow Set Macros'!B:D, 3, FALSE),
      ""{ "" &amp; REGEXEXTRACT($C54, ""\(([^)]+)\)"") &amp; "" }""
    )
  )
)
"),"#REF!")</f>
        <v>#REF!</v>
      </c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</row>
    <row r="55">
      <c r="A55" s="661">
        <f t="shared" si="1"/>
        <v>55</v>
      </c>
      <c r="B55" s="662" t="str">
        <f t="shared" si="2"/>
        <v>#REF!</v>
      </c>
      <c r="C55" s="662" t="str">
        <f>IFERROR(__xludf.DUMMYFUNCTION("IF(
  REGEXMATCH(B55, ""^First\(λ - λ\) ∪ Follow\(""),
  ""Follow("" &amp; REGEXEXTRACT(B55, ""Follow\(([^)]+)\)"") &amp; "") ="",
  IF(
    OR(
      REGEXMATCH(B55, ""^First\([^&lt;]""),
      REGEXMATCH(B55, ""^First\(&lt;[^A-Za-z_]"")
    ),
    """",
    IF(
     "&amp;" CFG!D55=""λ"",
      ""Follow("" &amp; CFG!B55 &amp; "") ="",
      ""First("" &amp; CFG!D55 &amp; "") =""
    )
  )
)
"),"#REF!")</f>
        <v>#REF!</v>
      </c>
      <c r="D55" s="663" t="str">
        <f>IFERROR(__xludf.DUMMYFUNCTION("IF(
  $C55="""",
  ""{ "" &amp;
    IF(
      REGEXMATCH(B55, ""^First\(\)""),
      "")"",
      REGEXEXTRACT(B55, ""^First\(([^ )]+)"")
    )
  &amp; "" }"",
  IF(
    REGEXMATCH($C55, ""^First\(&lt;""),
    VLOOKUP(REGEXEXTRACT($C55, ""\(([^)]+)\)""), 'First Set "&amp;"MacroA'!B:D, 3, FALSE),
    IF(
      REGEXMATCH($C55, ""^Follow\(&lt;""),
      VLOOKUP(REGEXEXTRACT($C55, ""\(([^)]+)\)""), 'Follow Set Macros'!B:D, 3, FALSE),
      ""{ "" &amp; REGEXEXTRACT($C55, ""\(([^)]+)\)"") &amp; "" }""
    )
  )
)
"),"#REF!")</f>
        <v>#REF!</v>
      </c>
      <c r="E55" s="664"/>
      <c r="F55" s="664"/>
      <c r="G55" s="664"/>
      <c r="H55" s="664"/>
      <c r="I55" s="664"/>
      <c r="J55" s="664"/>
      <c r="K55" s="664"/>
      <c r="L55" s="664"/>
      <c r="M55" s="664"/>
      <c r="N55" s="664"/>
      <c r="O55" s="664"/>
      <c r="P55" s="664"/>
      <c r="Q55" s="664"/>
      <c r="R55" s="664"/>
      <c r="S55" s="664"/>
      <c r="T55" s="664"/>
      <c r="U55" s="664"/>
      <c r="V55" s="664"/>
      <c r="W55" s="664"/>
      <c r="X55" s="664"/>
    </row>
    <row r="56">
      <c r="A56" s="661">
        <f t="shared" si="1"/>
        <v>56</v>
      </c>
      <c r="B56" s="662" t="str">
        <f t="shared" si="2"/>
        <v>#REF!</v>
      </c>
      <c r="C56" s="662" t="str">
        <f>IFERROR(__xludf.DUMMYFUNCTION("IF(
  REGEXMATCH(B56, ""^First\(λ - λ\) ∪ Follow\(""),
  ""Follow("" &amp; REGEXEXTRACT(B56, ""Follow\(([^)]+)\)"") &amp; "") ="",
  IF(
    OR(
      REGEXMATCH(B56, ""^First\([^&lt;]""),
      REGEXMATCH(B56, ""^First\(&lt;[^A-Za-z_]"")
    ),
    """",
    IF(
     "&amp;" CFG!D56=""λ"",
      ""Follow("" &amp; CFG!B56 &amp; "") ="",
      ""First("" &amp; CFG!D56 &amp; "") =""
    )
  )
)
"),"#REF!")</f>
        <v>#REF!</v>
      </c>
      <c r="D56" s="663" t="str">
        <f>IFERROR(__xludf.DUMMYFUNCTION("IF(
  $C56="""",
  ""{ "" &amp;
    IF(
      REGEXMATCH(B56, ""^First\(\)""),
      "")"",
      REGEXEXTRACT(B56, ""^First\(([^ )]+)"")
    )
  &amp; "" }"",
  IF(
    REGEXMATCH($C56, ""^First\(&lt;""),
    VLOOKUP(REGEXEXTRACT($C56, ""\(([^)]+)\)""), 'First Set "&amp;"MacroA'!B:D, 3, FALSE),
    IF(
      REGEXMATCH($C56, ""^Follow\(&lt;""),
      VLOOKUP(REGEXEXTRACT($C56, ""\(([^)]+)\)""), 'Follow Set Macros'!B:D, 3, FALSE),
      ""{ "" &amp; REGEXEXTRACT($C56, ""\(([^)]+)\)"") &amp; "" }""
    )
  )
)
"),"#REF!")</f>
        <v>#REF!</v>
      </c>
      <c r="E56" s="664"/>
      <c r="F56" s="664"/>
      <c r="G56" s="664"/>
      <c r="H56" s="664"/>
      <c r="I56" s="664"/>
      <c r="J56" s="664"/>
      <c r="K56" s="664"/>
      <c r="L56" s="664"/>
      <c r="M56" s="664"/>
      <c r="N56" s="664"/>
      <c r="O56" s="664"/>
      <c r="P56" s="664"/>
      <c r="Q56" s="664"/>
      <c r="R56" s="664"/>
      <c r="S56" s="664"/>
      <c r="T56" s="664"/>
      <c r="U56" s="664"/>
      <c r="V56" s="664"/>
      <c r="W56" s="664"/>
      <c r="X56" s="664"/>
    </row>
    <row r="57">
      <c r="A57" s="661">
        <f t="shared" si="1"/>
        <v>57</v>
      </c>
      <c r="B57" s="662" t="str">
        <f t="shared" si="2"/>
        <v>#REF!</v>
      </c>
      <c r="C57" s="662" t="str">
        <f>IFERROR(__xludf.DUMMYFUNCTION("IF(
  REGEXMATCH(B57, ""^First\(λ - λ\) ∪ Follow\(""),
  ""Follow("" &amp; REGEXEXTRACT(B57, ""Follow\(([^)]+)\)"") &amp; "") ="",
  IF(
    OR(
      REGEXMATCH(B57, ""^First\([^&lt;]""),
      REGEXMATCH(B57, ""^First\(&lt;[^A-Za-z_]"")
    ),
    """",
    IF(
     "&amp;" CFG!D57=""λ"",
      ""Follow("" &amp; CFG!B57 &amp; "") ="",
      ""First("" &amp; CFG!D57 &amp; "") =""
    )
  )
)
"),"#REF!")</f>
        <v>#REF!</v>
      </c>
      <c r="D57" s="663" t="str">
        <f>IFERROR(__xludf.DUMMYFUNCTION("IF(
  $C57="""",
  ""{ "" &amp;
    IF(
      REGEXMATCH(B57, ""^First\(\)""),
      "")"",
      REGEXEXTRACT(B57, ""^First\(([^ )]+)"")
    )
  &amp; "" }"",
  IF(
    REGEXMATCH($C57, ""^First\(&lt;""),
    VLOOKUP(REGEXEXTRACT($C57, ""\(([^)]+)\)""), 'First Set "&amp;"MacroA'!B:D, 3, FALSE),
    IF(
      REGEXMATCH($C57, ""^Follow\(&lt;""),
      VLOOKUP(REGEXEXTRACT($C57, ""\(([^)]+)\)""), 'Follow Set Macros'!B:D, 3, FALSE),
      ""{ "" &amp; REGEXEXTRACT($C57, ""\(([^)]+)\)"") &amp; "" }""
    )
  )
)
"),"#REF!")</f>
        <v>#REF!</v>
      </c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</row>
    <row r="58">
      <c r="A58" s="661">
        <f t="shared" si="1"/>
        <v>58</v>
      </c>
      <c r="B58" s="662" t="str">
        <f t="shared" si="2"/>
        <v>#REF!</v>
      </c>
      <c r="C58" s="662" t="str">
        <f>IFERROR(__xludf.DUMMYFUNCTION("IF(
  REGEXMATCH(B58, ""^First\(λ - λ\) ∪ Follow\(""),
  ""Follow("" &amp; REGEXEXTRACT(B58, ""Follow\(([^)]+)\)"") &amp; "") ="",
  IF(
    OR(
      REGEXMATCH(B58, ""^First\([^&lt;]""),
      REGEXMATCH(B58, ""^First\(&lt;[^A-Za-z_]"")
    ),
    """",
    IF(
     "&amp;" CFG!D58=""λ"",
      ""Follow("" &amp; CFG!B58 &amp; "") ="",
      ""First("" &amp; CFG!D58 &amp; "") =""
    )
  )
)
"),"#REF!")</f>
        <v>#REF!</v>
      </c>
      <c r="D58" s="663" t="str">
        <f>IFERROR(__xludf.DUMMYFUNCTION("IF(
  $C58="""",
  ""{ "" &amp;
    IF(
      REGEXMATCH(B58, ""^First\(\)""),
      "")"",
      REGEXEXTRACT(B58, ""^First\(([^ )]+)"")
    )
  &amp; "" }"",
  IF(
    REGEXMATCH($C58, ""^First\(&lt;""),
    VLOOKUP(REGEXEXTRACT($C58, ""\(([^)]+)\)""), 'First Set "&amp;"MacroA'!B:D, 3, FALSE),
    IF(
      REGEXMATCH($C58, ""^Follow\(&lt;""),
      VLOOKUP(REGEXEXTRACT($C58, ""\(([^)]+)\)""), 'Follow Set Macros'!B:D, 3, FALSE),
      ""{ "" &amp; REGEXEXTRACT($C58, ""\(([^)]+)\)"") &amp; "" }""
    )
  )
)
"),"#REF!")</f>
        <v>#REF!</v>
      </c>
      <c r="E58" s="664"/>
      <c r="F58" s="664"/>
      <c r="G58" s="664"/>
      <c r="H58" s="664"/>
      <c r="I58" s="664"/>
      <c r="J58" s="664"/>
      <c r="K58" s="664"/>
      <c r="L58" s="664"/>
      <c r="M58" s="664"/>
      <c r="N58" s="664"/>
      <c r="O58" s="664"/>
      <c r="P58" s="664"/>
      <c r="Q58" s="664"/>
      <c r="R58" s="664"/>
      <c r="S58" s="664"/>
      <c r="T58" s="664"/>
      <c r="U58" s="664"/>
      <c r="V58" s="664"/>
      <c r="W58" s="664"/>
      <c r="X58" s="664"/>
    </row>
    <row r="59">
      <c r="A59" s="661">
        <f t="shared" si="1"/>
        <v>59</v>
      </c>
      <c r="B59" s="662" t="str">
        <f t="shared" si="2"/>
        <v>#REF!</v>
      </c>
      <c r="C59" s="662" t="str">
        <f>IFERROR(__xludf.DUMMYFUNCTION("IF(
  REGEXMATCH(B59, ""^First\(λ - λ\) ∪ Follow\(""),
  ""Follow("" &amp; REGEXEXTRACT(B59, ""Follow\(([^)]+)\)"") &amp; "") ="",
  IF(
    OR(
      REGEXMATCH(B59, ""^First\([^&lt;]""),
      REGEXMATCH(B59, ""^First\(&lt;[^A-Za-z_]"")
    ),
    """",
    IF(
     "&amp;" CFG!D59=""λ"",
      ""Follow("" &amp; CFG!B59 &amp; "") ="",
      ""First("" &amp; CFG!D59 &amp; "") =""
    )
  )
)
"),"#REF!")</f>
        <v>#REF!</v>
      </c>
      <c r="D59" s="663" t="str">
        <f>IFERROR(__xludf.DUMMYFUNCTION("IF(
  $C59="""",
  ""{ "" &amp;
    IF(
      REGEXMATCH(B59, ""^First\(\)""),
      "")"",
      REGEXEXTRACT(B59, ""^First\(([^ )]+)"")
    )
  &amp; "" }"",
  IF(
    REGEXMATCH($C59, ""^First\(&lt;""),
    VLOOKUP(REGEXEXTRACT($C59, ""\(([^)]+)\)""), 'First Set "&amp;"MacroA'!B:D, 3, FALSE),
    IF(
      REGEXMATCH($C59, ""^Follow\(&lt;""),
      VLOOKUP(REGEXEXTRACT($C59, ""\(([^)]+)\)""), 'Follow Set Macros'!B:D, 3, FALSE),
      ""{ "" &amp; REGEXEXTRACT($C59, ""\(([^)]+)\)"") &amp; "" }""
    )
  )
)
"),"#REF!")</f>
        <v>#REF!</v>
      </c>
      <c r="E59" s="664"/>
      <c r="F59" s="664"/>
      <c r="G59" s="664"/>
      <c r="H59" s="664"/>
      <c r="I59" s="664"/>
      <c r="J59" s="664"/>
      <c r="K59" s="664"/>
      <c r="L59" s="664"/>
      <c r="M59" s="664"/>
      <c r="N59" s="664"/>
      <c r="O59" s="664"/>
      <c r="P59" s="664"/>
      <c r="Q59" s="664"/>
      <c r="R59" s="664"/>
      <c r="S59" s="664"/>
      <c r="T59" s="664"/>
      <c r="U59" s="664"/>
      <c r="V59" s="664"/>
      <c r="W59" s="664"/>
      <c r="X59" s="664"/>
    </row>
    <row r="60">
      <c r="A60" s="661">
        <f t="shared" si="1"/>
        <v>60</v>
      </c>
      <c r="B60" s="662" t="str">
        <f t="shared" si="2"/>
        <v>#REF!</v>
      </c>
      <c r="C60" s="662" t="str">
        <f>IFERROR(__xludf.DUMMYFUNCTION("IF(
  REGEXMATCH(B60, ""^First\(λ - λ\) ∪ Follow\(""),
  ""Follow("" &amp; REGEXEXTRACT(B60, ""Follow\(([^)]+)\)"") &amp; "") ="",
  IF(
    OR(
      REGEXMATCH(B60, ""^First\([^&lt;]""),
      REGEXMATCH(B60, ""^First\(&lt;[^A-Za-z_]"")
    ),
    """",
    IF(
     "&amp;" CFG!D60=""λ"",
      ""Follow("" &amp; CFG!B60 &amp; "") ="",
      ""First("" &amp; CFG!D60 &amp; "") =""
    )
  )
)
"),"#REF!")</f>
        <v>#REF!</v>
      </c>
      <c r="D60" s="663" t="str">
        <f>IFERROR(__xludf.DUMMYFUNCTION("IF(
  $C60="""",
  ""{ "" &amp;
    IF(
      REGEXMATCH(B60, ""^First\(\)""),
      "")"",
      REGEXEXTRACT(B60, ""^First\(([^ )]+)"")
    )
  &amp; "" }"",
  IF(
    REGEXMATCH($C60, ""^First\(&lt;""),
    VLOOKUP(REGEXEXTRACT($C60, ""\(([^)]+)\)""), 'First Set "&amp;"MacroA'!B:D, 3, FALSE),
    IF(
      REGEXMATCH($C60, ""^Follow\(&lt;""),
      VLOOKUP(REGEXEXTRACT($C60, ""\(([^)]+)\)""), 'Follow Set Macros'!B:D, 3, FALSE),
      ""{ "" &amp; REGEXEXTRACT($C60, ""\(([^)]+)\)"") &amp; "" }""
    )
  )
)
"),"#REF!")</f>
        <v>#REF!</v>
      </c>
      <c r="E60" s="664"/>
      <c r="F60" s="664"/>
      <c r="G60" s="664"/>
      <c r="H60" s="664"/>
      <c r="I60" s="664"/>
      <c r="J60" s="664"/>
      <c r="K60" s="664"/>
      <c r="L60" s="664"/>
      <c r="M60" s="664"/>
      <c r="N60" s="664"/>
      <c r="O60" s="664"/>
      <c r="P60" s="664"/>
      <c r="Q60" s="664"/>
      <c r="R60" s="664"/>
      <c r="S60" s="664"/>
      <c r="T60" s="664"/>
      <c r="U60" s="664"/>
      <c r="V60" s="664"/>
      <c r="W60" s="664"/>
      <c r="X60" s="664"/>
    </row>
    <row r="61">
      <c r="A61" s="661">
        <f t="shared" si="1"/>
        <v>61</v>
      </c>
      <c r="B61" s="662" t="str">
        <f t="shared" si="2"/>
        <v>#REF!</v>
      </c>
      <c r="C61" s="662" t="str">
        <f>IFERROR(__xludf.DUMMYFUNCTION("IF(
  REGEXMATCH(B61, ""^First\(λ - λ\) ∪ Follow\(""),
  ""Follow("" &amp; REGEXEXTRACT(B61, ""Follow\(([^)]+)\)"") &amp; "") ="",
  IF(
    OR(
      REGEXMATCH(B61, ""^First\([^&lt;]""),
      REGEXMATCH(B61, ""^First\(&lt;[^A-Za-z_]"")
    ),
    """",
    IF(
     "&amp;" CFG!D61=""λ"",
      ""Follow("" &amp; CFG!B61 &amp; "") ="",
      ""First("" &amp; CFG!D61 &amp; "") =""
    )
  )
)
"),"#REF!")</f>
        <v>#REF!</v>
      </c>
      <c r="D61" s="663" t="str">
        <f>IFERROR(__xludf.DUMMYFUNCTION("IF(
  $C61="""",
  ""{ "" &amp;
    IF(
      REGEXMATCH(B61, ""^First\(\)""),
      "")"",
      REGEXEXTRACT(B61, ""^First\(([^ )]+)"")
    )
  &amp; "" }"",
  IF(
    REGEXMATCH($C61, ""^First\(&lt;""),
    VLOOKUP(REGEXEXTRACT($C61, ""\(([^)]+)\)""), 'First Set "&amp;"MacroA'!B:D, 3, FALSE),
    IF(
      REGEXMATCH($C61, ""^Follow\(&lt;""),
      VLOOKUP(REGEXEXTRACT($C61, ""\(([^)]+)\)""), 'Follow Set Macros'!B:D, 3, FALSE),
      ""{ "" &amp; REGEXEXTRACT($C61, ""\(([^)]+)\)"") &amp; "" }""
    )
  )
)
"),"#REF!")</f>
        <v>#REF!</v>
      </c>
      <c r="E61" s="664"/>
      <c r="F61" s="664"/>
      <c r="G61" s="664"/>
      <c r="H61" s="664"/>
      <c r="I61" s="664"/>
      <c r="J61" s="664"/>
      <c r="K61" s="664"/>
      <c r="L61" s="664"/>
      <c r="M61" s="664"/>
      <c r="N61" s="664"/>
      <c r="O61" s="664"/>
      <c r="P61" s="664"/>
      <c r="Q61" s="664"/>
      <c r="R61" s="664"/>
      <c r="S61" s="664"/>
      <c r="T61" s="664"/>
      <c r="U61" s="664"/>
      <c r="V61" s="664"/>
      <c r="W61" s="664"/>
      <c r="X61" s="664"/>
    </row>
    <row r="62">
      <c r="A62" s="661">
        <f t="shared" si="1"/>
        <v>62</v>
      </c>
      <c r="B62" s="662" t="str">
        <f t="shared" si="2"/>
        <v>#REF!</v>
      </c>
      <c r="C62" s="662" t="str">
        <f>IFERROR(__xludf.DUMMYFUNCTION("IF(
  REGEXMATCH(B62, ""^First\(λ - λ\) ∪ Follow\(""),
  ""Follow("" &amp; REGEXEXTRACT(B62, ""Follow\(([^)]+)\)"") &amp; "") ="",
  IF(
    OR(
      REGEXMATCH(B62, ""^First\([^&lt;]""),
      REGEXMATCH(B62, ""^First\(&lt;[^A-Za-z_]"")
    ),
    """",
    IF(
     "&amp;" CFG!D62=""λ"",
      ""Follow("" &amp; CFG!B62 &amp; "") ="",
      ""First("" &amp; CFG!D62 &amp; "") =""
    )
  )
)
"),"#REF!")</f>
        <v>#REF!</v>
      </c>
      <c r="D62" s="663" t="str">
        <f>IFERROR(__xludf.DUMMYFUNCTION("IF(
  $C62="""",
  ""{ "" &amp;
    IF(
      REGEXMATCH(B62, ""^First\(\)""),
      "")"",
      REGEXEXTRACT(B62, ""^First\(([^ )]+)"")
    )
  &amp; "" }"",
  IF(
    REGEXMATCH($C62, ""^First\(&lt;""),
    VLOOKUP(REGEXEXTRACT($C62, ""\(([^)]+)\)""), 'First Set "&amp;"MacroA'!B:D, 3, FALSE),
    IF(
      REGEXMATCH($C62, ""^Follow\(&lt;""),
      VLOOKUP(REGEXEXTRACT($C62, ""\(([^)]+)\)""), 'Follow Set Macros'!B:D, 3, FALSE),
      ""{ "" &amp; REGEXEXTRACT($C62, ""\(([^)]+)\)"") &amp; "" }""
    )
  )
)
"),"#REF!")</f>
        <v>#REF!</v>
      </c>
      <c r="E62" s="664"/>
      <c r="F62" s="664"/>
      <c r="G62" s="664"/>
      <c r="H62" s="664"/>
      <c r="I62" s="664"/>
      <c r="J62" s="664"/>
      <c r="K62" s="664"/>
      <c r="L62" s="664"/>
      <c r="M62" s="664"/>
      <c r="N62" s="664"/>
      <c r="O62" s="664"/>
      <c r="P62" s="664"/>
      <c r="Q62" s="664"/>
      <c r="R62" s="664"/>
      <c r="S62" s="664"/>
      <c r="T62" s="664"/>
      <c r="U62" s="664"/>
      <c r="V62" s="664"/>
      <c r="W62" s="664"/>
      <c r="X62" s="664"/>
    </row>
    <row r="63">
      <c r="A63" s="661">
        <f t="shared" si="1"/>
        <v>63</v>
      </c>
      <c r="B63" s="662" t="str">
        <f t="shared" si="2"/>
        <v>#REF!</v>
      </c>
      <c r="C63" s="662" t="str">
        <f>IFERROR(__xludf.DUMMYFUNCTION("IF(
  REGEXMATCH(B63, ""^First\(λ - λ\) ∪ Follow\(""),
  ""Follow("" &amp; REGEXEXTRACT(B63, ""Follow\(([^)]+)\)"") &amp; "") ="",
  IF(
    OR(
      REGEXMATCH(B63, ""^First\([^&lt;]""),
      REGEXMATCH(B63, ""^First\(&lt;[^A-Za-z_]"")
    ),
    """",
    IF(
     "&amp;" CFG!D63=""λ"",
      ""Follow("" &amp; CFG!B63 &amp; "") ="",
      ""First("" &amp; CFG!D63 &amp; "") =""
    )
  )
)
"),"#REF!")</f>
        <v>#REF!</v>
      </c>
      <c r="D63" s="663" t="str">
        <f>IFERROR(__xludf.DUMMYFUNCTION("IF(
  $C63="""",
  ""{ "" &amp;
    IF(
      REGEXMATCH(B63, ""^First\(\)""),
      "")"",
      REGEXEXTRACT(B63, ""^First\(([^ )]+)"")
    )
  &amp; "" }"",
  IF(
    REGEXMATCH($C63, ""^First\(&lt;""),
    VLOOKUP(REGEXEXTRACT($C63, ""\(([^)]+)\)""), 'First Set "&amp;"MacroA'!B:D, 3, FALSE),
    IF(
      REGEXMATCH($C63, ""^Follow\(&lt;""),
      VLOOKUP(REGEXEXTRACT($C63, ""\(([^)]+)\)""), 'Follow Set Macros'!B:D, 3, FALSE),
      ""{ "" &amp; REGEXEXTRACT($C63, ""\(([^)]+)\)"") &amp; "" }""
    )
  )
)
"),"#REF!")</f>
        <v>#REF!</v>
      </c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</row>
    <row r="64">
      <c r="A64" s="661">
        <f t="shared" si="1"/>
        <v>64</v>
      </c>
      <c r="B64" s="662" t="str">
        <f t="shared" si="2"/>
        <v>#REF!</v>
      </c>
      <c r="C64" s="662" t="str">
        <f>IFERROR(__xludf.DUMMYFUNCTION("IF(
  REGEXMATCH(B64, ""^First\(λ - λ\) ∪ Follow\(""),
  ""Follow("" &amp; REGEXEXTRACT(B64, ""Follow\(([^)]+)\)"") &amp; "") ="",
  IF(
    OR(
      REGEXMATCH(B64, ""^First\([^&lt;]""),
      REGEXMATCH(B64, ""^First\(&lt;[^A-Za-z_]"")
    ),
    """",
    IF(
     "&amp;" CFG!D64=""λ"",
      ""Follow("" &amp; CFG!B64 &amp; "") ="",
      ""First("" &amp; CFG!D64 &amp; "") =""
    )
  )
)
"),"#REF!")</f>
        <v>#REF!</v>
      </c>
      <c r="D64" s="663" t="str">
        <f>IFERROR(__xludf.DUMMYFUNCTION("IF(
  $C64="""",
  ""{ "" &amp;
    IF(
      REGEXMATCH(B64, ""^First\(\)""),
      "")"",
      REGEXEXTRACT(B64, ""^First\(([^ )]+)"")
    )
  &amp; "" }"",
  IF(
    REGEXMATCH($C64, ""^First\(&lt;""),
    VLOOKUP(REGEXEXTRACT($C64, ""\(([^)]+)\)""), 'First Set "&amp;"MacroA'!B:D, 3, FALSE),
    IF(
      REGEXMATCH($C64, ""^Follow\(&lt;""),
      VLOOKUP(REGEXEXTRACT($C64, ""\(([^)]+)\)""), 'Follow Set Macros'!B:D, 3, FALSE),
      ""{ "" &amp; REGEXEXTRACT($C64, ""\(([^)]+)\)"") &amp; "" }""
    )
  )
)
"),"#REF!")</f>
        <v>#REF!</v>
      </c>
      <c r="E64" s="664"/>
      <c r="F64" s="664"/>
      <c r="G64" s="664"/>
      <c r="H64" s="664"/>
      <c r="I64" s="664"/>
      <c r="J64" s="664"/>
      <c r="K64" s="664"/>
      <c r="L64" s="664"/>
      <c r="M64" s="664"/>
      <c r="N64" s="664"/>
      <c r="O64" s="664"/>
      <c r="P64" s="664"/>
      <c r="Q64" s="664"/>
      <c r="R64" s="664"/>
      <c r="S64" s="664"/>
      <c r="T64" s="664"/>
      <c r="U64" s="664"/>
      <c r="V64" s="664"/>
      <c r="W64" s="664"/>
      <c r="X64" s="664"/>
    </row>
    <row r="65">
      <c r="A65" s="661">
        <f t="shared" si="1"/>
        <v>65</v>
      </c>
      <c r="B65" s="662" t="str">
        <f t="shared" si="2"/>
        <v>#REF!</v>
      </c>
      <c r="C65" s="662" t="str">
        <f>IFERROR(__xludf.DUMMYFUNCTION("IF(
  REGEXMATCH(B65, ""^First\(λ - λ\) ∪ Follow\(""),
  ""Follow("" &amp; REGEXEXTRACT(B65, ""Follow\(([^)]+)\)"") &amp; "") ="",
  IF(
    OR(
      REGEXMATCH(B65, ""^First\([^&lt;]""),
      REGEXMATCH(B65, ""^First\(&lt;[^A-Za-z_]"")
    ),
    """",
    IF(
     "&amp;" CFG!D65=""λ"",
      ""Follow("" &amp; CFG!B65 &amp; "") ="",
      ""First("" &amp; CFG!D65 &amp; "") =""
    )
  )
)
"),"#REF!")</f>
        <v>#REF!</v>
      </c>
      <c r="D65" s="663" t="str">
        <f>IFERROR(__xludf.DUMMYFUNCTION("IF(
  $C65="""",
  ""{ "" &amp;
    IF(
      REGEXMATCH(B65, ""^First\(\)""),
      "")"",
      REGEXEXTRACT(B65, ""^First\(([^ )]+)"")
    )
  &amp; "" }"",
  IF(
    REGEXMATCH($C65, ""^First\(&lt;""),
    VLOOKUP(REGEXEXTRACT($C65, ""\(([^)]+)\)""), 'First Set "&amp;"MacroA'!B:D, 3, FALSE),
    IF(
      REGEXMATCH($C65, ""^Follow\(&lt;""),
      VLOOKUP(REGEXEXTRACT($C65, ""\(([^)]+)\)""), 'Follow Set Macros'!B:D, 3, FALSE),
      ""{ "" &amp; REGEXEXTRACT($C65, ""\(([^)]+)\)"") &amp; "" }""
    )
  )
)
"),"#REF!")</f>
        <v>#REF!</v>
      </c>
      <c r="E65" s="664"/>
      <c r="F65" s="664"/>
      <c r="G65" s="664"/>
      <c r="H65" s="664"/>
      <c r="I65" s="664"/>
      <c r="J65" s="664"/>
      <c r="K65" s="664"/>
      <c r="L65" s="664"/>
      <c r="M65" s="664"/>
      <c r="N65" s="664"/>
      <c r="O65" s="664"/>
      <c r="P65" s="664"/>
      <c r="Q65" s="664"/>
      <c r="R65" s="664"/>
      <c r="S65" s="664"/>
      <c r="T65" s="664"/>
      <c r="U65" s="664"/>
      <c r="V65" s="664"/>
      <c r="W65" s="664"/>
      <c r="X65" s="664"/>
    </row>
    <row r="66">
      <c r="A66" s="661">
        <f t="shared" si="1"/>
        <v>66</v>
      </c>
      <c r="B66" s="662" t="str">
        <f t="shared" si="2"/>
        <v>#REF!</v>
      </c>
      <c r="C66" s="662" t="str">
        <f>IFERROR(__xludf.DUMMYFUNCTION("IF(
  REGEXMATCH(B66, ""^First\(λ - λ\) ∪ Follow\(""),
  ""Follow("" &amp; REGEXEXTRACT(B66, ""Follow\(([^)]+)\)"") &amp; "") ="",
  IF(
    OR(
      REGEXMATCH(B66, ""^First\([^&lt;]""),
      REGEXMATCH(B66, ""^First\(&lt;[^A-Za-z_]"")
    ),
    """",
    IF(
     "&amp;" CFG!D66=""λ"",
      ""Follow("" &amp; CFG!B66 &amp; "") ="",
      ""First("" &amp; CFG!D66 &amp; "") =""
    )
  )
)
"),"#REF!")</f>
        <v>#REF!</v>
      </c>
      <c r="D66" s="663" t="str">
        <f>IFERROR(__xludf.DUMMYFUNCTION("IF(
  $C66="""",
  ""{ "" &amp;
    IF(
      REGEXMATCH(B66, ""^First\(\)""),
      "")"",
      REGEXEXTRACT(B66, ""^First\(([^ )]+)"")
    )
  &amp; "" }"",
  IF(
    REGEXMATCH($C66, ""^First\(&lt;""),
    VLOOKUP(REGEXEXTRACT($C66, ""\(([^)]+)\)""), 'First Set "&amp;"MacroA'!B:D, 3, FALSE),
    IF(
      REGEXMATCH($C66, ""^Follow\(&lt;""),
      VLOOKUP(REGEXEXTRACT($C66, ""\(([^)]+)\)""), 'Follow Set Macros'!B:D, 3, FALSE),
      ""{ "" &amp; REGEXEXTRACT($C66, ""\(([^)]+)\)"") &amp; "" }""
    )
  )
)
"),"#REF!")</f>
        <v>#REF!</v>
      </c>
      <c r="E66" s="664"/>
      <c r="F66" s="664"/>
      <c r="G66" s="664"/>
      <c r="H66" s="664"/>
      <c r="I66" s="664"/>
      <c r="J66" s="664"/>
      <c r="K66" s="664"/>
      <c r="L66" s="664"/>
      <c r="M66" s="664"/>
      <c r="N66" s="664"/>
      <c r="O66" s="664"/>
      <c r="P66" s="664"/>
      <c r="Q66" s="664"/>
      <c r="R66" s="664"/>
      <c r="S66" s="664"/>
      <c r="T66" s="664"/>
      <c r="U66" s="664"/>
      <c r="V66" s="664"/>
      <c r="W66" s="664"/>
      <c r="X66" s="664"/>
    </row>
    <row r="67">
      <c r="A67" s="661">
        <f t="shared" si="1"/>
        <v>67</v>
      </c>
      <c r="B67" s="662" t="str">
        <f t="shared" si="2"/>
        <v>#REF!</v>
      </c>
      <c r="C67" s="662" t="str">
        <f>IFERROR(__xludf.DUMMYFUNCTION("IF(
  REGEXMATCH(B67, ""^First\(λ - λ\) ∪ Follow\(""),
  ""Follow("" &amp; REGEXEXTRACT(B67, ""Follow\(([^)]+)\)"") &amp; "") ="",
  IF(
    OR(
      REGEXMATCH(B67, ""^First\([^&lt;]""),
      REGEXMATCH(B67, ""^First\(&lt;[^A-Za-z_]"")
    ),
    """",
    IF(
     "&amp;" CFG!D67=""λ"",
      ""Follow("" &amp; CFG!B67 &amp; "") ="",
      ""First("" &amp; CFG!D67 &amp; "") =""
    )
  )
)
"),"#REF!")</f>
        <v>#REF!</v>
      </c>
      <c r="D67" s="663" t="str">
        <f>IFERROR(__xludf.DUMMYFUNCTION("IF(
  $C67="""",
  ""{ "" &amp;
    IF(
      REGEXMATCH(B67, ""^First\(\)""),
      "")"",
      REGEXEXTRACT(B67, ""^First\(([^ )]+)"")
    )
  &amp; "" }"",
  IF(
    REGEXMATCH($C67, ""^First\(&lt;""),
    VLOOKUP(REGEXEXTRACT($C67, ""\(([^)]+)\)""), 'First Set "&amp;"MacroA'!B:D, 3, FALSE),
    IF(
      REGEXMATCH($C67, ""^Follow\(&lt;""),
      VLOOKUP(REGEXEXTRACT($C67, ""\(([^)]+)\)""), 'Follow Set Macros'!B:D, 3, FALSE),
      ""{ "" &amp; REGEXEXTRACT($C67, ""\(([^)]+)\)"") &amp; "" }""
    )
  )
)
"),"#REF!")</f>
        <v>#REF!</v>
      </c>
      <c r="E67" s="664"/>
      <c r="F67" s="664"/>
      <c r="G67" s="664"/>
      <c r="H67" s="664"/>
      <c r="I67" s="664"/>
      <c r="J67" s="664"/>
      <c r="K67" s="664"/>
      <c r="L67" s="664"/>
      <c r="M67" s="664"/>
      <c r="N67" s="664"/>
      <c r="O67" s="664"/>
      <c r="P67" s="664"/>
      <c r="Q67" s="664"/>
      <c r="R67" s="664"/>
      <c r="S67" s="664"/>
      <c r="T67" s="664"/>
      <c r="U67" s="664"/>
      <c r="V67" s="664"/>
      <c r="W67" s="664"/>
      <c r="X67" s="664"/>
    </row>
    <row r="68">
      <c r="A68" s="661">
        <f t="shared" si="1"/>
        <v>68</v>
      </c>
      <c r="B68" s="662" t="str">
        <f t="shared" si="2"/>
        <v>#REF!</v>
      </c>
      <c r="C68" s="662" t="str">
        <f>IFERROR(__xludf.DUMMYFUNCTION("IF(
  REGEXMATCH(B68, ""^First\(λ - λ\) ∪ Follow\(""),
  ""Follow("" &amp; REGEXEXTRACT(B68, ""Follow\(([^)]+)\)"") &amp; "") ="",
  IF(
    OR(
      REGEXMATCH(B68, ""^First\([^&lt;]""),
      REGEXMATCH(B68, ""^First\(&lt;[^A-Za-z_]"")
    ),
    """",
    IF(
     "&amp;" CFG!D68=""λ"",
      ""Follow("" &amp; CFG!B68 &amp; "") ="",
      ""First("" &amp; CFG!D68 &amp; "") =""
    )
  )
)
"),"#REF!")</f>
        <v>#REF!</v>
      </c>
      <c r="D68" s="663" t="str">
        <f>IFERROR(__xludf.DUMMYFUNCTION("IF(
  $C68="""",
  ""{ "" &amp;
    IF(
      REGEXMATCH(B68, ""^First\(\)""),
      "")"",
      REGEXEXTRACT(B68, ""^First\(([^ )]+)"")
    )
  &amp; "" }"",
  IF(
    REGEXMATCH($C68, ""^First\(&lt;""),
    VLOOKUP(REGEXEXTRACT($C68, ""\(([^)]+)\)""), 'First Set "&amp;"MacroA'!B:D, 3, FALSE),
    IF(
      REGEXMATCH($C68, ""^Follow\(&lt;""),
      VLOOKUP(REGEXEXTRACT($C68, ""\(([^)]+)\)""), 'Follow Set Macros'!B:D, 3, FALSE),
      ""{ "" &amp; REGEXEXTRACT($C68, ""\(([^)]+)\)"") &amp; "" }""
    )
  )
)
"),"#REF!")</f>
        <v>#REF!</v>
      </c>
      <c r="E68" s="664"/>
      <c r="F68" s="664"/>
      <c r="G68" s="664"/>
      <c r="H68" s="664"/>
      <c r="I68" s="664"/>
      <c r="J68" s="664"/>
      <c r="K68" s="664"/>
      <c r="L68" s="664"/>
      <c r="M68" s="664"/>
      <c r="N68" s="664"/>
      <c r="O68" s="664"/>
      <c r="P68" s="664"/>
      <c r="Q68" s="664"/>
      <c r="R68" s="664"/>
      <c r="S68" s="664"/>
      <c r="T68" s="664"/>
      <c r="U68" s="664"/>
      <c r="V68" s="664"/>
      <c r="W68" s="664"/>
      <c r="X68" s="664"/>
    </row>
    <row r="69">
      <c r="A69" s="661">
        <f t="shared" si="1"/>
        <v>69</v>
      </c>
      <c r="B69" s="662" t="str">
        <f t="shared" si="2"/>
        <v>#REF!</v>
      </c>
      <c r="C69" s="662" t="str">
        <f>IFERROR(__xludf.DUMMYFUNCTION("IF(
  REGEXMATCH(B69, ""^First\(λ - λ\) ∪ Follow\(""),
  ""Follow("" &amp; REGEXEXTRACT(B69, ""Follow\(([^)]+)\)"") &amp; "") ="",
  IF(
    OR(
      REGEXMATCH(B69, ""^First\([^&lt;]""),
      REGEXMATCH(B69, ""^First\(&lt;[^A-Za-z_]"")
    ),
    """",
    IF(
     "&amp;" CFG!D69=""λ"",
      ""Follow("" &amp; CFG!B69 &amp; "") ="",
      ""First("" &amp; CFG!D69 &amp; "") =""
    )
  )
)
"),"#REF!")</f>
        <v>#REF!</v>
      </c>
      <c r="D69" s="663" t="str">
        <f>IFERROR(__xludf.DUMMYFUNCTION("IF(
  $C69="""",
  ""{ "" &amp;
    IF(
      REGEXMATCH(B69, ""^First\(\)""),
      "")"",
      REGEXEXTRACT(B69, ""^First\(([^ )]+)"")
    )
  &amp; "" }"",
  IF(
    REGEXMATCH($C69, ""^First\(&lt;""),
    VLOOKUP(REGEXEXTRACT($C69, ""\(([^)]+)\)""), 'First Set "&amp;"MacroA'!B:D, 3, FALSE),
    IF(
      REGEXMATCH($C69, ""^Follow\(&lt;""),
      VLOOKUP(REGEXEXTRACT($C69, ""\(([^)]+)\)""), 'Follow Set Macros'!B:D, 3, FALSE),
      ""{ "" &amp; REGEXEXTRACT($C69, ""\(([^)]+)\)"") &amp; "" }""
    )
  )
)
"),"#REF!")</f>
        <v>#REF!</v>
      </c>
      <c r="E69" s="664"/>
      <c r="F69" s="664"/>
      <c r="G69" s="664"/>
      <c r="H69" s="664"/>
      <c r="I69" s="664"/>
      <c r="J69" s="664"/>
      <c r="K69" s="664"/>
      <c r="L69" s="664"/>
      <c r="M69" s="664"/>
      <c r="N69" s="664"/>
      <c r="O69" s="664"/>
      <c r="P69" s="664"/>
      <c r="Q69" s="664"/>
      <c r="R69" s="664"/>
      <c r="S69" s="664"/>
      <c r="T69" s="664"/>
      <c r="U69" s="664"/>
      <c r="V69" s="664"/>
      <c r="W69" s="664"/>
      <c r="X69" s="664"/>
    </row>
    <row r="70">
      <c r="A70" s="661">
        <f t="shared" si="1"/>
        <v>70</v>
      </c>
      <c r="B70" s="662" t="str">
        <f t="shared" si="2"/>
        <v>#REF!</v>
      </c>
      <c r="C70" s="662" t="str">
        <f>IFERROR(__xludf.DUMMYFUNCTION("IF(
  REGEXMATCH(B70, ""^First\(λ - λ\) ∪ Follow\(""),
  ""Follow("" &amp; REGEXEXTRACT(B70, ""Follow\(([^)]+)\)"") &amp; "") ="",
  IF(
    OR(
      REGEXMATCH(B70, ""^First\([^&lt;]""),
      REGEXMATCH(B70, ""^First\(&lt;[^A-Za-z_]"")
    ),
    """",
    IF(
     "&amp;" CFG!D70=""λ"",
      ""Follow("" &amp; CFG!B70 &amp; "") ="",
      ""First("" &amp; CFG!D70 &amp; "") =""
    )
  )
)
"),"#REF!")</f>
        <v>#REF!</v>
      </c>
      <c r="D70" s="663" t="str">
        <f>IFERROR(__xludf.DUMMYFUNCTION("IF(
  $C70="""",
  ""{ "" &amp;
    IF(
      REGEXMATCH(B70, ""^First\(\)""),
      "")"",
      REGEXEXTRACT(B70, ""^First\(([^ )]+)"")
    )
  &amp; "" }"",
  IF(
    REGEXMATCH($C70, ""^First\(&lt;""),
    VLOOKUP(REGEXEXTRACT($C70, ""\(([^)]+)\)""), 'First Set "&amp;"MacroA'!B:D, 3, FALSE),
    IF(
      REGEXMATCH($C70, ""^Follow\(&lt;""),
      VLOOKUP(REGEXEXTRACT($C70, ""\(([^)]+)\)""), 'Follow Set Macros'!B:D, 3, FALSE),
      ""{ "" &amp; REGEXEXTRACT($C70, ""\(([^)]+)\)"") &amp; "" }""
    )
  )
)
"),"#REF!")</f>
        <v>#REF!</v>
      </c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</row>
    <row r="71">
      <c r="A71" s="661">
        <f t="shared" si="1"/>
        <v>71</v>
      </c>
      <c r="B71" s="662" t="str">
        <f t="shared" si="2"/>
        <v>#REF!</v>
      </c>
      <c r="C71" s="662" t="str">
        <f>IFERROR(__xludf.DUMMYFUNCTION("IF(
  REGEXMATCH(B71, ""^First\(λ - λ\) ∪ Follow\(""),
  ""Follow("" &amp; REGEXEXTRACT(B71, ""Follow\(([^)]+)\)"") &amp; "") ="",
  IF(
    OR(
      REGEXMATCH(B71, ""^First\([^&lt;]""),
      REGEXMATCH(B71, ""^First\(&lt;[^A-Za-z_]"")
    ),
    """",
    IF(
     "&amp;" CFG!D71=""λ"",
      ""Follow("" &amp; CFG!B71 &amp; "") ="",
      ""First("" &amp; CFG!D71 &amp; "") =""
    )
  )
)
"),"#REF!")</f>
        <v>#REF!</v>
      </c>
      <c r="D71" s="663" t="str">
        <f>IFERROR(__xludf.DUMMYFUNCTION("IF(
  $C71="""",
  ""{ "" &amp;
    IF(
      REGEXMATCH(B71, ""^First\(\)""),
      "")"",
      REGEXEXTRACT(B71, ""^First\(([^ )]+)"")
    )
  &amp; "" }"",
  IF(
    REGEXMATCH($C71, ""^First\(&lt;""),
    VLOOKUP(REGEXEXTRACT($C71, ""\(([^)]+)\)""), 'First Set "&amp;"MacroA'!B:D, 3, FALSE),
    IF(
      REGEXMATCH($C71, ""^Follow\(&lt;""),
      VLOOKUP(REGEXEXTRACT($C71, ""\(([^)]+)\)""), 'Follow Set Macros'!B:D, 3, FALSE),
      ""{ "" &amp; REGEXEXTRACT($C71, ""\(([^)]+)\)"") &amp; "" }""
    )
  )
)
"),"#REF!")</f>
        <v>#REF!</v>
      </c>
      <c r="E71" s="664"/>
      <c r="F71" s="664"/>
      <c r="G71" s="664"/>
      <c r="H71" s="664"/>
      <c r="I71" s="664"/>
      <c r="J71" s="664"/>
      <c r="K71" s="664"/>
      <c r="L71" s="664"/>
      <c r="M71" s="664"/>
      <c r="N71" s="664"/>
      <c r="O71" s="664"/>
      <c r="P71" s="664"/>
      <c r="Q71" s="664"/>
      <c r="R71" s="664"/>
      <c r="S71" s="664"/>
      <c r="T71" s="664"/>
      <c r="U71" s="664"/>
      <c r="V71" s="664"/>
      <c r="W71" s="664"/>
      <c r="X71" s="664"/>
    </row>
    <row r="72">
      <c r="A72" s="661">
        <f t="shared" si="1"/>
        <v>72</v>
      </c>
      <c r="B72" s="662" t="str">
        <f t="shared" si="2"/>
        <v>#REF!</v>
      </c>
      <c r="C72" s="662" t="str">
        <f>IFERROR(__xludf.DUMMYFUNCTION("IF(
  REGEXMATCH(B72, ""^First\(λ - λ\) ∪ Follow\(""),
  ""Follow("" &amp; REGEXEXTRACT(B72, ""Follow\(([^)]+)\)"") &amp; "") ="",
  IF(
    OR(
      REGEXMATCH(B72, ""^First\([^&lt;]""),
      REGEXMATCH(B72, ""^First\(&lt;[^A-Za-z_]"")
    ),
    """",
    IF(
     "&amp;" CFG!D72=""λ"",
      ""Follow("" &amp; CFG!B72 &amp; "") ="",
      ""First("" &amp; CFG!D72 &amp; "") =""
    )
  )
)
"),"#REF!")</f>
        <v>#REF!</v>
      </c>
      <c r="D72" s="663" t="str">
        <f>IFERROR(__xludf.DUMMYFUNCTION("IF(
  $C72="""",
  ""{ "" &amp;
    IF(
      REGEXMATCH(B72, ""^First\(\)""),
      "")"",
      REGEXEXTRACT(B72, ""^First\(([^ )]+)"")
    )
  &amp; "" }"",
  IF(
    REGEXMATCH($C72, ""^First\(&lt;""),
    VLOOKUP(REGEXEXTRACT($C72, ""\(([^)]+)\)""), 'First Set "&amp;"MacroA'!B:D, 3, FALSE),
    IF(
      REGEXMATCH($C72, ""^Follow\(&lt;""),
      VLOOKUP(REGEXEXTRACT($C72, ""\(([^)]+)\)""), 'Follow Set Macros'!B:D, 3, FALSE),
      ""{ "" &amp; REGEXEXTRACT($C72, ""\(([^)]+)\)"") &amp; "" }""
    )
  )
)
"),"#REF!")</f>
        <v>#REF!</v>
      </c>
      <c r="E72" s="664"/>
      <c r="F72" s="664"/>
      <c r="G72" s="664"/>
      <c r="H72" s="664"/>
      <c r="I72" s="664"/>
      <c r="J72" s="664"/>
      <c r="K72" s="664"/>
      <c r="L72" s="664"/>
      <c r="M72" s="664"/>
      <c r="N72" s="664"/>
      <c r="O72" s="664"/>
      <c r="P72" s="664"/>
      <c r="Q72" s="664"/>
      <c r="R72" s="664"/>
      <c r="S72" s="664"/>
      <c r="T72" s="664"/>
      <c r="U72" s="664"/>
      <c r="V72" s="664"/>
      <c r="W72" s="664"/>
      <c r="X72" s="664"/>
    </row>
    <row r="73">
      <c r="A73" s="661">
        <f t="shared" si="1"/>
        <v>73</v>
      </c>
      <c r="B73" s="662" t="str">
        <f t="shared" si="2"/>
        <v>#REF!</v>
      </c>
      <c r="C73" s="662" t="str">
        <f>IFERROR(__xludf.DUMMYFUNCTION("IF(
  REGEXMATCH(B73, ""^First\(λ - λ\) ∪ Follow\(""),
  ""Follow("" &amp; REGEXEXTRACT(B73, ""Follow\(([^)]+)\)"") &amp; "") ="",
  IF(
    OR(
      REGEXMATCH(B73, ""^First\([^&lt;]""),
      REGEXMATCH(B73, ""^First\(&lt;[^A-Za-z_]"")
    ),
    """",
    IF(
     "&amp;" CFG!D73=""λ"",
      ""Follow("" &amp; CFG!B73 &amp; "") ="",
      ""First("" &amp; CFG!D73 &amp; "") =""
    )
  )
)
"),"#REF!")</f>
        <v>#REF!</v>
      </c>
      <c r="D73" s="663" t="str">
        <f>IFERROR(__xludf.DUMMYFUNCTION("IF(
  $C73="""",
  ""{ "" &amp;
    IF(
      REGEXMATCH(B73, ""^First\(\)""),
      "")"",
      REGEXEXTRACT(B73, ""^First\(([^ )]+)"")
    )
  &amp; "" }"",
  IF(
    REGEXMATCH($C73, ""^First\(&lt;""),
    VLOOKUP(REGEXEXTRACT($C73, ""\(([^)]+)\)""), 'First Set "&amp;"MacroA'!B:D, 3, FALSE),
    IF(
      REGEXMATCH($C73, ""^Follow\(&lt;""),
      VLOOKUP(REGEXEXTRACT($C73, ""\(([^)]+)\)""), 'Follow Set Macros'!B:D, 3, FALSE),
      ""{ "" &amp; REGEXEXTRACT($C73, ""\(([^)]+)\)"") &amp; "" }""
    )
  )
)
"),"#REF!")</f>
        <v>#REF!</v>
      </c>
      <c r="E73" s="664"/>
      <c r="F73" s="664"/>
      <c r="G73" s="664"/>
      <c r="H73" s="664"/>
      <c r="I73" s="664"/>
      <c r="J73" s="664"/>
      <c r="K73" s="664"/>
      <c r="L73" s="664"/>
      <c r="M73" s="664"/>
      <c r="N73" s="664"/>
      <c r="O73" s="664"/>
      <c r="P73" s="664"/>
      <c r="Q73" s="664"/>
      <c r="R73" s="664"/>
      <c r="S73" s="664"/>
      <c r="T73" s="664"/>
      <c r="U73" s="664"/>
      <c r="V73" s="664"/>
      <c r="W73" s="664"/>
      <c r="X73" s="664"/>
    </row>
    <row r="74">
      <c r="A74" s="661">
        <f t="shared" si="1"/>
        <v>74</v>
      </c>
      <c r="B74" s="662" t="str">
        <f t="shared" si="2"/>
        <v>#REF!</v>
      </c>
      <c r="C74" s="662" t="str">
        <f>IFERROR(__xludf.DUMMYFUNCTION("IF(
  REGEXMATCH(B74, ""^First\(λ - λ\) ∪ Follow\(""),
  ""Follow("" &amp; REGEXEXTRACT(B74, ""Follow\(([^)]+)\)"") &amp; "") ="",
  IF(
    OR(
      REGEXMATCH(B74, ""^First\([^&lt;]""),
      REGEXMATCH(B74, ""^First\(&lt;[^A-Za-z_]"")
    ),
    """",
    IF(
     "&amp;" CFG!D74=""λ"",
      ""Follow("" &amp; CFG!B74 &amp; "") ="",
      ""First("" &amp; CFG!D74 &amp; "") =""
    )
  )
)
"),"#REF!")</f>
        <v>#REF!</v>
      </c>
      <c r="D74" s="663" t="str">
        <f>IFERROR(__xludf.DUMMYFUNCTION("IF(
  $C74="""",
  ""{ "" &amp;
    IF(
      REGEXMATCH(B74, ""^First\(\)""),
      "")"",
      REGEXEXTRACT(B74, ""^First\(([^ )]+)"")
    )
  &amp; "" }"",
  IF(
    REGEXMATCH($C74, ""^First\(&lt;""),
    VLOOKUP(REGEXEXTRACT($C74, ""\(([^)]+)\)""), 'First Set "&amp;"MacroA'!B:D, 3, FALSE),
    IF(
      REGEXMATCH($C74, ""^Follow\(&lt;""),
      VLOOKUP(REGEXEXTRACT($C74, ""\(([^)]+)\)""), 'Follow Set Macros'!B:D, 3, FALSE),
      ""{ "" &amp; REGEXEXTRACT($C74, ""\(([^)]+)\)"") &amp; "" }""
    )
  )
)
"),"#REF!")</f>
        <v>#REF!</v>
      </c>
      <c r="E74" s="664"/>
      <c r="F74" s="664"/>
      <c r="G74" s="664"/>
      <c r="H74" s="664"/>
      <c r="I74" s="664"/>
      <c r="J74" s="664"/>
      <c r="K74" s="664"/>
      <c r="L74" s="664"/>
      <c r="M74" s="664"/>
      <c r="N74" s="664"/>
      <c r="O74" s="664"/>
      <c r="P74" s="664"/>
      <c r="Q74" s="664"/>
      <c r="R74" s="664"/>
      <c r="S74" s="664"/>
      <c r="T74" s="664"/>
      <c r="U74" s="664"/>
      <c r="V74" s="664"/>
      <c r="W74" s="664"/>
      <c r="X74" s="664"/>
    </row>
    <row r="75">
      <c r="A75" s="661">
        <f t="shared" si="1"/>
        <v>75</v>
      </c>
      <c r="B75" s="662" t="str">
        <f t="shared" si="2"/>
        <v>#REF!</v>
      </c>
      <c r="C75" s="662" t="str">
        <f>IFERROR(__xludf.DUMMYFUNCTION("IF(
  REGEXMATCH(B75, ""^First\(λ - λ\) ∪ Follow\(""),
  ""Follow("" &amp; REGEXEXTRACT(B75, ""Follow\(([^)]+)\)"") &amp; "") ="",
  IF(
    OR(
      REGEXMATCH(B75, ""^First\([^&lt;]""),
      REGEXMATCH(B75, ""^First\(&lt;[^A-Za-z_]"")
    ),
    """",
    IF(
     "&amp;" CFG!D75=""λ"",
      ""Follow("" &amp; CFG!B75 &amp; "") ="",
      ""First("" &amp; CFG!D75 &amp; "") =""
    )
  )
)
"),"#REF!")</f>
        <v>#REF!</v>
      </c>
      <c r="D75" s="663" t="str">
        <f>IFERROR(__xludf.DUMMYFUNCTION("IF(
  $C75="""",
  ""{ "" &amp;
    IF(
      REGEXMATCH(B75, ""^First\(\)""),
      "")"",
      REGEXEXTRACT(B75, ""^First\(([^ )]+)"")
    )
  &amp; "" }"",
  IF(
    REGEXMATCH($C75, ""^First\(&lt;""),
    VLOOKUP(REGEXEXTRACT($C75, ""\(([^)]+)\)""), 'First Set "&amp;"MacroA'!B:D, 3, FALSE),
    IF(
      REGEXMATCH($C75, ""^Follow\(&lt;""),
      VLOOKUP(REGEXEXTRACT($C75, ""\(([^)]+)\)""), 'Follow Set Macros'!B:D, 3, FALSE),
      ""{ "" &amp; REGEXEXTRACT($C75, ""\(([^)]+)\)"") &amp; "" }""
    )
  )
)
"),"#REF!")</f>
        <v>#REF!</v>
      </c>
      <c r="E75" s="664"/>
      <c r="F75" s="664"/>
      <c r="G75" s="664"/>
      <c r="H75" s="664"/>
      <c r="I75" s="664"/>
      <c r="J75" s="664"/>
      <c r="K75" s="664"/>
      <c r="L75" s="664"/>
      <c r="M75" s="664"/>
      <c r="N75" s="664"/>
      <c r="O75" s="664"/>
      <c r="P75" s="664"/>
      <c r="Q75" s="664"/>
      <c r="R75" s="664"/>
      <c r="S75" s="664"/>
      <c r="T75" s="664"/>
      <c r="U75" s="664"/>
      <c r="V75" s="664"/>
      <c r="W75" s="664"/>
      <c r="X75" s="664"/>
    </row>
    <row r="76">
      <c r="A76" s="661">
        <f t="shared" si="1"/>
        <v>76</v>
      </c>
      <c r="B76" s="662" t="str">
        <f t="shared" si="2"/>
        <v>#REF!</v>
      </c>
      <c r="C76" s="662" t="str">
        <f>IFERROR(__xludf.DUMMYFUNCTION("IF(
  REGEXMATCH(B76, ""^First\(λ - λ\) ∪ Follow\(""),
  ""Follow("" &amp; REGEXEXTRACT(B76, ""Follow\(([^)]+)\)"") &amp; "") ="",
  IF(
    OR(
      REGEXMATCH(B76, ""^First\([^&lt;]""),
      REGEXMATCH(B76, ""^First\(&lt;[^A-Za-z_]"")
    ),
    """",
    IF(
     "&amp;" CFG!D76=""λ"",
      ""Follow("" &amp; CFG!B76 &amp; "") ="",
      ""First("" &amp; CFG!D76 &amp; "") =""
    )
  )
)
"),"#REF!")</f>
        <v>#REF!</v>
      </c>
      <c r="D76" s="663" t="str">
        <f>IFERROR(__xludf.DUMMYFUNCTION("IF(
  $C76="""",
  ""{ "" &amp;
    IF(
      REGEXMATCH(B76, ""^First\(\)""),
      "")"",
      REGEXEXTRACT(B76, ""^First\(([^ )]+)"")
    )
  &amp; "" }"",
  IF(
    REGEXMATCH($C76, ""^First\(&lt;""),
    VLOOKUP(REGEXEXTRACT($C76, ""\(([^)]+)\)""), 'First Set "&amp;"MacroA'!B:D, 3, FALSE),
    IF(
      REGEXMATCH($C76, ""^Follow\(&lt;""),
      VLOOKUP(REGEXEXTRACT($C76, ""\(([^)]+)\)""), 'Follow Set Macros'!B:D, 3, FALSE),
      ""{ "" &amp; REGEXEXTRACT($C76, ""\(([^)]+)\)"") &amp; "" }""
    )
  )
)
"),"#REF!")</f>
        <v>#REF!</v>
      </c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</row>
    <row r="77">
      <c r="A77" s="661">
        <f t="shared" si="1"/>
        <v>77</v>
      </c>
      <c r="B77" s="662" t="str">
        <f t="shared" si="2"/>
        <v>#REF!</v>
      </c>
      <c r="C77" s="662" t="str">
        <f>IFERROR(__xludf.DUMMYFUNCTION("IF(
  REGEXMATCH(B77, ""^First\(λ - λ\) ∪ Follow\(""),
  ""Follow("" &amp; REGEXEXTRACT(B77, ""Follow\(([^)]+)\)"") &amp; "") ="",
  IF(
    OR(
      REGEXMATCH(B77, ""^First\([^&lt;]""),
      REGEXMATCH(B77, ""^First\(&lt;[^A-Za-z_]"")
    ),
    """",
    IF(
     "&amp;" CFG!D77=""λ"",
      ""Follow("" &amp; CFG!B77 &amp; "") ="",
      ""First("" &amp; CFG!D77 &amp; "") =""
    )
  )
)
"),"#REF!")</f>
        <v>#REF!</v>
      </c>
      <c r="D77" s="663" t="str">
        <f>IFERROR(__xludf.DUMMYFUNCTION("IF(
  $C77="""",
  ""{ "" &amp;
    IF(
      REGEXMATCH(B77, ""^First\(\)""),
      "")"",
      REGEXEXTRACT(B77, ""^First\(([^ )]+)"")
    )
  &amp; "" }"",
  IF(
    REGEXMATCH($C77, ""^First\(&lt;""),
    VLOOKUP(REGEXEXTRACT($C77, ""\(([^)]+)\)""), 'First Set "&amp;"MacroA'!B:D, 3, FALSE),
    IF(
      REGEXMATCH($C77, ""^Follow\(&lt;""),
      VLOOKUP(REGEXEXTRACT($C77, ""\(([^)]+)\)""), 'Follow Set Macros'!B:D, 3, FALSE),
      ""{ "" &amp; REGEXEXTRACT($C77, ""\(([^)]+)\)"") &amp; "" }""
    )
  )
)
"),"#REF!")</f>
        <v>#REF!</v>
      </c>
      <c r="E77" s="664"/>
      <c r="F77" s="664"/>
      <c r="G77" s="664"/>
      <c r="H77" s="664"/>
      <c r="I77" s="664"/>
      <c r="J77" s="664"/>
      <c r="K77" s="664"/>
      <c r="L77" s="664"/>
      <c r="M77" s="664"/>
      <c r="N77" s="664"/>
      <c r="O77" s="664"/>
      <c r="P77" s="664"/>
      <c r="Q77" s="664"/>
      <c r="R77" s="664"/>
      <c r="S77" s="664"/>
      <c r="T77" s="664"/>
      <c r="U77" s="664"/>
      <c r="V77" s="664"/>
      <c r="W77" s="664"/>
      <c r="X77" s="664"/>
    </row>
    <row r="78">
      <c r="A78" s="661">
        <f t="shared" si="1"/>
        <v>78</v>
      </c>
      <c r="B78" s="662" t="str">
        <f t="shared" si="2"/>
        <v>#REF!</v>
      </c>
      <c r="C78" s="662" t="str">
        <f>IFERROR(__xludf.DUMMYFUNCTION("IF(
  REGEXMATCH(B78, ""^First\(λ - λ\) ∪ Follow\(""),
  ""Follow("" &amp; REGEXEXTRACT(B78, ""Follow\(([^)]+)\)"") &amp; "") ="",
  IF(
    OR(
      REGEXMATCH(B78, ""^First\([^&lt;]""),
      REGEXMATCH(B78, ""^First\(&lt;[^A-Za-z_]"")
    ),
    """",
    IF(
     "&amp;" CFG!D78=""λ"",
      ""Follow("" &amp; CFG!B78 &amp; "") ="",
      ""First("" &amp; CFG!D78 &amp; "") =""
    )
  )
)
"),"#REF!")</f>
        <v>#REF!</v>
      </c>
      <c r="D78" s="663" t="str">
        <f>IFERROR(__xludf.DUMMYFUNCTION("IF(
  $C78="""",
  ""{ "" &amp;
    IF(
      REGEXMATCH(B78, ""^First\(\)""),
      "")"",
      REGEXEXTRACT(B78, ""^First\(([^ )]+)"")
    )
  &amp; "" }"",
  IF(
    REGEXMATCH($C78, ""^First\(&lt;""),
    VLOOKUP(REGEXEXTRACT($C78, ""\(([^)]+)\)""), 'First Set "&amp;"MacroA'!B:D, 3, FALSE),
    IF(
      REGEXMATCH($C78, ""^Follow\(&lt;""),
      VLOOKUP(REGEXEXTRACT($C78, ""\(([^)]+)\)""), 'Follow Set Macros'!B:D, 3, FALSE),
      ""{ "" &amp; REGEXEXTRACT($C78, ""\(([^)]+)\)"") &amp; "" }""
    )
  )
)
"),"#REF!")</f>
        <v>#REF!</v>
      </c>
      <c r="E78" s="664"/>
      <c r="F78" s="664"/>
      <c r="G78" s="664"/>
      <c r="H78" s="664"/>
      <c r="I78" s="664"/>
      <c r="J78" s="664"/>
      <c r="K78" s="664"/>
      <c r="L78" s="664"/>
      <c r="M78" s="664"/>
      <c r="N78" s="664"/>
      <c r="O78" s="664"/>
      <c r="P78" s="664"/>
      <c r="Q78" s="664"/>
      <c r="R78" s="664"/>
      <c r="S78" s="664"/>
      <c r="T78" s="664"/>
      <c r="U78" s="664"/>
      <c r="V78" s="664"/>
      <c r="W78" s="664"/>
      <c r="X78" s="664"/>
    </row>
    <row r="79">
      <c r="A79" s="661">
        <f t="shared" si="1"/>
        <v>79</v>
      </c>
      <c r="B79" s="662" t="str">
        <f t="shared" si="2"/>
        <v>#REF!</v>
      </c>
      <c r="C79" s="662" t="str">
        <f>IFERROR(__xludf.DUMMYFUNCTION("IF(
  REGEXMATCH(B79, ""^First\(λ - λ\) ∪ Follow\(""),
  ""Follow("" &amp; REGEXEXTRACT(B79, ""Follow\(([^)]+)\)"") &amp; "") ="",
  IF(
    OR(
      REGEXMATCH(B79, ""^First\([^&lt;]""),
      REGEXMATCH(B79, ""^First\(&lt;[^A-Za-z_]"")
    ),
    """",
    IF(
     "&amp;" CFG!D79=""λ"",
      ""Follow("" &amp; CFG!B79 &amp; "") ="",
      ""First("" &amp; CFG!D79 &amp; "") =""
    )
  )
)
"),"#REF!")</f>
        <v>#REF!</v>
      </c>
      <c r="D79" s="663" t="str">
        <f>IFERROR(__xludf.DUMMYFUNCTION("IF(
  $C79="""",
  ""{ "" &amp;
    IF(
      REGEXMATCH(B79, ""^First\(\)""),
      "")"",
      REGEXEXTRACT(B79, ""^First\(([^ )]+)"")
    )
  &amp; "" }"",
  IF(
    REGEXMATCH($C79, ""^First\(&lt;""),
    VLOOKUP(REGEXEXTRACT($C79, ""\(([^)]+)\)""), 'First Set "&amp;"MacroA'!B:D, 3, FALSE),
    IF(
      REGEXMATCH($C79, ""^Follow\(&lt;""),
      VLOOKUP(REGEXEXTRACT($C79, ""\(([^)]+)\)""), 'Follow Set Macros'!B:D, 3, FALSE),
      ""{ "" &amp; REGEXEXTRACT($C79, ""\(([^)]+)\)"") &amp; "" }""
    )
  )
)
"),"#REF!")</f>
        <v>#REF!</v>
      </c>
      <c r="E79" s="664"/>
      <c r="F79" s="664"/>
      <c r="G79" s="664"/>
      <c r="H79" s="664"/>
      <c r="I79" s="664"/>
      <c r="J79" s="664"/>
      <c r="K79" s="664"/>
      <c r="L79" s="664"/>
      <c r="M79" s="664"/>
      <c r="N79" s="664"/>
      <c r="O79" s="664"/>
      <c r="P79" s="664"/>
      <c r="Q79" s="664"/>
      <c r="R79" s="664"/>
      <c r="S79" s="664"/>
      <c r="T79" s="664"/>
      <c r="U79" s="664"/>
      <c r="V79" s="664"/>
      <c r="W79" s="664"/>
      <c r="X79" s="664"/>
    </row>
    <row r="80">
      <c r="A80" s="661">
        <f t="shared" si="1"/>
        <v>80</v>
      </c>
      <c r="B80" s="662" t="str">
        <f t="shared" si="2"/>
        <v>#REF!</v>
      </c>
      <c r="C80" s="662" t="str">
        <f>IFERROR(__xludf.DUMMYFUNCTION("IF(
  REGEXMATCH(B80, ""^First\(λ - λ\) ∪ Follow\(""),
  ""Follow("" &amp; REGEXEXTRACT(B80, ""Follow\(([^)]+)\)"") &amp; "") ="",
  IF(
    OR(
      REGEXMATCH(B80, ""^First\([^&lt;]""),
      REGEXMATCH(B80, ""^First\(&lt;[^A-Za-z_]"")
    ),
    """",
    IF(
     "&amp;" CFG!D80=""λ"",
      ""Follow("" &amp; CFG!B80 &amp; "") ="",
      ""First("" &amp; CFG!D80 &amp; "") =""
    )
  )
)
"),"#REF!")</f>
        <v>#REF!</v>
      </c>
      <c r="D80" s="663" t="str">
        <f>IFERROR(__xludf.DUMMYFUNCTION("IF(
  $C80="""",
  ""{ "" &amp;
    IF(
      REGEXMATCH(B80, ""^First\(\)""),
      "")"",
      REGEXEXTRACT(B80, ""^First\(([^ )]+)"")
    )
  &amp; "" }"",
  IF(
    REGEXMATCH($C80, ""^First\(&lt;""),
    VLOOKUP(REGEXEXTRACT($C80, ""\(([^)]+)\)""), 'First Set "&amp;"MacroA'!B:D, 3, FALSE),
    IF(
      REGEXMATCH($C80, ""^Follow\(&lt;""),
      VLOOKUP(REGEXEXTRACT($C80, ""\(([^)]+)\)""), 'Follow Set Macros'!B:D, 3, FALSE),
      ""{ "" &amp; REGEXEXTRACT($C80, ""\(([^)]+)\)"") &amp; "" }""
    )
  )
)
"),"#REF!")</f>
        <v>#REF!</v>
      </c>
      <c r="E80" s="664"/>
      <c r="F80" s="664"/>
      <c r="G80" s="664"/>
      <c r="H80" s="664"/>
      <c r="I80" s="664"/>
      <c r="J80" s="664"/>
      <c r="K80" s="664"/>
      <c r="L80" s="664"/>
      <c r="M80" s="664"/>
      <c r="N80" s="664"/>
      <c r="O80" s="664"/>
      <c r="P80" s="664"/>
      <c r="Q80" s="664"/>
      <c r="R80" s="664"/>
      <c r="S80" s="664"/>
      <c r="T80" s="664"/>
      <c r="U80" s="664"/>
      <c r="V80" s="664"/>
      <c r="W80" s="664"/>
      <c r="X80" s="664"/>
    </row>
    <row r="81">
      <c r="A81" s="661">
        <f t="shared" si="1"/>
        <v>81</v>
      </c>
      <c r="B81" s="662" t="str">
        <f t="shared" si="2"/>
        <v>#REF!</v>
      </c>
      <c r="C81" s="662" t="str">
        <f>IFERROR(__xludf.DUMMYFUNCTION("IF(
  REGEXMATCH(B81, ""^First\(λ - λ\) ∪ Follow\(""),
  ""Follow("" &amp; REGEXEXTRACT(B81, ""Follow\(([^)]+)\)"") &amp; "") ="",
  IF(
    OR(
      REGEXMATCH(B81, ""^First\([^&lt;]""),
      REGEXMATCH(B81, ""^First\(&lt;[^A-Za-z_]"")
    ),
    """",
    IF(
     "&amp;" CFG!D81=""λ"",
      ""Follow("" &amp; CFG!B81 &amp; "") ="",
      ""First("" &amp; CFG!D81 &amp; "") =""
    )
  )
)
"),"#REF!")</f>
        <v>#REF!</v>
      </c>
      <c r="D81" s="663" t="str">
        <f>IFERROR(__xludf.DUMMYFUNCTION("IF(
  $C81="""",
  ""{ "" &amp;
    IF(
      REGEXMATCH(B81, ""^First\(\)""),
      "")"",
      REGEXEXTRACT(B81, ""^First\(([^ )]+)"")
    )
  &amp; "" }"",
  IF(
    REGEXMATCH($C81, ""^First\(&lt;""),
    VLOOKUP(REGEXEXTRACT($C81, ""\(([^)]+)\)""), 'First Set "&amp;"MacroA'!B:D, 3, FALSE),
    IF(
      REGEXMATCH($C81, ""^Follow\(&lt;""),
      VLOOKUP(REGEXEXTRACT($C81, ""\(([^)]+)\)""), 'Follow Set Macros'!B:D, 3, FALSE),
      ""{ "" &amp; REGEXEXTRACT($C81, ""\(([^)]+)\)"") &amp; "" }""
    )
  )
)
"),"#REF!")</f>
        <v>#REF!</v>
      </c>
      <c r="E81" s="664"/>
      <c r="F81" s="664"/>
      <c r="G81" s="664"/>
      <c r="H81" s="664"/>
      <c r="I81" s="664"/>
      <c r="J81" s="664"/>
      <c r="K81" s="664"/>
      <c r="L81" s="664"/>
      <c r="M81" s="664"/>
      <c r="N81" s="664"/>
      <c r="O81" s="664"/>
      <c r="P81" s="664"/>
      <c r="Q81" s="664"/>
      <c r="R81" s="664"/>
      <c r="S81" s="664"/>
      <c r="T81" s="664"/>
      <c r="U81" s="664"/>
      <c r="V81" s="664"/>
      <c r="W81" s="664"/>
      <c r="X81" s="664"/>
    </row>
    <row r="82">
      <c r="A82" s="661">
        <f t="shared" si="1"/>
        <v>82</v>
      </c>
      <c r="B82" s="662" t="str">
        <f t="shared" si="2"/>
        <v>#REF!</v>
      </c>
      <c r="C82" s="662" t="str">
        <f>IFERROR(__xludf.DUMMYFUNCTION("IF(
  REGEXMATCH(B82, ""^First\(λ - λ\) ∪ Follow\(""),
  ""Follow("" &amp; REGEXEXTRACT(B82, ""Follow\(([^)]+)\)"") &amp; "") ="",
  IF(
    OR(
      REGEXMATCH(B82, ""^First\([^&lt;]""),
      REGEXMATCH(B82, ""^First\(&lt;[^A-Za-z_]"")
    ),
    """",
    IF(
     "&amp;" CFG!D82=""λ"",
      ""Follow("" &amp; CFG!B82 &amp; "") ="",
      ""First("" &amp; CFG!D82 &amp; "") =""
    )
  )
)
"),"#REF!")</f>
        <v>#REF!</v>
      </c>
      <c r="D82" s="663" t="str">
        <f>IFERROR(__xludf.DUMMYFUNCTION("IF(
  $C82="""",
  ""{ "" &amp;
    IF(
      REGEXMATCH(B82, ""^First\(\)""),
      "")"",
      REGEXEXTRACT(B82, ""^First\(([^ )]+)"")
    )
  &amp; "" }"",
  IF(
    REGEXMATCH($C82, ""^First\(&lt;""),
    VLOOKUP(REGEXEXTRACT($C82, ""\(([^)]+)\)""), 'First Set "&amp;"MacroA'!B:D, 3, FALSE),
    IF(
      REGEXMATCH($C82, ""^Follow\(&lt;""),
      VLOOKUP(REGEXEXTRACT($C82, ""\(([^)]+)\)""), 'Follow Set Macros'!B:D, 3, FALSE),
      ""{ "" &amp; REGEXEXTRACT($C82, ""\(([^)]+)\)"") &amp; "" }""
    )
  )
)
"),"#REF!")</f>
        <v>#REF!</v>
      </c>
      <c r="E82" s="664"/>
      <c r="F82" s="664"/>
      <c r="G82" s="664"/>
      <c r="H82" s="664"/>
      <c r="I82" s="664"/>
      <c r="J82" s="664"/>
      <c r="K82" s="664"/>
      <c r="L82" s="664"/>
      <c r="M82" s="664"/>
      <c r="N82" s="664"/>
      <c r="O82" s="664"/>
      <c r="P82" s="664"/>
      <c r="Q82" s="664"/>
      <c r="R82" s="664"/>
      <c r="S82" s="664"/>
      <c r="T82" s="664"/>
      <c r="U82" s="664"/>
      <c r="V82" s="664"/>
      <c r="W82" s="664"/>
      <c r="X82" s="664"/>
    </row>
    <row r="83">
      <c r="A83" s="661">
        <f t="shared" si="1"/>
        <v>83</v>
      </c>
      <c r="B83" s="662" t="str">
        <f t="shared" si="2"/>
        <v>#REF!</v>
      </c>
      <c r="C83" s="662" t="str">
        <f>IFERROR(__xludf.DUMMYFUNCTION("IF(
  REGEXMATCH(B83, ""^First\(λ - λ\) ∪ Follow\(""),
  ""Follow("" &amp; REGEXEXTRACT(B83, ""Follow\(([^)]+)\)"") &amp; "") ="",
  IF(
    OR(
      REGEXMATCH(B83, ""^First\([^&lt;]""),
      REGEXMATCH(B83, ""^First\(&lt;[^A-Za-z_]"")
    ),
    """",
    IF(
     "&amp;" CFG!D83=""λ"",
      ""Follow("" &amp; CFG!B83 &amp; "") ="",
      ""First("" &amp; CFG!D83 &amp; "") =""
    )
  )
)
"),"#REF!")</f>
        <v>#REF!</v>
      </c>
      <c r="D83" s="663" t="str">
        <f>IFERROR(__xludf.DUMMYFUNCTION("IF(
  $C83="""",
  ""{ "" &amp;
    IF(
      REGEXMATCH(B83, ""^First\(\)""),
      "")"",
      REGEXEXTRACT(B83, ""^First\(([^ )]+)"")
    )
  &amp; "" }"",
  IF(
    REGEXMATCH($C83, ""^First\(&lt;""),
    VLOOKUP(REGEXEXTRACT($C83, ""\(([^)]+)\)""), 'First Set "&amp;"MacroA'!B:D, 3, FALSE),
    IF(
      REGEXMATCH($C83, ""^Follow\(&lt;""),
      VLOOKUP(REGEXEXTRACT($C83, ""\(([^)]+)\)""), 'Follow Set Macros'!B:D, 3, FALSE),
      ""{ "" &amp; REGEXEXTRACT($C83, ""\(([^)]+)\)"") &amp; "" }""
    )
  )
)
"),"#REF!")</f>
        <v>#REF!</v>
      </c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4"/>
      <c r="P83" s="664"/>
      <c r="Q83" s="664"/>
      <c r="R83" s="664"/>
      <c r="S83" s="664"/>
      <c r="T83" s="664"/>
      <c r="U83" s="664"/>
      <c r="V83" s="664"/>
      <c r="W83" s="664"/>
      <c r="X83" s="664"/>
    </row>
    <row r="84">
      <c r="A84" s="661">
        <f t="shared" si="1"/>
        <v>84</v>
      </c>
      <c r="B84" s="662" t="str">
        <f t="shared" si="2"/>
        <v>#REF!</v>
      </c>
      <c r="C84" s="662" t="str">
        <f>IFERROR(__xludf.DUMMYFUNCTION("IF(
  REGEXMATCH(B84, ""^First\(λ - λ\) ∪ Follow\(""),
  ""Follow("" &amp; REGEXEXTRACT(B84, ""Follow\(([^)]+)\)"") &amp; "") ="",
  IF(
    OR(
      REGEXMATCH(B84, ""^First\([^&lt;]""),
      REGEXMATCH(B84, ""^First\(&lt;[^A-Za-z_]"")
    ),
    """",
    IF(
     "&amp;" CFG!D84=""λ"",
      ""Follow("" &amp; CFG!B84 &amp; "") ="",
      ""First("" &amp; CFG!D84 &amp; "") =""
    )
  )
)
"),"#REF!")</f>
        <v>#REF!</v>
      </c>
      <c r="D84" s="663" t="str">
        <f>IFERROR(__xludf.DUMMYFUNCTION("IF(
  $C84="""",
  ""{ "" &amp;
    IF(
      REGEXMATCH(B84, ""^First\(\)""),
      "")"",
      REGEXEXTRACT(B84, ""^First\(([^ )]+)"")
    )
  &amp; "" }"",
  IF(
    REGEXMATCH($C84, ""^First\(&lt;""),
    VLOOKUP(REGEXEXTRACT($C84, ""\(([^)]+)\)""), 'First Set "&amp;"MacroA'!B:D, 3, FALSE),
    IF(
      REGEXMATCH($C84, ""^Follow\(&lt;""),
      VLOOKUP(REGEXEXTRACT($C84, ""\(([^)]+)\)""), 'Follow Set Macros'!B:D, 3, FALSE),
      ""{ "" &amp; REGEXEXTRACT($C84, ""\(([^)]+)\)"") &amp; "" }""
    )
  )
)
"),"#REF!")</f>
        <v>#REF!</v>
      </c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</row>
    <row r="85">
      <c r="A85" s="661">
        <f t="shared" si="1"/>
        <v>85</v>
      </c>
      <c r="B85" s="662" t="str">
        <f t="shared" si="2"/>
        <v>#REF!</v>
      </c>
      <c r="C85" s="662" t="str">
        <f>IFERROR(__xludf.DUMMYFUNCTION("IF(
  REGEXMATCH(B85, ""^First\(λ - λ\) ∪ Follow\(""),
  ""Follow("" &amp; REGEXEXTRACT(B85, ""Follow\(([^)]+)\)"") &amp; "") ="",
  IF(
    OR(
      REGEXMATCH(B85, ""^First\([^&lt;]""),
      REGEXMATCH(B85, ""^First\(&lt;[^A-Za-z_]"")
    ),
    """",
    IF(
     "&amp;" CFG!D85=""λ"",
      ""Follow("" &amp; CFG!B85 &amp; "") ="",
      ""First("" &amp; CFG!D85 &amp; "") =""
    )
  )
)
"),"#REF!")</f>
        <v>#REF!</v>
      </c>
      <c r="D85" s="663" t="str">
        <f>IFERROR(__xludf.DUMMYFUNCTION("IF(
  $C85="""",
  ""{ "" &amp;
    IF(
      REGEXMATCH(B85, ""^First\(\)""),
      "")"",
      REGEXEXTRACT(B85, ""^First\(([^ )]+)"")
    )
  &amp; "" }"",
  IF(
    REGEXMATCH($C85, ""^First\(&lt;""),
    VLOOKUP(REGEXEXTRACT($C85, ""\(([^)]+)\)""), 'First Set "&amp;"MacroA'!B:D, 3, FALSE),
    IF(
      REGEXMATCH($C85, ""^Follow\(&lt;""),
      VLOOKUP(REGEXEXTRACT($C85, ""\(([^)]+)\)""), 'Follow Set Macros'!B:D, 3, FALSE),
      ""{ "" &amp; REGEXEXTRACT($C85, ""\(([^)]+)\)"") &amp; "" }""
    )
  )
)
"),"#REF!")</f>
        <v>#REF!</v>
      </c>
      <c r="E85" s="664"/>
      <c r="F85" s="664"/>
      <c r="G85" s="664"/>
      <c r="H85" s="664"/>
      <c r="I85" s="664"/>
      <c r="J85" s="664"/>
      <c r="K85" s="664"/>
      <c r="L85" s="664"/>
      <c r="M85" s="664"/>
      <c r="N85" s="664"/>
      <c r="O85" s="664"/>
      <c r="P85" s="664"/>
      <c r="Q85" s="664"/>
      <c r="R85" s="664"/>
      <c r="S85" s="664"/>
      <c r="T85" s="664"/>
      <c r="U85" s="664"/>
      <c r="V85" s="664"/>
      <c r="W85" s="664"/>
      <c r="X85" s="664"/>
    </row>
    <row r="86">
      <c r="A86" s="661">
        <f t="shared" si="1"/>
        <v>86</v>
      </c>
      <c r="B86" s="662" t="str">
        <f t="shared" si="2"/>
        <v>#REF!</v>
      </c>
      <c r="C86" s="662" t="str">
        <f>IFERROR(__xludf.DUMMYFUNCTION("IF(
  REGEXMATCH(B86, ""^First\(λ - λ\) ∪ Follow\(""),
  ""Follow("" &amp; REGEXEXTRACT(B86, ""Follow\(([^)]+)\)"") &amp; "") ="",
  IF(
    OR(
      REGEXMATCH(B86, ""^First\([^&lt;]""),
      REGEXMATCH(B86, ""^First\(&lt;[^A-Za-z_]"")
    ),
    """",
    IF(
     "&amp;" CFG!D86=""λ"",
      ""Follow("" &amp; CFG!B86 &amp; "") ="",
      ""First("" &amp; CFG!D86 &amp; "") =""
    )
  )
)
"),"#REF!")</f>
        <v>#REF!</v>
      </c>
      <c r="D86" s="663" t="str">
        <f>IFERROR(__xludf.DUMMYFUNCTION("IF(
  $C86="""",
  ""{ "" &amp;
    IF(
      REGEXMATCH(B86, ""^First\(\)""),
      "")"",
      REGEXEXTRACT(B86, ""^First\(([^ )]+)"")
    )
  &amp; "" }"",
  IF(
    REGEXMATCH($C86, ""^First\(&lt;""),
    VLOOKUP(REGEXEXTRACT($C86, ""\(([^)]+)\)""), 'First Set "&amp;"MacroA'!B:D, 3, FALSE),
    IF(
      REGEXMATCH($C86, ""^Follow\(&lt;""),
      VLOOKUP(REGEXEXTRACT($C86, ""\(([^)]+)\)""), 'Follow Set Macros'!B:D, 3, FALSE),
      ""{ "" &amp; REGEXEXTRACT($C86, ""\(([^)]+)\)"") &amp; "" }""
    )
  )
)
"),"#REF!")</f>
        <v>#REF!</v>
      </c>
      <c r="E86" s="664"/>
      <c r="F86" s="664"/>
      <c r="G86" s="664"/>
      <c r="H86" s="664"/>
      <c r="I86" s="664"/>
      <c r="J86" s="664"/>
      <c r="K86" s="664"/>
      <c r="L86" s="664"/>
      <c r="M86" s="664"/>
      <c r="N86" s="664"/>
      <c r="O86" s="664"/>
      <c r="P86" s="664"/>
      <c r="Q86" s="664"/>
      <c r="R86" s="664"/>
      <c r="S86" s="664"/>
      <c r="T86" s="664"/>
      <c r="U86" s="664"/>
      <c r="V86" s="664"/>
      <c r="W86" s="664"/>
      <c r="X86" s="664"/>
    </row>
    <row r="87">
      <c r="A87" s="661">
        <f t="shared" si="1"/>
        <v>87</v>
      </c>
      <c r="B87" s="662" t="str">
        <f t="shared" si="2"/>
        <v>#REF!</v>
      </c>
      <c r="C87" s="662" t="str">
        <f>IFERROR(__xludf.DUMMYFUNCTION("IF(
  REGEXMATCH(B87, ""^First\(λ - λ\) ∪ Follow\(""),
  ""Follow("" &amp; REGEXEXTRACT(B87, ""Follow\(([^)]+)\)"") &amp; "") ="",
  IF(
    OR(
      REGEXMATCH(B87, ""^First\([^&lt;]""),
      REGEXMATCH(B87, ""^First\(&lt;[^A-Za-z_]"")
    ),
    """",
    IF(
     "&amp;" CFG!D87=""λ"",
      ""Follow("" &amp; CFG!B87 &amp; "") ="",
      ""First("" &amp; CFG!D87 &amp; "") =""
    )
  )
)
"),"#REF!")</f>
        <v>#REF!</v>
      </c>
      <c r="D87" s="663" t="str">
        <f>IFERROR(__xludf.DUMMYFUNCTION("IF(
  $C87="""",
  ""{ "" &amp;
    IF(
      REGEXMATCH(B87, ""^First\(\)""),
      "")"",
      REGEXEXTRACT(B87, ""^First\(([^ )]+)"")
    )
  &amp; "" }"",
  IF(
    REGEXMATCH($C87, ""^First\(&lt;""),
    VLOOKUP(REGEXEXTRACT($C87, ""\(([^)]+)\)""), 'First Set "&amp;"MacroA'!B:D, 3, FALSE),
    IF(
      REGEXMATCH($C87, ""^Follow\(&lt;""),
      VLOOKUP(REGEXEXTRACT($C87, ""\(([^)]+)\)""), 'Follow Set Macros'!B:D, 3, FALSE),
      ""{ "" &amp; REGEXEXTRACT($C87, ""\(([^)]+)\)"") &amp; "" }""
    )
  )
)
"),"#REF!")</f>
        <v>#REF!</v>
      </c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</row>
    <row r="88">
      <c r="A88" s="661">
        <f t="shared" si="1"/>
        <v>88</v>
      </c>
      <c r="B88" s="662" t="str">
        <f t="shared" si="2"/>
        <v>#REF!</v>
      </c>
      <c r="C88" s="662" t="str">
        <f>IFERROR(__xludf.DUMMYFUNCTION("IF(
  REGEXMATCH(B88, ""^First\(λ - λ\) ∪ Follow\(""),
  ""Follow("" &amp; REGEXEXTRACT(B88, ""Follow\(([^)]+)\)"") &amp; "") ="",
  IF(
    OR(
      REGEXMATCH(B88, ""^First\([^&lt;]""),
      REGEXMATCH(B88, ""^First\(&lt;[^A-Za-z_]"")
    ),
    """",
    IF(
     "&amp;" CFG!D88=""λ"",
      ""Follow("" &amp; CFG!B88 &amp; "") ="",
      ""First("" &amp; CFG!D88 &amp; "") =""
    )
  )
)
"),"#REF!")</f>
        <v>#REF!</v>
      </c>
      <c r="D88" s="663" t="str">
        <f>IFERROR(__xludf.DUMMYFUNCTION("IF(
  $C88="""",
  ""{ "" &amp;
    IF(
      REGEXMATCH(B88, ""^First\(\)""),
      "")"",
      REGEXEXTRACT(B88, ""^First\(([^ )]+)"")
    )
  &amp; "" }"",
  IF(
    REGEXMATCH($C88, ""^First\(&lt;""),
    VLOOKUP(REGEXEXTRACT($C88, ""\(([^)]+)\)""), 'First Set "&amp;"MacroA'!B:D, 3, FALSE),
    IF(
      REGEXMATCH($C88, ""^Follow\(&lt;""),
      VLOOKUP(REGEXEXTRACT($C88, ""\(([^)]+)\)""), 'Follow Set Macros'!B:D, 3, FALSE),
      ""{ "" &amp; REGEXEXTRACT($C88, ""\(([^)]+)\)"") &amp; "" }""
    )
  )
)
"),"#REF!")</f>
        <v>#REF!</v>
      </c>
      <c r="E88" s="664"/>
      <c r="F88" s="664"/>
      <c r="G88" s="664"/>
      <c r="H88" s="664"/>
      <c r="I88" s="664"/>
      <c r="J88" s="664"/>
      <c r="K88" s="664"/>
      <c r="L88" s="664"/>
      <c r="M88" s="664"/>
      <c r="N88" s="664"/>
      <c r="O88" s="664"/>
      <c r="P88" s="664"/>
      <c r="Q88" s="664"/>
      <c r="R88" s="664"/>
      <c r="S88" s="664"/>
      <c r="T88" s="664"/>
      <c r="U88" s="664"/>
      <c r="V88" s="664"/>
      <c r="W88" s="664"/>
      <c r="X88" s="664"/>
    </row>
    <row r="89">
      <c r="A89" s="661">
        <f t="shared" si="1"/>
        <v>89</v>
      </c>
      <c r="B89" s="662" t="str">
        <f t="shared" si="2"/>
        <v>#REF!</v>
      </c>
      <c r="C89" s="662" t="str">
        <f>IFERROR(__xludf.DUMMYFUNCTION("IF(
  REGEXMATCH(B89, ""^First\(λ - λ\) ∪ Follow\(""),
  ""Follow("" &amp; REGEXEXTRACT(B89, ""Follow\(([^)]+)\)"") &amp; "") ="",
  IF(
    OR(
      REGEXMATCH(B89, ""^First\([^&lt;]""),
      REGEXMATCH(B89, ""^First\(&lt;[^A-Za-z_]"")
    ),
    """",
    IF(
     "&amp;" CFG!D89=""λ"",
      ""Follow("" &amp; CFG!B89 &amp; "") ="",
      ""First("" &amp; CFG!D89 &amp; "") =""
    )
  )
)
"),"#REF!")</f>
        <v>#REF!</v>
      </c>
      <c r="D89" s="663" t="str">
        <f>IFERROR(__xludf.DUMMYFUNCTION("IF(
  $C89="""",
  ""{ "" &amp;
    IF(
      REGEXMATCH(B89, ""^First\(\)""),
      "")"",
      REGEXEXTRACT(B89, ""^First\(([^ )]+)"")
    )
  &amp; "" }"",
  IF(
    REGEXMATCH($C89, ""^First\(&lt;""),
    VLOOKUP(REGEXEXTRACT($C89, ""\(([^)]+)\)""), 'First Set "&amp;"MacroA'!B:D, 3, FALSE),
    IF(
      REGEXMATCH($C89, ""^Follow\(&lt;""),
      VLOOKUP(REGEXEXTRACT($C89, ""\(([^)]+)\)""), 'Follow Set Macros'!B:D, 3, FALSE),
      ""{ "" &amp; REGEXEXTRACT($C89, ""\(([^)]+)\)"") &amp; "" }""
    )
  )
)
"),"#REF!")</f>
        <v>#REF!</v>
      </c>
      <c r="E89" s="664"/>
      <c r="F89" s="664"/>
      <c r="G89" s="664"/>
      <c r="H89" s="664"/>
      <c r="I89" s="664"/>
      <c r="J89" s="664"/>
      <c r="K89" s="664"/>
      <c r="L89" s="664"/>
      <c r="M89" s="664"/>
      <c r="N89" s="664"/>
      <c r="O89" s="664"/>
      <c r="P89" s="664"/>
      <c r="Q89" s="664"/>
      <c r="R89" s="664"/>
      <c r="S89" s="664"/>
      <c r="T89" s="664"/>
      <c r="U89" s="664"/>
      <c r="V89" s="664"/>
      <c r="W89" s="664"/>
      <c r="X89" s="664"/>
    </row>
    <row r="90">
      <c r="A90" s="661">
        <f t="shared" si="1"/>
        <v>90</v>
      </c>
      <c r="B90" s="662" t="str">
        <f t="shared" si="2"/>
        <v>#REF!</v>
      </c>
      <c r="C90" s="662" t="str">
        <f>IFERROR(__xludf.DUMMYFUNCTION("IF(
  REGEXMATCH(B90, ""^First\(λ - λ\) ∪ Follow\(""),
  ""Follow("" &amp; REGEXEXTRACT(B90, ""Follow\(([^)]+)\)"") &amp; "") ="",
  IF(
    OR(
      REGEXMATCH(B90, ""^First\([^&lt;]""),
      REGEXMATCH(B90, ""^First\(&lt;[^A-Za-z_]"")
    ),
    """",
    IF(
     "&amp;" CFG!D90=""λ"",
      ""Follow("" &amp; CFG!B90 &amp; "") ="",
      ""First("" &amp; CFG!D90 &amp; "") =""
    )
  )
)
"),"#REF!")</f>
        <v>#REF!</v>
      </c>
      <c r="D90" s="663" t="str">
        <f>IFERROR(__xludf.DUMMYFUNCTION("IF(
  $C90="""",
  ""{ "" &amp;
    IF(
      REGEXMATCH(B90, ""^First\(\)""),
      "")"",
      REGEXEXTRACT(B90, ""^First\(([^ )]+)"")
    )
  &amp; "" }"",
  IF(
    REGEXMATCH($C90, ""^First\(&lt;""),
    VLOOKUP(REGEXEXTRACT($C90, ""\(([^)]+)\)""), 'First Set "&amp;"MacroA'!B:D, 3, FALSE),
    IF(
      REGEXMATCH($C90, ""^Follow\(&lt;""),
      VLOOKUP(REGEXEXTRACT($C90, ""\(([^)]+)\)""), 'Follow Set Macros'!B:D, 3, FALSE),
      ""{ "" &amp; REGEXEXTRACT($C90, ""\(([^)]+)\)"") &amp; "" }""
    )
  )
)
"),"#REF!")</f>
        <v>#REF!</v>
      </c>
      <c r="E90" s="664"/>
      <c r="F90" s="664"/>
      <c r="G90" s="664"/>
      <c r="H90" s="664"/>
      <c r="I90" s="664"/>
      <c r="J90" s="664"/>
      <c r="K90" s="664"/>
      <c r="L90" s="664"/>
      <c r="M90" s="664"/>
      <c r="N90" s="664"/>
      <c r="O90" s="664"/>
      <c r="P90" s="664"/>
      <c r="Q90" s="664"/>
      <c r="R90" s="664"/>
      <c r="S90" s="664"/>
      <c r="T90" s="664"/>
      <c r="U90" s="664"/>
      <c r="V90" s="664"/>
      <c r="W90" s="664"/>
      <c r="X90" s="664"/>
    </row>
    <row r="91">
      <c r="A91" s="661">
        <f t="shared" si="1"/>
        <v>91</v>
      </c>
      <c r="B91" s="662" t="str">
        <f t="shared" si="2"/>
        <v>#REF!</v>
      </c>
      <c r="C91" s="662" t="str">
        <f>IFERROR(__xludf.DUMMYFUNCTION("IF(
  REGEXMATCH(B91, ""^First\(λ - λ\) ∪ Follow\(""),
  ""Follow("" &amp; REGEXEXTRACT(B91, ""Follow\(([^)]+)\)"") &amp; "") ="",
  IF(
    OR(
      REGEXMATCH(B91, ""^First\([^&lt;]""),
      REGEXMATCH(B91, ""^First\(&lt;[^A-Za-z_]"")
    ),
    """",
    IF(
     "&amp;" CFG!D91=""λ"",
      ""Follow("" &amp; CFG!B91 &amp; "") ="",
      ""First("" &amp; CFG!D91 &amp; "") =""
    )
  )
)
"),"#REF!")</f>
        <v>#REF!</v>
      </c>
      <c r="D91" s="663" t="str">
        <f>IFERROR(__xludf.DUMMYFUNCTION("IF(
  $C91="""",
  ""{ "" &amp;
    IF(
      REGEXMATCH(B91, ""^First\(\)""),
      "")"",
      REGEXEXTRACT(B91, ""^First\(([^ )]+)"")
    )
  &amp; "" }"",
  IF(
    REGEXMATCH($C91, ""^First\(&lt;""),
    VLOOKUP(REGEXEXTRACT($C91, ""\(([^)]+)\)""), 'First Set "&amp;"MacroA'!B:D, 3, FALSE),
    IF(
      REGEXMATCH($C91, ""^Follow\(&lt;""),
      VLOOKUP(REGEXEXTRACT($C91, ""\(([^)]+)\)""), 'Follow Set Macros'!B:D, 3, FALSE),
      ""{ "" &amp; REGEXEXTRACT($C91, ""\(([^)]+)\)"") &amp; "" }""
    )
  )
)
"),"#REF!")</f>
        <v>#REF!</v>
      </c>
      <c r="E91" s="664"/>
      <c r="F91" s="664"/>
      <c r="G91" s="664"/>
      <c r="H91" s="664"/>
      <c r="I91" s="664"/>
      <c r="J91" s="664"/>
      <c r="K91" s="664"/>
      <c r="L91" s="664"/>
      <c r="M91" s="664"/>
      <c r="N91" s="664"/>
      <c r="O91" s="664"/>
      <c r="P91" s="664"/>
      <c r="Q91" s="664"/>
      <c r="R91" s="664"/>
      <c r="S91" s="664"/>
      <c r="T91" s="664"/>
      <c r="U91" s="664"/>
      <c r="V91" s="664"/>
      <c r="W91" s="664"/>
      <c r="X91" s="664"/>
    </row>
    <row r="92">
      <c r="A92" s="661">
        <f t="shared" si="1"/>
        <v>92</v>
      </c>
      <c r="B92" s="662" t="str">
        <f t="shared" si="2"/>
        <v>#REF!</v>
      </c>
      <c r="C92" s="662" t="str">
        <f>IFERROR(__xludf.DUMMYFUNCTION("IF(
  REGEXMATCH(B92, ""^First\(λ - λ\) ∪ Follow\(""),
  ""Follow("" &amp; REGEXEXTRACT(B92, ""Follow\(([^)]+)\)"") &amp; "") ="",
  IF(
    OR(
      REGEXMATCH(B92, ""^First\([^&lt;]""),
      REGEXMATCH(B92, ""^First\(&lt;[^A-Za-z_]"")
    ),
    """",
    IF(
     "&amp;" CFG!D92=""λ"",
      ""Follow("" &amp; CFG!B92 &amp; "") ="",
      ""First("" &amp; CFG!D92 &amp; "") =""
    )
  )
)
"),"#REF!")</f>
        <v>#REF!</v>
      </c>
      <c r="D92" s="663" t="str">
        <f>IFERROR(__xludf.DUMMYFUNCTION("IF(
  $C92="""",
  ""{ "" &amp;
    IF(
      REGEXMATCH(B92, ""^First\(\)""),
      "")"",
      REGEXEXTRACT(B92, ""^First\(([^ )]+)"")
    )
  &amp; "" }"",
  IF(
    REGEXMATCH($C92, ""^First\(&lt;""),
    VLOOKUP(REGEXEXTRACT($C92, ""\(([^)]+)\)""), 'First Set "&amp;"MacroA'!B:D, 3, FALSE),
    IF(
      REGEXMATCH($C92, ""^Follow\(&lt;""),
      VLOOKUP(REGEXEXTRACT($C92, ""\(([^)]+)\)""), 'Follow Set Macros'!B:D, 3, FALSE),
      ""{ "" &amp; REGEXEXTRACT($C92, ""\(([^)]+)\)"") &amp; "" }""
    )
  )
)
"),"#REF!")</f>
        <v>#REF!</v>
      </c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</row>
    <row r="93">
      <c r="A93" s="661">
        <f t="shared" si="1"/>
        <v>93</v>
      </c>
      <c r="B93" s="662" t="str">
        <f t="shared" si="2"/>
        <v>#REF!</v>
      </c>
      <c r="C93" s="662" t="str">
        <f>IFERROR(__xludf.DUMMYFUNCTION("IF(
  REGEXMATCH(B93, ""^First\(λ - λ\) ∪ Follow\(""),
  ""Follow("" &amp; REGEXEXTRACT(B93, ""Follow\(([^)]+)\)"") &amp; "") ="",
  IF(
    OR(
      REGEXMATCH(B93, ""^First\([^&lt;]""),
      REGEXMATCH(B93, ""^First\(&lt;[^A-Za-z_]"")
    ),
    """",
    IF(
     "&amp;" CFG!D93=""λ"",
      ""Follow("" &amp; CFG!B93 &amp; "") ="",
      ""First("" &amp; CFG!D93 &amp; "") =""
    )
  )
)
"),"#REF!")</f>
        <v>#REF!</v>
      </c>
      <c r="D93" s="663" t="str">
        <f>IFERROR(__xludf.DUMMYFUNCTION("IF(
  $C93="""",
  ""{ "" &amp;
    IF(
      REGEXMATCH(B93, ""^First\(\)""),
      "")"",
      REGEXEXTRACT(B93, ""^First\(([^ )]+)"")
    )
  &amp; "" }"",
  IF(
    REGEXMATCH($C93, ""^First\(&lt;""),
    VLOOKUP(REGEXEXTRACT($C93, ""\(([^)]+)\)""), 'First Set "&amp;"MacroA'!B:D, 3, FALSE),
    IF(
      REGEXMATCH($C93, ""^Follow\(&lt;""),
      VLOOKUP(REGEXEXTRACT($C93, ""\(([^)]+)\)""), 'Follow Set Macros'!B:D, 3, FALSE),
      ""{ "" &amp; REGEXEXTRACT($C93, ""\(([^)]+)\)"") &amp; "" }""
    )
  )
)
"),"#REF!")</f>
        <v>#REF!</v>
      </c>
      <c r="E93" s="664"/>
      <c r="F93" s="664"/>
      <c r="G93" s="664"/>
      <c r="H93" s="664"/>
      <c r="I93" s="664"/>
      <c r="J93" s="664"/>
      <c r="K93" s="664"/>
      <c r="L93" s="664"/>
      <c r="M93" s="664"/>
      <c r="N93" s="664"/>
      <c r="O93" s="664"/>
      <c r="P93" s="664"/>
      <c r="Q93" s="664"/>
      <c r="R93" s="664"/>
      <c r="S93" s="664"/>
      <c r="T93" s="664"/>
      <c r="U93" s="664"/>
      <c r="V93" s="664"/>
      <c r="W93" s="664"/>
      <c r="X93" s="664"/>
    </row>
    <row r="94">
      <c r="A94" s="661">
        <f t="shared" si="1"/>
        <v>94</v>
      </c>
      <c r="B94" s="662" t="str">
        <f t="shared" si="2"/>
        <v>#REF!</v>
      </c>
      <c r="C94" s="662" t="str">
        <f>IFERROR(__xludf.DUMMYFUNCTION("IF(
  REGEXMATCH(B94, ""^First\(λ - λ\) ∪ Follow\(""),
  ""Follow("" &amp; REGEXEXTRACT(B94, ""Follow\(([^)]+)\)"") &amp; "") ="",
  IF(
    OR(
      REGEXMATCH(B94, ""^First\([^&lt;]""),
      REGEXMATCH(B94, ""^First\(&lt;[^A-Za-z_]"")
    ),
    """",
    IF(
     "&amp;" CFG!D94=""λ"",
      ""Follow("" &amp; CFG!B94 &amp; "") ="",
      ""First("" &amp; CFG!D94 &amp; "") =""
    )
  )
)
"),"#REF!")</f>
        <v>#REF!</v>
      </c>
      <c r="D94" s="663" t="str">
        <f>IFERROR(__xludf.DUMMYFUNCTION("IF(
  $C94="""",
  ""{ "" &amp;
    IF(
      REGEXMATCH(B94, ""^First\(\)""),
      "")"",
      REGEXEXTRACT(B94, ""^First\(([^ )]+)"")
    )
  &amp; "" }"",
  IF(
    REGEXMATCH($C94, ""^First\(&lt;""),
    VLOOKUP(REGEXEXTRACT($C94, ""\(([^)]+)\)""), 'First Set "&amp;"MacroA'!B:D, 3, FALSE),
    IF(
      REGEXMATCH($C94, ""^Follow\(&lt;""),
      VLOOKUP(REGEXEXTRACT($C94, ""\(([^)]+)\)""), 'Follow Set Macros'!B:D, 3, FALSE),
      ""{ "" &amp; REGEXEXTRACT($C94, ""\(([^)]+)\)"") &amp; "" }""
    )
  )
)
"),"#REF!")</f>
        <v>#REF!</v>
      </c>
      <c r="E94" s="664"/>
      <c r="F94" s="664"/>
      <c r="G94" s="664"/>
      <c r="H94" s="664"/>
      <c r="I94" s="664"/>
      <c r="J94" s="664"/>
      <c r="K94" s="664"/>
      <c r="L94" s="664"/>
      <c r="M94" s="664"/>
      <c r="N94" s="664"/>
      <c r="O94" s="664"/>
      <c r="P94" s="664"/>
      <c r="Q94" s="664"/>
      <c r="R94" s="664"/>
      <c r="S94" s="664"/>
      <c r="T94" s="664"/>
      <c r="U94" s="664"/>
      <c r="V94" s="664"/>
      <c r="W94" s="664"/>
      <c r="X94" s="664"/>
    </row>
    <row r="95">
      <c r="A95" s="661">
        <f t="shared" si="1"/>
        <v>95</v>
      </c>
      <c r="B95" s="662" t="str">
        <f t="shared" si="2"/>
        <v>#REF!</v>
      </c>
      <c r="C95" s="662" t="str">
        <f>IFERROR(__xludf.DUMMYFUNCTION("IF(
  REGEXMATCH(B95, ""^First\(λ - λ\) ∪ Follow\(""),
  ""Follow("" &amp; REGEXEXTRACT(B95, ""Follow\(([^)]+)\)"") &amp; "") ="",
  IF(
    OR(
      REGEXMATCH(B95, ""^First\([^&lt;]""),
      REGEXMATCH(B95, ""^First\(&lt;[^A-Za-z_]"")
    ),
    """",
    IF(
     "&amp;" CFG!D95=""λ"",
      ""Follow("" &amp; CFG!B95 &amp; "") ="",
      ""First("" &amp; CFG!D95 &amp; "") =""
    )
  )
)
"),"#REF!")</f>
        <v>#REF!</v>
      </c>
      <c r="D95" s="663" t="str">
        <f>IFERROR(__xludf.DUMMYFUNCTION("IF(
  $C95="""",
  ""{ "" &amp;
    IF(
      REGEXMATCH(B95, ""^First\(\)""),
      "")"",
      REGEXEXTRACT(B95, ""^First\(([^ )]+)"")
    )
  &amp; "" }"",
  IF(
    REGEXMATCH($C95, ""^First\(&lt;""),
    VLOOKUP(REGEXEXTRACT($C95, ""\(([^)]+)\)""), 'First Set "&amp;"MacroA'!B:D, 3, FALSE),
    IF(
      REGEXMATCH($C95, ""^Follow\(&lt;""),
      VLOOKUP(REGEXEXTRACT($C95, ""\(([^)]+)\)""), 'Follow Set Macros'!B:D, 3, FALSE),
      ""{ "" &amp; REGEXEXTRACT($C95, ""\(([^)]+)\)"") &amp; "" }""
    )
  )
)
"),"#REF!")</f>
        <v>#REF!</v>
      </c>
      <c r="E95" s="664"/>
      <c r="F95" s="664"/>
      <c r="G95" s="664"/>
      <c r="H95" s="664"/>
      <c r="I95" s="664"/>
      <c r="J95" s="664"/>
      <c r="K95" s="664"/>
      <c r="L95" s="664"/>
      <c r="M95" s="664"/>
      <c r="N95" s="664"/>
      <c r="O95" s="664"/>
      <c r="P95" s="664"/>
      <c r="Q95" s="664"/>
      <c r="R95" s="664"/>
      <c r="S95" s="664"/>
      <c r="T95" s="664"/>
      <c r="U95" s="664"/>
      <c r="V95" s="664"/>
      <c r="W95" s="664"/>
      <c r="X95" s="664"/>
    </row>
    <row r="96">
      <c r="A96" s="661">
        <f t="shared" si="1"/>
        <v>96</v>
      </c>
      <c r="B96" s="662" t="str">
        <f t="shared" si="2"/>
        <v>#REF!</v>
      </c>
      <c r="C96" s="662" t="str">
        <f>IFERROR(__xludf.DUMMYFUNCTION("IF(
  REGEXMATCH(B96, ""^First\(λ - λ\) ∪ Follow\(""),
  ""Follow("" &amp; REGEXEXTRACT(B96, ""Follow\(([^)]+)\)"") &amp; "") ="",
  IF(
    OR(
      REGEXMATCH(B96, ""^First\([^&lt;]""),
      REGEXMATCH(B96, ""^First\(&lt;[^A-Za-z_]"")
    ),
    """",
    IF(
     "&amp;" CFG!D96=""λ"",
      ""Follow("" &amp; CFG!B96 &amp; "") ="",
      ""First("" &amp; CFG!D96 &amp; "") =""
    )
  )
)
"),"#REF!")</f>
        <v>#REF!</v>
      </c>
      <c r="D96" s="663" t="str">
        <f>IFERROR(__xludf.DUMMYFUNCTION("IF(
  $C96="""",
  ""{ "" &amp;
    IF(
      REGEXMATCH(B96, ""^First\(\)""),
      "")"",
      REGEXEXTRACT(B96, ""^First\(([^ )]+)"")
    )
  &amp; "" }"",
  IF(
    REGEXMATCH($C96, ""^First\(&lt;""),
    VLOOKUP(REGEXEXTRACT($C96, ""\(([^)]+)\)""), 'First Set "&amp;"MacroA'!B:D, 3, FALSE),
    IF(
      REGEXMATCH($C96, ""^Follow\(&lt;""),
      VLOOKUP(REGEXEXTRACT($C96, ""\(([^)]+)\)""), 'Follow Set Macros'!B:D, 3, FALSE),
      ""{ "" &amp; REGEXEXTRACT($C96, ""\(([^)]+)\)"") &amp; "" }""
    )
  )
)
"),"#REF!")</f>
        <v>#REF!</v>
      </c>
      <c r="E96" s="664"/>
      <c r="F96" s="664"/>
      <c r="G96" s="664"/>
      <c r="H96" s="664"/>
      <c r="I96" s="664"/>
      <c r="J96" s="664"/>
      <c r="K96" s="664"/>
      <c r="L96" s="664"/>
      <c r="M96" s="664"/>
      <c r="N96" s="664"/>
      <c r="O96" s="664"/>
      <c r="P96" s="664"/>
      <c r="Q96" s="664"/>
      <c r="R96" s="664"/>
      <c r="S96" s="664"/>
      <c r="T96" s="664"/>
      <c r="U96" s="664"/>
      <c r="V96" s="664"/>
      <c r="W96" s="664"/>
      <c r="X96" s="664"/>
    </row>
    <row r="97">
      <c r="A97" s="661">
        <f t="shared" si="1"/>
        <v>97</v>
      </c>
      <c r="B97" s="662" t="str">
        <f t="shared" si="2"/>
        <v>#REF!</v>
      </c>
      <c r="C97" s="662" t="str">
        <f>IFERROR(__xludf.DUMMYFUNCTION("IF(
  REGEXMATCH(B97, ""^First\(λ - λ\) ∪ Follow\(""),
  ""Follow("" &amp; REGEXEXTRACT(B97, ""Follow\(([^)]+)\)"") &amp; "") ="",
  IF(
    OR(
      REGEXMATCH(B97, ""^First\([^&lt;]""),
      REGEXMATCH(B97, ""^First\(&lt;[^A-Za-z_]"")
    ),
    """",
    IF(
     "&amp;" CFG!D97=""λ"",
      ""Follow("" &amp; CFG!B97 &amp; "") ="",
      ""First("" &amp; CFG!D97 &amp; "") =""
    )
  )
)
"),"#REF!")</f>
        <v>#REF!</v>
      </c>
      <c r="D97" s="663" t="str">
        <f>IFERROR(__xludf.DUMMYFUNCTION("IF(
  $C97="""",
  ""{ "" &amp;
    IF(
      REGEXMATCH(B97, ""^First\(\)""),
      "")"",
      REGEXEXTRACT(B97, ""^First\(([^ )]+)"")
    )
  &amp; "" }"",
  IF(
    REGEXMATCH($C97, ""^First\(&lt;""),
    VLOOKUP(REGEXEXTRACT($C97, ""\(([^)]+)\)""), 'First Set "&amp;"MacroA'!B:D, 3, FALSE),
    IF(
      REGEXMATCH($C97, ""^Follow\(&lt;""),
      VLOOKUP(REGEXEXTRACT($C97, ""\(([^)]+)\)""), 'Follow Set Macros'!B:D, 3, FALSE),
      ""{ "" &amp; REGEXEXTRACT($C97, ""\(([^)]+)\)"") &amp; "" }""
    )
  )
)
"),"#REF!")</f>
        <v>#REF!</v>
      </c>
      <c r="E97" s="664"/>
      <c r="F97" s="664"/>
      <c r="G97" s="664"/>
      <c r="H97" s="664"/>
      <c r="I97" s="664"/>
      <c r="J97" s="664"/>
      <c r="K97" s="664"/>
      <c r="L97" s="664"/>
      <c r="M97" s="664"/>
      <c r="N97" s="664"/>
      <c r="O97" s="664"/>
      <c r="P97" s="664"/>
      <c r="Q97" s="664"/>
      <c r="R97" s="664"/>
      <c r="S97" s="664"/>
      <c r="T97" s="664"/>
      <c r="U97" s="664"/>
      <c r="V97" s="664"/>
      <c r="W97" s="664"/>
      <c r="X97" s="664"/>
    </row>
    <row r="98">
      <c r="A98" s="661">
        <f t="shared" si="1"/>
        <v>98</v>
      </c>
      <c r="B98" s="662" t="str">
        <f t="shared" si="2"/>
        <v>#REF!</v>
      </c>
      <c r="C98" s="662" t="str">
        <f>IFERROR(__xludf.DUMMYFUNCTION("IF(
  REGEXMATCH(B98, ""^First\(λ - λ\) ∪ Follow\(""),
  ""Follow("" &amp; REGEXEXTRACT(B98, ""Follow\(([^)]+)\)"") &amp; "") ="",
  IF(
    OR(
      REGEXMATCH(B98, ""^First\([^&lt;]""),
      REGEXMATCH(B98, ""^First\(&lt;[^A-Za-z_]"")
    ),
    """",
    IF(
     "&amp;" CFG!D98=""λ"",
      ""Follow("" &amp; CFG!B98 &amp; "") ="",
      ""First("" &amp; CFG!D98 &amp; "") =""
    )
  )
)
"),"#REF!")</f>
        <v>#REF!</v>
      </c>
      <c r="D98" s="663" t="str">
        <f>IFERROR(__xludf.DUMMYFUNCTION("IF(
  $C98="""",
  ""{ "" &amp;
    IF(
      REGEXMATCH(B98, ""^First\(\)""),
      "")"",
      REGEXEXTRACT(B98, ""^First\(([^ )]+)"")
    )
  &amp; "" }"",
  IF(
    REGEXMATCH($C98, ""^First\(&lt;""),
    VLOOKUP(REGEXEXTRACT($C98, ""\(([^)]+)\)""), 'First Set "&amp;"MacroA'!B:D, 3, FALSE),
    IF(
      REGEXMATCH($C98, ""^Follow\(&lt;""),
      VLOOKUP(REGEXEXTRACT($C98, ""\(([^)]+)\)""), 'Follow Set Macros'!B:D, 3, FALSE),
      ""{ "" &amp; REGEXEXTRACT($C98, ""\(([^)]+)\)"") &amp; "" }""
    )
  )
)
"),"#REF!")</f>
        <v>#REF!</v>
      </c>
      <c r="E98" s="664"/>
      <c r="F98" s="664"/>
      <c r="G98" s="664"/>
      <c r="H98" s="664"/>
      <c r="I98" s="664"/>
      <c r="J98" s="664"/>
      <c r="K98" s="664"/>
      <c r="L98" s="664"/>
      <c r="M98" s="664"/>
      <c r="N98" s="664"/>
      <c r="O98" s="664"/>
      <c r="P98" s="664"/>
      <c r="Q98" s="664"/>
      <c r="R98" s="664"/>
      <c r="S98" s="664"/>
      <c r="T98" s="664"/>
      <c r="U98" s="664"/>
      <c r="V98" s="664"/>
      <c r="W98" s="664"/>
      <c r="X98" s="664"/>
    </row>
    <row r="99">
      <c r="A99" s="661">
        <f t="shared" si="1"/>
        <v>99</v>
      </c>
      <c r="B99" s="662" t="str">
        <f t="shared" si="2"/>
        <v>#REF!</v>
      </c>
      <c r="C99" s="662" t="str">
        <f>IFERROR(__xludf.DUMMYFUNCTION("IF(
  REGEXMATCH(B99, ""^First\(λ - λ\) ∪ Follow\(""),
  ""Follow("" &amp; REGEXEXTRACT(B99, ""Follow\(([^)]+)\)"") &amp; "") ="",
  IF(
    OR(
      REGEXMATCH(B99, ""^First\([^&lt;]""),
      REGEXMATCH(B99, ""^First\(&lt;[^A-Za-z_]"")
    ),
    """",
    IF(
     "&amp;" CFG!D99=""λ"",
      ""Follow("" &amp; CFG!B99 &amp; "") ="",
      ""First("" &amp; CFG!D99 &amp; "") =""
    )
  )
)
"),"#REF!")</f>
        <v>#REF!</v>
      </c>
      <c r="D99" s="663" t="str">
        <f>IFERROR(__xludf.DUMMYFUNCTION("IF(
  $C99="""",
  ""{ "" &amp;
    IF(
      REGEXMATCH(B99, ""^First\(\)""),
      "")"",
      REGEXEXTRACT(B99, ""^First\(([^ )]+)"")
    )
  &amp; "" }"",
  IF(
    REGEXMATCH($C99, ""^First\(&lt;""),
    VLOOKUP(REGEXEXTRACT($C99, ""\(([^)]+)\)""), 'First Set "&amp;"MacroA'!B:D, 3, FALSE),
    IF(
      REGEXMATCH($C99, ""^Follow\(&lt;""),
      VLOOKUP(REGEXEXTRACT($C99, ""\(([^)]+)\)""), 'Follow Set Macros'!B:D, 3, FALSE),
      ""{ "" &amp; REGEXEXTRACT($C99, ""\(([^)]+)\)"") &amp; "" }""
    )
  )
)
"),"#REF!")</f>
        <v>#REF!</v>
      </c>
      <c r="E99" s="664"/>
      <c r="F99" s="664"/>
      <c r="G99" s="664"/>
      <c r="H99" s="664"/>
      <c r="I99" s="664"/>
      <c r="J99" s="664"/>
      <c r="K99" s="664"/>
      <c r="L99" s="664"/>
      <c r="M99" s="664"/>
      <c r="N99" s="664"/>
      <c r="O99" s="664"/>
      <c r="P99" s="664"/>
      <c r="Q99" s="664"/>
      <c r="R99" s="664"/>
      <c r="S99" s="664"/>
      <c r="T99" s="664"/>
      <c r="U99" s="664"/>
      <c r="V99" s="664"/>
      <c r="W99" s="664"/>
      <c r="X99" s="664"/>
    </row>
    <row r="100">
      <c r="A100" s="661">
        <f t="shared" si="1"/>
        <v>100</v>
      </c>
      <c r="B100" s="662" t="str">
        <f t="shared" si="2"/>
        <v>#REF!</v>
      </c>
      <c r="C100" s="662" t="str">
        <f>IFERROR(__xludf.DUMMYFUNCTION("IF(
  REGEXMATCH(B100, ""^First\(λ - λ\) ∪ Follow\(""),
  ""Follow("" &amp; REGEXEXTRACT(B100, ""Follow\(([^)]+)\)"") &amp; "") ="",
  IF(
    OR(
      REGEXMATCH(B100, ""^First\([^&lt;]""),
      REGEXMATCH(B100, ""^First\(&lt;[^A-Za-z_]"")
    ),
    """",
    IF(
 "&amp;"     CFG!D100=""λ"",
      ""Follow("" &amp; CFG!B100 &amp; "") ="",
      ""First("" &amp; CFG!D100 &amp; "") =""
    )
  )
)
"),"#REF!")</f>
        <v>#REF!</v>
      </c>
      <c r="D100" s="663" t="str">
        <f>IFERROR(__xludf.DUMMYFUNCTION("IF(
  $C100="""",
  ""{ "" &amp;
    IF(
      REGEXMATCH(B100, ""^First\(\)""),
      "")"",
      REGEXEXTRACT(B100, ""^First\(([^ )]+)"")
    )
  &amp; "" }"",
  IF(
    REGEXMATCH($C100, ""^First\(&lt;""),
    VLOOKUP(REGEXEXTRACT($C100, ""\(([^)]+)\)""), 'First"&amp;" Set MacroA'!B:D, 3, FALSE),
    IF(
      REGEXMATCH($C100, ""^Follow\(&lt;""),
      VLOOKUP(REGEXEXTRACT($C100, ""\(([^)]+)\)""), 'Follow Set Macros'!B:D, 3, FALSE),
      ""{ "" &amp; REGEXEXTRACT($C100, ""\(([^)]+)\)"") &amp; "" }""
    )
  )
)
"),"#REF!")</f>
        <v>#REF!</v>
      </c>
      <c r="E100" s="664"/>
      <c r="F100" s="664"/>
      <c r="G100" s="664"/>
      <c r="H100" s="664"/>
      <c r="I100" s="664"/>
      <c r="J100" s="664"/>
      <c r="K100" s="664"/>
      <c r="L100" s="664"/>
      <c r="M100" s="664"/>
      <c r="N100" s="664"/>
      <c r="O100" s="664"/>
      <c r="P100" s="664"/>
      <c r="Q100" s="664"/>
      <c r="R100" s="664"/>
      <c r="S100" s="664"/>
      <c r="T100" s="664"/>
      <c r="U100" s="664"/>
      <c r="V100" s="664"/>
      <c r="W100" s="664"/>
      <c r="X100" s="664"/>
    </row>
    <row r="101">
      <c r="A101" s="661">
        <f t="shared" si="1"/>
        <v>101</v>
      </c>
      <c r="B101" s="662" t="str">
        <f t="shared" si="2"/>
        <v>#REF!</v>
      </c>
      <c r="C101" s="662" t="str">
        <f>IFERROR(__xludf.DUMMYFUNCTION("IF(
  REGEXMATCH(B101, ""^First\(λ - λ\) ∪ Follow\(""),
  ""Follow("" &amp; REGEXEXTRACT(B101, ""Follow\(([^)]+)\)"") &amp; "") ="",
  IF(
    OR(
      REGEXMATCH(B101, ""^First\([^&lt;]""),
      REGEXMATCH(B101, ""^First\(&lt;[^A-Za-z_]"")
    ),
    """",
    IF(
 "&amp;"     CFG!D101=""λ"",
      ""Follow("" &amp; CFG!B101 &amp; "") ="",
      ""First("" &amp; CFG!D101 &amp; "") =""
    )
  )
)
"),"#REF!")</f>
        <v>#REF!</v>
      </c>
      <c r="D101" s="663" t="str">
        <f>IFERROR(__xludf.DUMMYFUNCTION("IF(
  $C101="""",
  ""{ "" &amp;
    IF(
      REGEXMATCH(B101, ""^First\(\)""),
      "")"",
      REGEXEXTRACT(B101, ""^First\(([^ )]+)"")
    )
  &amp; "" }"",
  IF(
    REGEXMATCH($C101, ""^First\(&lt;""),
    VLOOKUP(REGEXEXTRACT($C101, ""\(([^)]+)\)""), 'First"&amp;" Set MacroA'!B:D, 3, FALSE),
    IF(
      REGEXMATCH($C101, ""^Follow\(&lt;""),
      VLOOKUP(REGEXEXTRACT($C101, ""\(([^)]+)\)""), 'Follow Set Macros'!B:D, 3, FALSE),
      ""{ "" &amp; REGEXEXTRACT($C101, ""\(([^)]+)\)"") &amp; "" }""
    )
  )
)
"),"#REF!")</f>
        <v>#REF!</v>
      </c>
      <c r="E101" s="664"/>
      <c r="F101" s="664"/>
      <c r="G101" s="664"/>
      <c r="H101" s="664"/>
      <c r="I101" s="664"/>
      <c r="J101" s="664"/>
      <c r="K101" s="664"/>
      <c r="L101" s="664"/>
      <c r="M101" s="664"/>
      <c r="N101" s="664"/>
      <c r="O101" s="664"/>
      <c r="P101" s="664"/>
      <c r="Q101" s="664"/>
      <c r="R101" s="664"/>
      <c r="S101" s="664"/>
      <c r="T101" s="664"/>
      <c r="U101" s="664"/>
      <c r="V101" s="664"/>
      <c r="W101" s="664"/>
      <c r="X101" s="664"/>
    </row>
    <row r="102">
      <c r="A102" s="661">
        <f t="shared" si="1"/>
        <v>102</v>
      </c>
      <c r="B102" s="662" t="str">
        <f t="shared" si="2"/>
        <v>#REF!</v>
      </c>
      <c r="C102" s="662" t="str">
        <f>IFERROR(__xludf.DUMMYFUNCTION("IF(
  REGEXMATCH(B102, ""^First\(λ - λ\) ∪ Follow\(""),
  ""Follow("" &amp; REGEXEXTRACT(B102, ""Follow\(([^)]+)\)"") &amp; "") ="",
  IF(
    OR(
      REGEXMATCH(B102, ""^First\([^&lt;]""),
      REGEXMATCH(B102, ""^First\(&lt;[^A-Za-z_]"")
    ),
    """",
    IF(
 "&amp;"     CFG!D102=""λ"",
      ""Follow("" &amp; CFG!B102 &amp; "") ="",
      ""First("" &amp; CFG!D102 &amp; "") =""
    )
  )
)
"),"#REF!")</f>
        <v>#REF!</v>
      </c>
      <c r="D102" s="663" t="str">
        <f>IFERROR(__xludf.DUMMYFUNCTION("IF(
  $C102="""",
  ""{ "" &amp;
    IF(
      REGEXMATCH(B102, ""^First\(\)""),
      "")"",
      REGEXEXTRACT(B102, ""^First\(([^ )]+)"")
    )
  &amp; "" }"",
  IF(
    REGEXMATCH($C102, ""^First\(&lt;""),
    VLOOKUP(REGEXEXTRACT($C102, ""\(([^)]+)\)""), 'First"&amp;" Set MacroA'!B:D, 3, FALSE),
    IF(
      REGEXMATCH($C102, ""^Follow\(&lt;""),
      VLOOKUP(REGEXEXTRACT($C102, ""\(([^)]+)\)""), 'Follow Set Macros'!B:D, 3, FALSE),
      ""{ "" &amp; REGEXEXTRACT($C102, ""\(([^)]+)\)"") &amp; "" }""
    )
  )
)
"),"#REF!")</f>
        <v>#REF!</v>
      </c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</row>
    <row r="103">
      <c r="A103" s="661">
        <f t="shared" si="1"/>
        <v>103</v>
      </c>
      <c r="B103" s="662" t="str">
        <f t="shared" si="2"/>
        <v>#REF!</v>
      </c>
      <c r="C103" s="662" t="str">
        <f>IFERROR(__xludf.DUMMYFUNCTION("IF(
  REGEXMATCH(B103, ""^First\(λ - λ\) ∪ Follow\(""),
  ""Follow("" &amp; REGEXEXTRACT(B103, ""Follow\(([^)]+)\)"") &amp; "") ="",
  IF(
    OR(
      REGEXMATCH(B103, ""^First\([^&lt;]""),
      REGEXMATCH(B103, ""^First\(&lt;[^A-Za-z_]"")
    ),
    """",
    IF(
 "&amp;"     CFG!D103=""λ"",
      ""Follow("" &amp; CFG!B103 &amp; "") ="",
      ""First("" &amp; CFG!D103 &amp; "") =""
    )
  )
)
"),"#REF!")</f>
        <v>#REF!</v>
      </c>
      <c r="D103" s="663" t="str">
        <f>IFERROR(__xludf.DUMMYFUNCTION("IF(
  $C103="""",
  ""{ "" &amp;
    IF(
      REGEXMATCH(B103, ""^First\(\)""),
      "")"",
      REGEXEXTRACT(B103, ""^First\(([^ )]+)"")
    )
  &amp; "" }"",
  IF(
    REGEXMATCH($C103, ""^First\(&lt;""),
    VLOOKUP(REGEXEXTRACT($C103, ""\(([^)]+)\)""), 'First"&amp;" Set MacroA'!B:D, 3, FALSE),
    IF(
      REGEXMATCH($C103, ""^Follow\(&lt;""),
      VLOOKUP(REGEXEXTRACT($C103, ""\(([^)]+)\)""), 'Follow Set Macros'!B:D, 3, FALSE),
      ""{ "" &amp; REGEXEXTRACT($C103, ""\(([^)]+)\)"") &amp; "" }""
    )
  )
)
"),"#REF!")</f>
        <v>#REF!</v>
      </c>
      <c r="E103" s="664"/>
      <c r="F103" s="664"/>
      <c r="G103" s="664"/>
      <c r="H103" s="664"/>
      <c r="I103" s="664"/>
      <c r="J103" s="664"/>
      <c r="K103" s="664"/>
      <c r="L103" s="664"/>
      <c r="M103" s="664"/>
      <c r="N103" s="664"/>
      <c r="O103" s="664"/>
      <c r="P103" s="664"/>
      <c r="Q103" s="664"/>
      <c r="R103" s="664"/>
      <c r="S103" s="664"/>
      <c r="T103" s="664"/>
      <c r="U103" s="664"/>
      <c r="V103" s="664"/>
      <c r="W103" s="664"/>
      <c r="X103" s="664"/>
    </row>
    <row r="104">
      <c r="A104" s="661">
        <f t="shared" si="1"/>
        <v>104</v>
      </c>
      <c r="B104" s="662" t="str">
        <f t="shared" si="2"/>
        <v>#REF!</v>
      </c>
      <c r="C104" s="662" t="str">
        <f>IFERROR(__xludf.DUMMYFUNCTION("IF(
  REGEXMATCH(B104, ""^First\(λ - λ\) ∪ Follow\(""),
  ""Follow("" &amp; REGEXEXTRACT(B104, ""Follow\(([^)]+)\)"") &amp; "") ="",
  IF(
    OR(
      REGEXMATCH(B104, ""^First\([^&lt;]""),
      REGEXMATCH(B104, ""^First\(&lt;[^A-Za-z_]"")
    ),
    """",
    IF(
 "&amp;"     CFG!D104=""λ"",
      ""Follow("" &amp; CFG!B104 &amp; "") ="",
      ""First("" &amp; CFG!D104 &amp; "") =""
    )
  )
)
"),"#REF!")</f>
        <v>#REF!</v>
      </c>
      <c r="D104" s="663" t="str">
        <f>IFERROR(__xludf.DUMMYFUNCTION("IF(
  $C104="""",
  ""{ "" &amp;
    IF(
      REGEXMATCH(B104, ""^First\(\)""),
      "")"",
      REGEXEXTRACT(B104, ""^First\(([^ )]+)"")
    )
  &amp; "" }"",
  IF(
    REGEXMATCH($C104, ""^First\(&lt;""),
    VLOOKUP(REGEXEXTRACT($C104, ""\(([^)]+)\)""), 'First"&amp;" Set MacroA'!B:D, 3, FALSE),
    IF(
      REGEXMATCH($C104, ""^Follow\(&lt;""),
      VLOOKUP(REGEXEXTRACT($C104, ""\(([^)]+)\)""), 'Follow Set Macros'!B:D, 3, FALSE),
      ""{ "" &amp; REGEXEXTRACT($C104, ""\(([^)]+)\)"") &amp; "" }""
    )
  )
)
"),"#REF!")</f>
        <v>#REF!</v>
      </c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</row>
    <row r="105">
      <c r="A105" s="661">
        <f t="shared" si="1"/>
        <v>105</v>
      </c>
      <c r="B105" s="662" t="str">
        <f t="shared" si="2"/>
        <v>#REF!</v>
      </c>
      <c r="C105" s="662" t="str">
        <f>IFERROR(__xludf.DUMMYFUNCTION("IF(
  REGEXMATCH(B105, ""^First\(λ - λ\) ∪ Follow\(""),
  ""Follow("" &amp; REGEXEXTRACT(B105, ""Follow\(([^)]+)\)"") &amp; "") ="",
  IF(
    OR(
      REGEXMATCH(B105, ""^First\([^&lt;]""),
      REGEXMATCH(B105, ""^First\(&lt;[^A-Za-z_]"")
    ),
    """",
    IF(
 "&amp;"     CFG!D105=""λ"",
      ""Follow("" &amp; CFG!B105 &amp; "") ="",
      ""First("" &amp; CFG!D105 &amp; "") =""
    )
  )
)
"),"#REF!")</f>
        <v>#REF!</v>
      </c>
      <c r="D105" s="663" t="str">
        <f>IFERROR(__xludf.DUMMYFUNCTION("IF(
  $C105="""",
  ""{ "" &amp;
    IF(
      REGEXMATCH(B105, ""^First\(\)""),
      "")"",
      REGEXEXTRACT(B105, ""^First\(([^ )]+)"")
    )
  &amp; "" }"",
  IF(
    REGEXMATCH($C105, ""^First\(&lt;""),
    VLOOKUP(REGEXEXTRACT($C105, ""\(([^)]+)\)""), 'First"&amp;" Set MacroA'!B:D, 3, FALSE),
    IF(
      REGEXMATCH($C105, ""^Follow\(&lt;""),
      VLOOKUP(REGEXEXTRACT($C105, ""\(([^)]+)\)""), 'Follow Set Macros'!B:D, 3, FALSE),
      ""{ "" &amp; REGEXEXTRACT($C105, ""\(([^)]+)\)"") &amp; "" }""
    )
  )
)
"),"#REF!")</f>
        <v>#REF!</v>
      </c>
      <c r="E105" s="664"/>
      <c r="F105" s="664"/>
      <c r="G105" s="664"/>
      <c r="H105" s="664"/>
      <c r="I105" s="664"/>
      <c r="J105" s="664"/>
      <c r="K105" s="664"/>
      <c r="L105" s="664"/>
      <c r="M105" s="664"/>
      <c r="N105" s="664"/>
      <c r="O105" s="664"/>
      <c r="P105" s="664"/>
      <c r="Q105" s="664"/>
      <c r="R105" s="664"/>
      <c r="S105" s="664"/>
      <c r="T105" s="664"/>
      <c r="U105" s="664"/>
      <c r="V105" s="664"/>
      <c r="W105" s="664"/>
      <c r="X105" s="664"/>
    </row>
    <row r="106">
      <c r="A106" s="661">
        <f t="shared" si="1"/>
        <v>106</v>
      </c>
      <c r="B106" s="662" t="str">
        <f t="shared" si="2"/>
        <v>#REF!</v>
      </c>
      <c r="C106" s="662" t="str">
        <f>IFERROR(__xludf.DUMMYFUNCTION("IF(
  REGEXMATCH(B106, ""^First\(λ - λ\) ∪ Follow\(""),
  ""Follow("" &amp; REGEXEXTRACT(B106, ""Follow\(([^)]+)\)"") &amp; "") ="",
  IF(
    OR(
      REGEXMATCH(B106, ""^First\([^&lt;]""),
      REGEXMATCH(B106, ""^First\(&lt;[^A-Za-z_]"")
    ),
    """",
    IF(
 "&amp;"     CFG!D106=""λ"",
      ""Follow("" &amp; CFG!B106 &amp; "") ="",
      ""First("" &amp; CFG!D106 &amp; "") =""
    )
  )
)
"),"#REF!")</f>
        <v>#REF!</v>
      </c>
      <c r="D106" s="663" t="str">
        <f>IFERROR(__xludf.DUMMYFUNCTION("IF(
  $C106="""",
  ""{ "" &amp;
    IF(
      REGEXMATCH(B106, ""^First\(\)""),
      "")"",
      REGEXEXTRACT(B106, ""^First\(([^ )]+)"")
    )
  &amp; "" }"",
  IF(
    REGEXMATCH($C106, ""^First\(&lt;""),
    VLOOKUP(REGEXEXTRACT($C106, ""\(([^)]+)\)""), 'First"&amp;" Set MacroA'!B:D, 3, FALSE),
    IF(
      REGEXMATCH($C106, ""^Follow\(&lt;""),
      VLOOKUP(REGEXEXTRACT($C106, ""\(([^)]+)\)""), 'Follow Set Macros'!B:D, 3, FALSE),
      ""{ "" &amp; REGEXEXTRACT($C106, ""\(([^)]+)\)"") &amp; "" }""
    )
  )
)
"),"#REF!")</f>
        <v>#REF!</v>
      </c>
      <c r="E106" s="664"/>
      <c r="F106" s="664"/>
      <c r="G106" s="664"/>
      <c r="H106" s="664"/>
      <c r="I106" s="664"/>
      <c r="J106" s="664"/>
      <c r="K106" s="664"/>
      <c r="L106" s="664"/>
      <c r="M106" s="664"/>
      <c r="N106" s="664"/>
      <c r="O106" s="664"/>
      <c r="P106" s="664"/>
      <c r="Q106" s="664"/>
      <c r="R106" s="664"/>
      <c r="S106" s="664"/>
      <c r="T106" s="664"/>
      <c r="U106" s="664"/>
      <c r="V106" s="664"/>
      <c r="W106" s="664"/>
      <c r="X106" s="664"/>
    </row>
    <row r="107">
      <c r="A107" s="661">
        <f t="shared" si="1"/>
        <v>107</v>
      </c>
      <c r="B107" s="662" t="str">
        <f t="shared" si="2"/>
        <v>#REF!</v>
      </c>
      <c r="C107" s="662" t="str">
        <f>IFERROR(__xludf.DUMMYFUNCTION("IF(
  REGEXMATCH(B107, ""^First\(λ - λ\) ∪ Follow\(""),
  ""Follow("" &amp; REGEXEXTRACT(B107, ""Follow\(([^)]+)\)"") &amp; "") ="",
  IF(
    OR(
      REGEXMATCH(B107, ""^First\([^&lt;]""),
      REGEXMATCH(B107, ""^First\(&lt;[^A-Za-z_]"")
    ),
    """",
    IF(
 "&amp;"     CFG!D107=""λ"",
      ""Follow("" &amp; CFG!B107 &amp; "") ="",
      ""First("" &amp; CFG!D107 &amp; "") =""
    )
  )
)
"),"#REF!")</f>
        <v>#REF!</v>
      </c>
      <c r="D107" s="663" t="str">
        <f>IFERROR(__xludf.DUMMYFUNCTION("IF(
  $C107="""",
  ""{ "" &amp;
    IF(
      REGEXMATCH(B107, ""^First\(\)""),
      "")"",
      REGEXEXTRACT(B107, ""^First\(([^ )]+)"")
    )
  &amp; "" }"",
  IF(
    REGEXMATCH($C107, ""^First\(&lt;""),
    VLOOKUP(REGEXEXTRACT($C107, ""\(([^)]+)\)""), 'First"&amp;" Set MacroA'!B:D, 3, FALSE),
    IF(
      REGEXMATCH($C107, ""^Follow\(&lt;""),
      VLOOKUP(REGEXEXTRACT($C107, ""\(([^)]+)\)""), 'Follow Set Macros'!B:D, 3, FALSE),
      ""{ "" &amp; REGEXEXTRACT($C107, ""\(([^)]+)\)"") &amp; "" }""
    )
  )
)
"),"#REF!")</f>
        <v>#REF!</v>
      </c>
      <c r="E107" s="664"/>
      <c r="F107" s="664"/>
      <c r="G107" s="664"/>
      <c r="H107" s="664"/>
      <c r="I107" s="664"/>
      <c r="J107" s="664"/>
      <c r="K107" s="664"/>
      <c r="L107" s="664"/>
      <c r="M107" s="664"/>
      <c r="N107" s="664"/>
      <c r="O107" s="664"/>
      <c r="P107" s="664"/>
      <c r="Q107" s="664"/>
      <c r="R107" s="664"/>
      <c r="S107" s="664"/>
      <c r="T107" s="664"/>
      <c r="U107" s="664"/>
      <c r="V107" s="664"/>
      <c r="W107" s="664"/>
      <c r="X107" s="664"/>
    </row>
    <row r="108">
      <c r="A108" s="661">
        <f t="shared" si="1"/>
        <v>108</v>
      </c>
      <c r="B108" s="662" t="str">
        <f t="shared" si="2"/>
        <v>#REF!</v>
      </c>
      <c r="C108" s="662" t="str">
        <f>IFERROR(__xludf.DUMMYFUNCTION("IF(
  REGEXMATCH(B108, ""^First\(λ - λ\) ∪ Follow\(""),
  ""Follow("" &amp; REGEXEXTRACT(B108, ""Follow\(([^)]+)\)"") &amp; "") ="",
  IF(
    OR(
      REGEXMATCH(B108, ""^First\([^&lt;]""),
      REGEXMATCH(B108, ""^First\(&lt;[^A-Za-z_]"")
    ),
    """",
    IF(
 "&amp;"     CFG!D108=""λ"",
      ""Follow("" &amp; CFG!B108 &amp; "") ="",
      ""First("" &amp; CFG!D108 &amp; "") =""
    )
  )
)
"),"#REF!")</f>
        <v>#REF!</v>
      </c>
      <c r="D108" s="663" t="str">
        <f>IFERROR(__xludf.DUMMYFUNCTION("IF(
  $C108="""",
  ""{ "" &amp;
    IF(
      REGEXMATCH(B108, ""^First\(\)""),
      "")"",
      REGEXEXTRACT(B108, ""^First\(([^ )]+)"")
    )
  &amp; "" }"",
  IF(
    REGEXMATCH($C108, ""^First\(&lt;""),
    VLOOKUP(REGEXEXTRACT($C108, ""\(([^)]+)\)""), 'First"&amp;" Set MacroA'!B:D, 3, FALSE),
    IF(
      REGEXMATCH($C108, ""^Follow\(&lt;""),
      VLOOKUP(REGEXEXTRACT($C108, ""\(([^)]+)\)""), 'Follow Set Macros'!B:D, 3, FALSE),
      ""{ "" &amp; REGEXEXTRACT($C108, ""\(([^)]+)\)"") &amp; "" }""
    )
  )
)
"),"#REF!")</f>
        <v>#REF!</v>
      </c>
      <c r="E108" s="664"/>
      <c r="F108" s="664"/>
      <c r="G108" s="664"/>
      <c r="H108" s="664"/>
      <c r="I108" s="664"/>
      <c r="J108" s="664"/>
      <c r="K108" s="664"/>
      <c r="L108" s="664"/>
      <c r="M108" s="664"/>
      <c r="N108" s="664"/>
      <c r="O108" s="664"/>
      <c r="P108" s="664"/>
      <c r="Q108" s="664"/>
      <c r="R108" s="664"/>
      <c r="S108" s="664"/>
      <c r="T108" s="664"/>
      <c r="U108" s="664"/>
      <c r="V108" s="664"/>
      <c r="W108" s="664"/>
      <c r="X108" s="664"/>
    </row>
    <row r="109">
      <c r="A109" s="661">
        <f t="shared" si="1"/>
        <v>109</v>
      </c>
      <c r="B109" s="662" t="str">
        <f t="shared" si="2"/>
        <v>#REF!</v>
      </c>
      <c r="C109" s="662" t="str">
        <f>IFERROR(__xludf.DUMMYFUNCTION("IF(
  REGEXMATCH(B109, ""^First\(λ - λ\) ∪ Follow\(""),
  ""Follow("" &amp; REGEXEXTRACT(B109, ""Follow\(([^)]+)\)"") &amp; "") ="",
  IF(
    OR(
      REGEXMATCH(B109, ""^First\([^&lt;]""),
      REGEXMATCH(B109, ""^First\(&lt;[^A-Za-z_]"")
    ),
    """",
    IF(
 "&amp;"     CFG!D109=""λ"",
      ""Follow("" &amp; CFG!B109 &amp; "") ="",
      ""First("" &amp; CFG!D109 &amp; "") =""
    )
  )
)
"),"#REF!")</f>
        <v>#REF!</v>
      </c>
      <c r="D109" s="663" t="str">
        <f>IFERROR(__xludf.DUMMYFUNCTION("IF(
  $C109="""",
  ""{ "" &amp;
    IF(
      REGEXMATCH(B109, ""^First\(\)""),
      "")"",
      REGEXEXTRACT(B109, ""^First\(([^ )]+)"")
    )
  &amp; "" }"",
  IF(
    REGEXMATCH($C109, ""^First\(&lt;""),
    VLOOKUP(REGEXEXTRACT($C109, ""\(([^)]+)\)""), 'First"&amp;" Set MacroA'!B:D, 3, FALSE),
    IF(
      REGEXMATCH($C109, ""^Follow\(&lt;""),
      VLOOKUP(REGEXEXTRACT($C109, ""\(([^)]+)\)""), 'Follow Set Macros'!B:D, 3, FALSE),
      ""{ "" &amp; REGEXEXTRACT($C109, ""\(([^)]+)\)"") &amp; "" }""
    )
  )
)
"),"#REF!")</f>
        <v>#REF!</v>
      </c>
      <c r="E109" s="664"/>
      <c r="F109" s="664"/>
      <c r="G109" s="664"/>
      <c r="H109" s="664"/>
      <c r="I109" s="664"/>
      <c r="J109" s="664"/>
      <c r="K109" s="664"/>
      <c r="L109" s="664"/>
      <c r="M109" s="664"/>
      <c r="N109" s="664"/>
      <c r="O109" s="664"/>
      <c r="P109" s="664"/>
      <c r="Q109" s="664"/>
      <c r="R109" s="664"/>
      <c r="S109" s="664"/>
      <c r="T109" s="664"/>
      <c r="U109" s="664"/>
      <c r="V109" s="664"/>
      <c r="W109" s="664"/>
      <c r="X109" s="664"/>
    </row>
    <row r="110">
      <c r="A110" s="661">
        <f t="shared" si="1"/>
        <v>110</v>
      </c>
      <c r="B110" s="662" t="str">
        <f t="shared" si="2"/>
        <v>#REF!</v>
      </c>
      <c r="C110" s="662" t="str">
        <f>IFERROR(__xludf.DUMMYFUNCTION("IF(
  REGEXMATCH(B110, ""^First\(λ - λ\) ∪ Follow\(""),
  ""Follow("" &amp; REGEXEXTRACT(B110, ""Follow\(([^)]+)\)"") &amp; "") ="",
  IF(
    OR(
      REGEXMATCH(B110, ""^First\([^&lt;]""),
      REGEXMATCH(B110, ""^First\(&lt;[^A-Za-z_]"")
    ),
    """",
    IF(
 "&amp;"     CFG!D110=""λ"",
      ""Follow("" &amp; CFG!B110 &amp; "") ="",
      ""First("" &amp; CFG!D110 &amp; "") =""
    )
  )
)
"),"#REF!")</f>
        <v>#REF!</v>
      </c>
      <c r="D110" s="663" t="str">
        <f>IFERROR(__xludf.DUMMYFUNCTION("IF(
  $C110="""",
  ""{ "" &amp;
    IF(
      REGEXMATCH(B110, ""^First\(\)""),
      "")"",
      REGEXEXTRACT(B110, ""^First\(([^ )]+)"")
    )
  &amp; "" }"",
  IF(
    REGEXMATCH($C110, ""^First\(&lt;""),
    VLOOKUP(REGEXEXTRACT($C110, ""\(([^)]+)\)""), 'First"&amp;" Set MacroA'!B:D, 3, FALSE),
    IF(
      REGEXMATCH($C110, ""^Follow\(&lt;""),
      VLOOKUP(REGEXEXTRACT($C110, ""\(([^)]+)\)""), 'Follow Set Macros'!B:D, 3, FALSE),
      ""{ "" &amp; REGEXEXTRACT($C110, ""\(([^)]+)\)"") &amp; "" }""
    )
  )
)
"),"#REF!")</f>
        <v>#REF!</v>
      </c>
      <c r="E110" s="664"/>
      <c r="F110" s="664"/>
      <c r="G110" s="664"/>
      <c r="H110" s="664"/>
      <c r="I110" s="664"/>
      <c r="J110" s="664"/>
      <c r="K110" s="664"/>
      <c r="L110" s="664"/>
      <c r="M110" s="664"/>
      <c r="N110" s="664"/>
      <c r="O110" s="664"/>
      <c r="P110" s="664"/>
      <c r="Q110" s="664"/>
      <c r="R110" s="664"/>
      <c r="S110" s="664"/>
      <c r="T110" s="664"/>
      <c r="U110" s="664"/>
      <c r="V110" s="664"/>
      <c r="W110" s="664"/>
      <c r="X110" s="664"/>
    </row>
    <row r="111">
      <c r="A111" s="661">
        <f t="shared" si="1"/>
        <v>111</v>
      </c>
      <c r="B111" s="662" t="str">
        <f t="shared" si="2"/>
        <v>#REF!</v>
      </c>
      <c r="C111" s="662" t="str">
        <f>IFERROR(__xludf.DUMMYFUNCTION("IF(
  REGEXMATCH(B111, ""^First\(λ - λ\) ∪ Follow\(""),
  ""Follow("" &amp; REGEXEXTRACT(B111, ""Follow\(([^)]+)\)"") &amp; "") ="",
  IF(
    OR(
      REGEXMATCH(B111, ""^First\([^&lt;]""),
      REGEXMATCH(B111, ""^First\(&lt;[^A-Za-z_]"")
    ),
    """",
    IF(
 "&amp;"     CFG!D111=""λ"",
      ""Follow("" &amp; CFG!B111 &amp; "") ="",
      ""First("" &amp; CFG!D111 &amp; "") =""
    )
  )
)
"),"#REF!")</f>
        <v>#REF!</v>
      </c>
      <c r="D111" s="663" t="str">
        <f>IFERROR(__xludf.DUMMYFUNCTION("IF(
  $C111="""",
  ""{ "" &amp;
    IF(
      REGEXMATCH(B111, ""^First\(\)""),
      "")"",
      REGEXEXTRACT(B111, ""^First\(([^ )]+)"")
    )
  &amp; "" }"",
  IF(
    REGEXMATCH($C111, ""^First\(&lt;""),
    VLOOKUP(REGEXEXTRACT($C111, ""\(([^)]+)\)""), 'First"&amp;" Set MacroA'!B:D, 3, FALSE),
    IF(
      REGEXMATCH($C111, ""^Follow\(&lt;""),
      VLOOKUP(REGEXEXTRACT($C111, ""\(([^)]+)\)""), 'Follow Set Macros'!B:D, 3, FALSE),
      ""{ "" &amp; REGEXEXTRACT($C111, ""\(([^)]+)\)"") &amp; "" }""
    )
  )
)
"),"#REF!")</f>
        <v>#REF!</v>
      </c>
      <c r="E111" s="664"/>
      <c r="F111" s="664"/>
      <c r="G111" s="664"/>
      <c r="H111" s="664"/>
      <c r="I111" s="664"/>
      <c r="J111" s="664"/>
      <c r="K111" s="664"/>
      <c r="L111" s="664"/>
      <c r="M111" s="664"/>
      <c r="N111" s="664"/>
      <c r="O111" s="664"/>
      <c r="P111" s="664"/>
      <c r="Q111" s="664"/>
      <c r="R111" s="664"/>
      <c r="S111" s="664"/>
      <c r="T111" s="664"/>
      <c r="U111" s="664"/>
      <c r="V111" s="664"/>
      <c r="W111" s="664"/>
      <c r="X111" s="664"/>
    </row>
    <row r="112">
      <c r="A112" s="661">
        <f t="shared" si="1"/>
        <v>112</v>
      </c>
      <c r="B112" s="662" t="str">
        <f t="shared" si="2"/>
        <v>#REF!</v>
      </c>
      <c r="C112" s="662" t="str">
        <f>IFERROR(__xludf.DUMMYFUNCTION("IF(
  REGEXMATCH(B112, ""^First\(λ - λ\) ∪ Follow\(""),
  ""Follow("" &amp; REGEXEXTRACT(B112, ""Follow\(([^)]+)\)"") &amp; "") ="",
  IF(
    OR(
      REGEXMATCH(B112, ""^First\([^&lt;]""),
      REGEXMATCH(B112, ""^First\(&lt;[^A-Za-z_]"")
    ),
    """",
    IF(
 "&amp;"     CFG!D112=""λ"",
      ""Follow("" &amp; CFG!B112 &amp; "") ="",
      ""First("" &amp; CFG!D112 &amp; "") =""
    )
  )
)
"),"#REF!")</f>
        <v>#REF!</v>
      </c>
      <c r="D112" s="663" t="str">
        <f>IFERROR(__xludf.DUMMYFUNCTION("IF(
  $C112="""",
  ""{ "" &amp;
    IF(
      REGEXMATCH(B112, ""^First\(\)""),
      "")"",
      REGEXEXTRACT(B112, ""^First\(([^ )]+)"")
    )
  &amp; "" }"",
  IF(
    REGEXMATCH($C112, ""^First\(&lt;""),
    VLOOKUP(REGEXEXTRACT($C112, ""\(([^)]+)\)""), 'First"&amp;" Set MacroA'!B:D, 3, FALSE),
    IF(
      REGEXMATCH($C112, ""^Follow\(&lt;""),
      VLOOKUP(REGEXEXTRACT($C112, ""\(([^)]+)\)""), 'Follow Set Macros'!B:D, 3, FALSE),
      ""{ "" &amp; REGEXEXTRACT($C112, ""\(([^)]+)\)"") &amp; "" }""
    )
  )
)
"),"#REF!")</f>
        <v>#REF!</v>
      </c>
      <c r="E112" s="664"/>
      <c r="F112" s="664"/>
      <c r="G112" s="664"/>
      <c r="H112" s="664"/>
      <c r="I112" s="664"/>
      <c r="J112" s="664"/>
      <c r="K112" s="664"/>
      <c r="L112" s="664"/>
      <c r="M112" s="664"/>
      <c r="N112" s="664"/>
      <c r="O112" s="664"/>
      <c r="P112" s="664"/>
      <c r="Q112" s="664"/>
      <c r="R112" s="664"/>
      <c r="S112" s="664"/>
      <c r="T112" s="664"/>
      <c r="U112" s="664"/>
      <c r="V112" s="664"/>
      <c r="W112" s="664"/>
      <c r="X112" s="664"/>
    </row>
    <row r="113">
      <c r="A113" s="661">
        <f t="shared" si="1"/>
        <v>113</v>
      </c>
      <c r="B113" s="662" t="str">
        <f t="shared" si="2"/>
        <v>#REF!</v>
      </c>
      <c r="C113" s="662" t="str">
        <f>IFERROR(__xludf.DUMMYFUNCTION("IF(
  REGEXMATCH(B113, ""^First\(λ - λ\) ∪ Follow\(""),
  ""Follow("" &amp; REGEXEXTRACT(B113, ""Follow\(([^)]+)\)"") &amp; "") ="",
  IF(
    OR(
      REGEXMATCH(B113, ""^First\([^&lt;]""),
      REGEXMATCH(B113, ""^First\(&lt;[^A-Za-z_]"")
    ),
    """",
    IF(
 "&amp;"     CFG!D113=""λ"",
      ""Follow("" &amp; CFG!B113 &amp; "") ="",
      ""First("" &amp; CFG!D113 &amp; "") =""
    )
  )
)
"),"#REF!")</f>
        <v>#REF!</v>
      </c>
      <c r="D113" s="663" t="str">
        <f>IFERROR(__xludf.DUMMYFUNCTION("IF(
  $C113="""",
  ""{ "" &amp;
    IF(
      REGEXMATCH(B113, ""^First\(\)""),
      "")"",
      REGEXEXTRACT(B113, ""^First\(([^ )]+)"")
    )
  &amp; "" }"",
  IF(
    REGEXMATCH($C113, ""^First\(&lt;""),
    VLOOKUP(REGEXEXTRACT($C113, ""\(([^)]+)\)""), 'First"&amp;" Set MacroA'!B:D, 3, FALSE),
    IF(
      REGEXMATCH($C113, ""^Follow\(&lt;""),
      VLOOKUP(REGEXEXTRACT($C113, ""\(([^)]+)\)""), 'Follow Set Macros'!B:D, 3, FALSE),
      ""{ "" &amp; REGEXEXTRACT($C113, ""\(([^)]+)\)"") &amp; "" }""
    )
  )
)
"),"#REF!")</f>
        <v>#REF!</v>
      </c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</row>
    <row r="114">
      <c r="A114" s="661">
        <f t="shared" si="1"/>
        <v>114</v>
      </c>
      <c r="B114" s="662" t="str">
        <f t="shared" si="2"/>
        <v>#REF!</v>
      </c>
      <c r="C114" s="662" t="str">
        <f>IFERROR(__xludf.DUMMYFUNCTION("IF(
  REGEXMATCH(B114, ""^First\(λ - λ\) ∪ Follow\(""),
  ""Follow("" &amp; REGEXEXTRACT(B114, ""Follow\(([^)]+)\)"") &amp; "") ="",
  IF(
    OR(
      REGEXMATCH(B114, ""^First\([^&lt;]""),
      REGEXMATCH(B114, ""^First\(&lt;[^A-Za-z_]"")
    ),
    """",
    IF(
 "&amp;"     CFG!D114=""λ"",
      ""Follow("" &amp; CFG!B114 &amp; "") ="",
      ""First("" &amp; CFG!D114 &amp; "") =""
    )
  )
)
"),"#REF!")</f>
        <v>#REF!</v>
      </c>
      <c r="D114" s="663" t="str">
        <f>IFERROR(__xludf.DUMMYFUNCTION("IF(
  $C114="""",
  ""{ "" &amp;
    IF(
      REGEXMATCH(B114, ""^First\(\)""),
      "")"",
      REGEXEXTRACT(B114, ""^First\(([^ )]+)"")
    )
  &amp; "" }"",
  IF(
    REGEXMATCH($C114, ""^First\(&lt;""),
    VLOOKUP(REGEXEXTRACT($C114, ""\(([^)]+)\)""), 'First"&amp;" Set MacroA'!B:D, 3, FALSE),
    IF(
      REGEXMATCH($C114, ""^Follow\(&lt;""),
      VLOOKUP(REGEXEXTRACT($C114, ""\(([^)]+)\)""), 'Follow Set Macros'!B:D, 3, FALSE),
      ""{ "" &amp; REGEXEXTRACT($C114, ""\(([^)]+)\)"") &amp; "" }""
    )
  )
)
"),"#REF!")</f>
        <v>#REF!</v>
      </c>
      <c r="E114" s="664"/>
      <c r="F114" s="664"/>
      <c r="G114" s="664"/>
      <c r="H114" s="664"/>
      <c r="I114" s="664"/>
      <c r="J114" s="664"/>
      <c r="K114" s="664"/>
      <c r="L114" s="664"/>
      <c r="M114" s="664"/>
      <c r="N114" s="664"/>
      <c r="O114" s="664"/>
      <c r="P114" s="664"/>
      <c r="Q114" s="664"/>
      <c r="R114" s="664"/>
      <c r="S114" s="664"/>
      <c r="T114" s="664"/>
      <c r="U114" s="664"/>
      <c r="V114" s="664"/>
      <c r="W114" s="664"/>
      <c r="X114" s="664"/>
    </row>
    <row r="115">
      <c r="A115" s="661">
        <f t="shared" si="1"/>
        <v>115</v>
      </c>
      <c r="B115" s="662" t="str">
        <f t="shared" si="2"/>
        <v>#REF!</v>
      </c>
      <c r="C115" s="662" t="str">
        <f>IFERROR(__xludf.DUMMYFUNCTION("IF(
  REGEXMATCH(B115, ""^First\(λ - λ\) ∪ Follow\(""),
  ""Follow("" &amp; REGEXEXTRACT(B115, ""Follow\(([^)]+)\)"") &amp; "") ="",
  IF(
    OR(
      REGEXMATCH(B115, ""^First\([^&lt;]""),
      REGEXMATCH(B115, ""^First\(&lt;[^A-Za-z_]"")
    ),
    """",
    IF(
 "&amp;"     CFG!D115=""λ"",
      ""Follow("" &amp; CFG!B115 &amp; "") ="",
      ""First("" &amp; CFG!D115 &amp; "") =""
    )
  )
)
"),"#REF!")</f>
        <v>#REF!</v>
      </c>
      <c r="D115" s="663" t="str">
        <f>IFERROR(__xludf.DUMMYFUNCTION("IF(
  $C115="""",
  ""{ "" &amp;
    IF(
      REGEXMATCH(B115, ""^First\(\)""),
      "")"",
      REGEXEXTRACT(B115, ""^First\(([^ )]+)"")
    )
  &amp; "" }"",
  IF(
    REGEXMATCH($C115, ""^First\(&lt;""),
    VLOOKUP(REGEXEXTRACT($C115, ""\(([^)]+)\)""), 'First"&amp;" Set MacroA'!B:D, 3, FALSE),
    IF(
      REGEXMATCH($C115, ""^Follow\(&lt;""),
      VLOOKUP(REGEXEXTRACT($C115, ""\(([^)]+)\)""), 'Follow Set Macros'!B:D, 3, FALSE),
      ""{ "" &amp; REGEXEXTRACT($C115, ""\(([^)]+)\)"") &amp; "" }""
    )
  )
)
"),"#REF!")</f>
        <v>#REF!</v>
      </c>
      <c r="E115" s="664"/>
      <c r="F115" s="664"/>
      <c r="G115" s="664"/>
      <c r="H115" s="664"/>
      <c r="I115" s="664"/>
      <c r="J115" s="664"/>
      <c r="K115" s="664"/>
      <c r="L115" s="664"/>
      <c r="M115" s="664"/>
      <c r="N115" s="664"/>
      <c r="O115" s="664"/>
      <c r="P115" s="664"/>
      <c r="Q115" s="664"/>
      <c r="R115" s="664"/>
      <c r="S115" s="664"/>
      <c r="T115" s="664"/>
      <c r="U115" s="664"/>
      <c r="V115" s="664"/>
      <c r="W115" s="664"/>
      <c r="X115" s="664"/>
    </row>
    <row r="116">
      <c r="A116" s="661">
        <f t="shared" si="1"/>
        <v>116</v>
      </c>
      <c r="B116" s="662" t="str">
        <f t="shared" si="2"/>
        <v>#REF!</v>
      </c>
      <c r="C116" s="662" t="str">
        <f>IFERROR(__xludf.DUMMYFUNCTION("IF(
  REGEXMATCH(B116, ""^First\(λ - λ\) ∪ Follow\(""),
  ""Follow("" &amp; REGEXEXTRACT(B116, ""Follow\(([^)]+)\)"") &amp; "") ="",
  IF(
    OR(
      REGEXMATCH(B116, ""^First\([^&lt;]""),
      REGEXMATCH(B116, ""^First\(&lt;[^A-Za-z_]"")
    ),
    """",
    IF(
 "&amp;"     CFG!D116=""λ"",
      ""Follow("" &amp; CFG!B116 &amp; "") ="",
      ""First("" &amp; CFG!D116 &amp; "") =""
    )
  )
)
"),"#REF!")</f>
        <v>#REF!</v>
      </c>
      <c r="D116" s="663" t="str">
        <f>IFERROR(__xludf.DUMMYFUNCTION("IF(
  $C116="""",
  ""{ "" &amp;
    IF(
      REGEXMATCH(B116, ""^First\(\)""),
      "")"",
      REGEXEXTRACT(B116, ""^First\(([^ )]+)"")
    )
  &amp; "" }"",
  IF(
    REGEXMATCH($C116, ""^First\(&lt;""),
    VLOOKUP(REGEXEXTRACT($C116, ""\(([^)]+)\)""), 'First"&amp;" Set MacroA'!B:D, 3, FALSE),
    IF(
      REGEXMATCH($C116, ""^Follow\(&lt;""),
      VLOOKUP(REGEXEXTRACT($C116, ""\(([^)]+)\)""), 'Follow Set Macros'!B:D, 3, FALSE),
      ""{ "" &amp; REGEXEXTRACT($C116, ""\(([^)]+)\)"") &amp; "" }""
    )
  )
)
"),"#REF!")</f>
        <v>#REF!</v>
      </c>
      <c r="E116" s="664"/>
      <c r="F116" s="664"/>
      <c r="G116" s="664"/>
      <c r="H116" s="664"/>
      <c r="I116" s="664"/>
      <c r="J116" s="664"/>
      <c r="K116" s="664"/>
      <c r="L116" s="664"/>
      <c r="M116" s="664"/>
      <c r="N116" s="664"/>
      <c r="O116" s="664"/>
      <c r="P116" s="664"/>
      <c r="Q116" s="664"/>
      <c r="R116" s="664"/>
      <c r="S116" s="664"/>
      <c r="T116" s="664"/>
      <c r="U116" s="664"/>
      <c r="V116" s="664"/>
      <c r="W116" s="664"/>
      <c r="X116" s="664"/>
    </row>
    <row r="117">
      <c r="A117" s="661">
        <f t="shared" si="1"/>
        <v>117</v>
      </c>
      <c r="B117" s="662" t="str">
        <f t="shared" si="2"/>
        <v>#REF!</v>
      </c>
      <c r="C117" s="662" t="str">
        <f>IFERROR(__xludf.DUMMYFUNCTION("IF(
  REGEXMATCH(B117, ""^First\(λ - λ\) ∪ Follow\(""),
  ""Follow("" &amp; REGEXEXTRACT(B117, ""Follow\(([^)]+)\)"") &amp; "") ="",
  IF(
    OR(
      REGEXMATCH(B117, ""^First\([^&lt;]""),
      REGEXMATCH(B117, ""^First\(&lt;[^A-Za-z_]"")
    ),
    """",
    IF(
 "&amp;"     CFG!D117=""λ"",
      ""Follow("" &amp; CFG!B117 &amp; "") ="",
      ""First("" &amp; CFG!D117 &amp; "") =""
    )
  )
)
"),"#REF!")</f>
        <v>#REF!</v>
      </c>
      <c r="D117" s="663" t="str">
        <f>IFERROR(__xludf.DUMMYFUNCTION("IF(
  $C117="""",
  ""{ "" &amp;
    IF(
      REGEXMATCH(B117, ""^First\(\)""),
      "")"",
      REGEXEXTRACT(B117, ""^First\(([^ )]+)"")
    )
  &amp; "" }"",
  IF(
    REGEXMATCH($C117, ""^First\(&lt;""),
    VLOOKUP(REGEXEXTRACT($C117, ""\(([^)]+)\)""), 'First"&amp;" Set MacroA'!B:D, 3, FALSE),
    IF(
      REGEXMATCH($C117, ""^Follow\(&lt;""),
      VLOOKUP(REGEXEXTRACT($C117, ""\(([^)]+)\)""), 'Follow Set Macros'!B:D, 3, FALSE),
      ""{ "" &amp; REGEXEXTRACT($C117, ""\(([^)]+)\)"") &amp; "" }""
    )
  )
)
"),"#REF!")</f>
        <v>#REF!</v>
      </c>
      <c r="E117" s="664"/>
      <c r="F117" s="664"/>
      <c r="G117" s="664"/>
      <c r="H117" s="664"/>
      <c r="I117" s="664"/>
      <c r="J117" s="664"/>
      <c r="K117" s="664"/>
      <c r="L117" s="664"/>
      <c r="M117" s="664"/>
      <c r="N117" s="664"/>
      <c r="O117" s="664"/>
      <c r="P117" s="664"/>
      <c r="Q117" s="664"/>
      <c r="R117" s="664"/>
      <c r="S117" s="664"/>
      <c r="T117" s="664"/>
      <c r="U117" s="664"/>
      <c r="V117" s="664"/>
      <c r="W117" s="664"/>
      <c r="X117" s="664"/>
    </row>
    <row r="118">
      <c r="A118" s="661">
        <f t="shared" si="1"/>
        <v>118</v>
      </c>
      <c r="B118" s="662" t="str">
        <f t="shared" si="2"/>
        <v>#REF!</v>
      </c>
      <c r="C118" s="662" t="str">
        <f>IFERROR(__xludf.DUMMYFUNCTION("IF(
  REGEXMATCH(B118, ""^First\(λ - λ\) ∪ Follow\(""),
  ""Follow("" &amp; REGEXEXTRACT(B118, ""Follow\(([^)]+)\)"") &amp; "") ="",
  IF(
    OR(
      REGEXMATCH(B118, ""^First\([^&lt;]""),
      REGEXMATCH(B118, ""^First\(&lt;[^A-Za-z_]"")
    ),
    """",
    IF(
 "&amp;"     CFG!D118=""λ"",
      ""Follow("" &amp; CFG!B118 &amp; "") ="",
      ""First("" &amp; CFG!D118 &amp; "") =""
    )
  )
)
"),"#REF!")</f>
        <v>#REF!</v>
      </c>
      <c r="D118" s="663" t="str">
        <f>IFERROR(__xludf.DUMMYFUNCTION("IF(
  $C118="""",
  ""{ "" &amp;
    IF(
      REGEXMATCH(B118, ""^First\(\)""),
      "")"",
      REGEXEXTRACT(B118, ""^First\(([^ )]+)"")
    )
  &amp; "" }"",
  IF(
    REGEXMATCH($C118, ""^First\(&lt;""),
    VLOOKUP(REGEXEXTRACT($C118, ""\(([^)]+)\)""), 'First"&amp;" Set MacroA'!B:D, 3, FALSE),
    IF(
      REGEXMATCH($C118, ""^Follow\(&lt;""),
      VLOOKUP(REGEXEXTRACT($C118, ""\(([^)]+)\)""), 'Follow Set Macros'!B:D, 3, FALSE),
      ""{ "" &amp; REGEXEXTRACT($C118, ""\(([^)]+)\)"") &amp; "" }""
    )
  )
)
"),"#REF!")</f>
        <v>#REF!</v>
      </c>
      <c r="E118" s="664"/>
      <c r="F118" s="664"/>
      <c r="G118" s="664"/>
      <c r="H118" s="664"/>
      <c r="I118" s="664"/>
      <c r="J118" s="664"/>
      <c r="K118" s="664"/>
      <c r="L118" s="664"/>
      <c r="M118" s="664"/>
      <c r="N118" s="664"/>
      <c r="O118" s="664"/>
      <c r="P118" s="664"/>
      <c r="Q118" s="664"/>
      <c r="R118" s="664"/>
      <c r="S118" s="664"/>
      <c r="T118" s="664"/>
      <c r="U118" s="664"/>
      <c r="V118" s="664"/>
      <c r="W118" s="664"/>
      <c r="X118" s="664"/>
    </row>
    <row r="119">
      <c r="A119" s="661">
        <f t="shared" si="1"/>
        <v>119</v>
      </c>
      <c r="B119" s="662" t="str">
        <f t="shared" si="2"/>
        <v>#REF!</v>
      </c>
      <c r="C119" s="662" t="str">
        <f>IFERROR(__xludf.DUMMYFUNCTION("IF(
  REGEXMATCH(B119, ""^First\(λ - λ\) ∪ Follow\(""),
  ""Follow("" &amp; REGEXEXTRACT(B119, ""Follow\(([^)]+)\)"") &amp; "") ="",
  IF(
    OR(
      REGEXMATCH(B119, ""^First\([^&lt;]""),
      REGEXMATCH(B119, ""^First\(&lt;[^A-Za-z_]"")
    ),
    """",
    IF(
 "&amp;"     CFG!D119=""λ"",
      ""Follow("" &amp; CFG!B119 &amp; "") ="",
      ""First("" &amp; CFG!D119 &amp; "") =""
    )
  )
)
"),"#REF!")</f>
        <v>#REF!</v>
      </c>
      <c r="D119" s="663" t="str">
        <f>IFERROR(__xludf.DUMMYFUNCTION("IF(
  $C119="""",
  ""{ "" &amp;
    IF(
      REGEXMATCH(B119, ""^First\(\)""),
      "")"",
      REGEXEXTRACT(B119, ""^First\(([^ )]+)"")
    )
  &amp; "" }"",
  IF(
    REGEXMATCH($C119, ""^First\(&lt;""),
    VLOOKUP(REGEXEXTRACT($C119, ""\(([^)]+)\)""), 'First"&amp;" Set MacroA'!B:D, 3, FALSE),
    IF(
      REGEXMATCH($C119, ""^Follow\(&lt;""),
      VLOOKUP(REGEXEXTRACT($C119, ""\(([^)]+)\)""), 'Follow Set Macros'!B:D, 3, FALSE),
      ""{ "" &amp; REGEXEXTRACT($C119, ""\(([^)]+)\)"") &amp; "" }""
    )
  )
)
"),"#REF!")</f>
        <v>#REF!</v>
      </c>
      <c r="E119" s="664"/>
      <c r="F119" s="664"/>
      <c r="G119" s="664"/>
      <c r="H119" s="664"/>
      <c r="I119" s="664"/>
      <c r="J119" s="664"/>
      <c r="K119" s="664"/>
      <c r="L119" s="664"/>
      <c r="M119" s="664"/>
      <c r="N119" s="664"/>
      <c r="O119" s="664"/>
      <c r="P119" s="664"/>
      <c r="Q119" s="664"/>
      <c r="R119" s="664"/>
      <c r="S119" s="664"/>
      <c r="T119" s="664"/>
      <c r="U119" s="664"/>
      <c r="V119" s="664"/>
      <c r="W119" s="664"/>
      <c r="X119" s="664"/>
    </row>
    <row r="120">
      <c r="A120" s="661">
        <f t="shared" si="1"/>
        <v>120</v>
      </c>
      <c r="B120" s="662" t="str">
        <f t="shared" si="2"/>
        <v>#REF!</v>
      </c>
      <c r="C120" s="662" t="str">
        <f>IFERROR(__xludf.DUMMYFUNCTION("IF(
  REGEXMATCH(B120, ""^First\(λ - λ\) ∪ Follow\(""),
  ""Follow("" &amp; REGEXEXTRACT(B120, ""Follow\(([^)]+)\)"") &amp; "") ="",
  IF(
    OR(
      REGEXMATCH(B120, ""^First\([^&lt;]""),
      REGEXMATCH(B120, ""^First\(&lt;[^A-Za-z_]"")
    ),
    """",
    IF(
 "&amp;"     CFG!D120=""λ"",
      ""Follow("" &amp; CFG!B120 &amp; "") ="",
      ""First("" &amp; CFG!D120 &amp; "") =""
    )
  )
)
"),"#REF!")</f>
        <v>#REF!</v>
      </c>
      <c r="D120" s="663" t="str">
        <f>IFERROR(__xludf.DUMMYFUNCTION("IF(
  $C120="""",
  ""{ "" &amp;
    IF(
      REGEXMATCH(B120, ""^First\(\)""),
      "")"",
      REGEXEXTRACT(B120, ""^First\(([^ )]+)"")
    )
  &amp; "" }"",
  IF(
    REGEXMATCH($C120, ""^First\(&lt;""),
    VLOOKUP(REGEXEXTRACT($C120, ""\(([^)]+)\)""), 'First"&amp;" Set MacroA'!B:D, 3, FALSE),
    IF(
      REGEXMATCH($C120, ""^Follow\(&lt;""),
      VLOOKUP(REGEXEXTRACT($C120, ""\(([^)]+)\)""), 'Follow Set Macros'!B:D, 3, FALSE),
      ""{ "" &amp; REGEXEXTRACT($C120, ""\(([^)]+)\)"") &amp; "" }""
    )
  )
)
"),"#REF!")</f>
        <v>#REF!</v>
      </c>
      <c r="E120" s="664"/>
      <c r="F120" s="664"/>
      <c r="G120" s="664"/>
      <c r="H120" s="664"/>
      <c r="I120" s="664"/>
      <c r="J120" s="664"/>
      <c r="K120" s="664"/>
      <c r="L120" s="664"/>
      <c r="M120" s="664"/>
      <c r="N120" s="664"/>
      <c r="O120" s="664"/>
      <c r="P120" s="664"/>
      <c r="Q120" s="664"/>
      <c r="R120" s="664"/>
      <c r="S120" s="664"/>
      <c r="T120" s="664"/>
      <c r="U120" s="664"/>
      <c r="V120" s="664"/>
      <c r="W120" s="664"/>
      <c r="X120" s="664"/>
    </row>
    <row r="121">
      <c r="A121" s="661">
        <f t="shared" si="1"/>
        <v>121</v>
      </c>
      <c r="B121" s="662" t="str">
        <f t="shared" si="2"/>
        <v>#REF!</v>
      </c>
      <c r="C121" s="662" t="str">
        <f>IFERROR(__xludf.DUMMYFUNCTION("IF(
  REGEXMATCH(B121, ""^First\(λ - λ\) ∪ Follow\(""),
  ""Follow("" &amp; REGEXEXTRACT(B121, ""Follow\(([^)]+)\)"") &amp; "") ="",
  IF(
    OR(
      REGEXMATCH(B121, ""^First\([^&lt;]""),
      REGEXMATCH(B121, ""^First\(&lt;[^A-Za-z_]"")
    ),
    """",
    IF(
 "&amp;"     CFG!D121=""λ"",
      ""Follow("" &amp; CFG!B121 &amp; "") ="",
      ""First("" &amp; CFG!D121 &amp; "") =""
    )
  )
)
"),"#REF!")</f>
        <v>#REF!</v>
      </c>
      <c r="D121" s="663" t="str">
        <f>IFERROR(__xludf.DUMMYFUNCTION("IF(
  $C121="""",
  ""{ "" &amp;
    IF(
      REGEXMATCH(B121, ""^First\(\)""),
      "")"",
      REGEXEXTRACT(B121, ""^First\(([^ )]+)"")
    )
  &amp; "" }"",
  IF(
    REGEXMATCH($C121, ""^First\(&lt;""),
    VLOOKUP(REGEXEXTRACT($C121, ""\(([^)]+)\)""), 'First"&amp;" Set MacroA'!B:D, 3, FALSE),
    IF(
      REGEXMATCH($C121, ""^Follow\(&lt;""),
      VLOOKUP(REGEXEXTRACT($C121, ""\(([^)]+)\)""), 'Follow Set Macros'!B:D, 3, FALSE),
      ""{ "" &amp; REGEXEXTRACT($C121, ""\(([^)]+)\)"") &amp; "" }""
    )
  )
)
"),"#REF!")</f>
        <v>#REF!</v>
      </c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</row>
    <row r="122">
      <c r="A122" s="661">
        <f t="shared" si="1"/>
        <v>122</v>
      </c>
      <c r="B122" s="662" t="str">
        <f t="shared" si="2"/>
        <v>#REF!</v>
      </c>
      <c r="C122" s="662" t="str">
        <f>IFERROR(__xludf.DUMMYFUNCTION("IF(
  REGEXMATCH(B122, ""^First\(λ - λ\) ∪ Follow\(""),
  ""Follow("" &amp; REGEXEXTRACT(B122, ""Follow\(([^)]+)\)"") &amp; "") ="",
  IF(
    OR(
      REGEXMATCH(B122, ""^First\([^&lt;]""),
      REGEXMATCH(B122, ""^First\(&lt;[^A-Za-z_]"")
    ),
    """",
    IF(
 "&amp;"     CFG!D122=""λ"",
      ""Follow("" &amp; CFG!B122 &amp; "") ="",
      ""First("" &amp; CFG!D122 &amp; "") =""
    )
  )
)
"),"#REF!")</f>
        <v>#REF!</v>
      </c>
      <c r="D122" s="663" t="str">
        <f>IFERROR(__xludf.DUMMYFUNCTION("IF(
  $C122="""",
  ""{ "" &amp;
    IF(
      REGEXMATCH(B122, ""^First\(\)""),
      "")"",
      REGEXEXTRACT(B122, ""^First\(([^ )]+)"")
    )
  &amp; "" }"",
  IF(
    REGEXMATCH($C122, ""^First\(&lt;""),
    VLOOKUP(REGEXEXTRACT($C122, ""\(([^)]+)\)""), 'First"&amp;" Set MacroA'!B:D, 3, FALSE),
    IF(
      REGEXMATCH($C122, ""^Follow\(&lt;""),
      VLOOKUP(REGEXEXTRACT($C122, ""\(([^)]+)\)""), 'Follow Set Macros'!B:D, 3, FALSE),
      ""{ "" &amp; REGEXEXTRACT($C122, ""\(([^)]+)\)"") &amp; "" }""
    )
  )
)
"),"#REF!")</f>
        <v>#REF!</v>
      </c>
      <c r="E122" s="664"/>
      <c r="F122" s="664"/>
      <c r="G122" s="664"/>
      <c r="H122" s="664"/>
      <c r="I122" s="664"/>
      <c r="J122" s="664"/>
      <c r="K122" s="664"/>
      <c r="L122" s="664"/>
      <c r="M122" s="664"/>
      <c r="N122" s="664"/>
      <c r="O122" s="664"/>
      <c r="P122" s="664"/>
      <c r="Q122" s="664"/>
      <c r="R122" s="664"/>
      <c r="S122" s="664"/>
      <c r="T122" s="664"/>
      <c r="U122" s="664"/>
      <c r="V122" s="664"/>
      <c r="W122" s="664"/>
      <c r="X122" s="664"/>
    </row>
    <row r="123">
      <c r="A123" s="661">
        <f t="shared" si="1"/>
        <v>123</v>
      </c>
      <c r="B123" s="662" t="str">
        <f t="shared" si="2"/>
        <v>#REF!</v>
      </c>
      <c r="C123" s="662" t="str">
        <f>IFERROR(__xludf.DUMMYFUNCTION("IF(
  REGEXMATCH(B123, ""^First\(λ - λ\) ∪ Follow\(""),
  ""Follow("" &amp; REGEXEXTRACT(B123, ""Follow\(([^)]+)\)"") &amp; "") ="",
  IF(
    OR(
      REGEXMATCH(B123, ""^First\([^&lt;]""),
      REGEXMATCH(B123, ""^First\(&lt;[^A-Za-z_]"")
    ),
    """",
    IF(
 "&amp;"     CFG!D123=""λ"",
      ""Follow("" &amp; CFG!B123 &amp; "") ="",
      ""First("" &amp; CFG!D123 &amp; "") =""
    )
  )
)
"),"#REF!")</f>
        <v>#REF!</v>
      </c>
      <c r="D123" s="663" t="str">
        <f>IFERROR(__xludf.DUMMYFUNCTION("IF(
  $C123="""",
  ""{ "" &amp;
    IF(
      REGEXMATCH(B123, ""^First\(\)""),
      "")"",
      REGEXEXTRACT(B123, ""^First\(([^ )]+)"")
    )
  &amp; "" }"",
  IF(
    REGEXMATCH($C123, ""^First\(&lt;""),
    VLOOKUP(REGEXEXTRACT($C123, ""\(([^)]+)\)""), 'First"&amp;" Set MacroA'!B:D, 3, FALSE),
    IF(
      REGEXMATCH($C123, ""^Follow\(&lt;""),
      VLOOKUP(REGEXEXTRACT($C123, ""\(([^)]+)\)""), 'Follow Set Macros'!B:D, 3, FALSE),
      ""{ "" &amp; REGEXEXTRACT($C123, ""\(([^)]+)\)"") &amp; "" }""
    )
  )
)
"),"#REF!")</f>
        <v>#REF!</v>
      </c>
      <c r="E123" s="664"/>
      <c r="F123" s="664"/>
      <c r="G123" s="664"/>
      <c r="H123" s="664"/>
      <c r="I123" s="664"/>
      <c r="J123" s="664"/>
      <c r="K123" s="664"/>
      <c r="L123" s="664"/>
      <c r="M123" s="664"/>
      <c r="N123" s="664"/>
      <c r="O123" s="664"/>
      <c r="P123" s="664"/>
      <c r="Q123" s="664"/>
      <c r="R123" s="664"/>
      <c r="S123" s="664"/>
      <c r="T123" s="664"/>
      <c r="U123" s="664"/>
      <c r="V123" s="664"/>
      <c r="W123" s="664"/>
      <c r="X123" s="664"/>
    </row>
    <row r="124">
      <c r="A124" s="661">
        <f t="shared" si="1"/>
        <v>124</v>
      </c>
      <c r="B124" s="662" t="str">
        <f t="shared" si="2"/>
        <v>#REF!</v>
      </c>
      <c r="C124" s="662" t="str">
        <f>IFERROR(__xludf.DUMMYFUNCTION("IF(
  REGEXMATCH(B124, ""^First\(λ - λ\) ∪ Follow\(""),
  ""Follow("" &amp; REGEXEXTRACT(B124, ""Follow\(([^)]+)\)"") &amp; "") ="",
  IF(
    OR(
      REGEXMATCH(B124, ""^First\([^&lt;]""),
      REGEXMATCH(B124, ""^First\(&lt;[^A-Za-z_]"")
    ),
    """",
    IF(
 "&amp;"     CFG!D124=""λ"",
      ""Follow("" &amp; CFG!B124 &amp; "") ="",
      ""First("" &amp; CFG!D124 &amp; "") =""
    )
  )
)
"),"#REF!")</f>
        <v>#REF!</v>
      </c>
      <c r="D124" s="663" t="str">
        <f>IFERROR(__xludf.DUMMYFUNCTION("IF(
  $C124="""",
  ""{ "" &amp;
    IF(
      REGEXMATCH(B124, ""^First\(\)""),
      "")"",
      REGEXEXTRACT(B124, ""^First\(([^ )]+)"")
    )
  &amp; "" }"",
  IF(
    REGEXMATCH($C124, ""^First\(&lt;""),
    VLOOKUP(REGEXEXTRACT($C124, ""\(([^)]+)\)""), 'First"&amp;" Set MacroA'!B:D, 3, FALSE),
    IF(
      REGEXMATCH($C124, ""^Follow\(&lt;""),
      VLOOKUP(REGEXEXTRACT($C124, ""\(([^)]+)\)""), 'Follow Set Macros'!B:D, 3, FALSE),
      ""{ "" &amp; REGEXEXTRACT($C124, ""\(([^)]+)\)"") &amp; "" }""
    )
  )
)
"),"#REF!")</f>
        <v>#REF!</v>
      </c>
      <c r="E124" s="664"/>
      <c r="F124" s="664"/>
      <c r="G124" s="664"/>
      <c r="H124" s="664"/>
      <c r="I124" s="664"/>
      <c r="J124" s="664"/>
      <c r="K124" s="664"/>
      <c r="L124" s="664"/>
      <c r="M124" s="664"/>
      <c r="N124" s="664"/>
      <c r="O124" s="664"/>
      <c r="P124" s="664"/>
      <c r="Q124" s="664"/>
      <c r="R124" s="664"/>
      <c r="S124" s="664"/>
      <c r="T124" s="664"/>
      <c r="U124" s="664"/>
      <c r="V124" s="664"/>
      <c r="W124" s="664"/>
      <c r="X124" s="664"/>
    </row>
    <row r="125">
      <c r="A125" s="661">
        <f t="shared" si="1"/>
        <v>125</v>
      </c>
      <c r="B125" s="662" t="str">
        <f t="shared" si="2"/>
        <v>#REF!</v>
      </c>
      <c r="C125" s="662" t="str">
        <f>IFERROR(__xludf.DUMMYFUNCTION("IF(
  REGEXMATCH(B125, ""^First\(λ - λ\) ∪ Follow\(""),
  ""Follow("" &amp; REGEXEXTRACT(B125, ""Follow\(([^)]+)\)"") &amp; "") ="",
  IF(
    OR(
      REGEXMATCH(B125, ""^First\([^&lt;]""),
      REGEXMATCH(B125, ""^First\(&lt;[^A-Za-z_]"")
    ),
    """",
    IF(
 "&amp;"     CFG!D125=""λ"",
      ""Follow("" &amp; CFG!B125 &amp; "") ="",
      ""First("" &amp; CFG!D125 &amp; "") =""
    )
  )
)
"),"#REF!")</f>
        <v>#REF!</v>
      </c>
      <c r="D125" s="663" t="str">
        <f>IFERROR(__xludf.DUMMYFUNCTION("IF(
  $C125="""",
  ""{ "" &amp;
    IF(
      REGEXMATCH(B125, ""^First\(\)""),
      "")"",
      REGEXEXTRACT(B125, ""^First\(([^ )]+)"")
    )
  &amp; "" }"",
  IF(
    REGEXMATCH($C125, ""^First\(&lt;""),
    VLOOKUP(REGEXEXTRACT($C125, ""\(([^)]+)\)""), 'First"&amp;" Set MacroA'!B:D, 3, FALSE),
    IF(
      REGEXMATCH($C125, ""^Follow\(&lt;""),
      VLOOKUP(REGEXEXTRACT($C125, ""\(([^)]+)\)""), 'Follow Set Macros'!B:D, 3, FALSE),
      ""{ "" &amp; REGEXEXTRACT($C125, ""\(([^)]+)\)"") &amp; "" }""
    )
  )
)
"),"#REF!")</f>
        <v>#REF!</v>
      </c>
      <c r="E125" s="664"/>
      <c r="F125" s="664"/>
      <c r="G125" s="664"/>
      <c r="H125" s="664"/>
      <c r="I125" s="664"/>
      <c r="J125" s="664"/>
      <c r="K125" s="664"/>
      <c r="L125" s="664"/>
      <c r="M125" s="664"/>
      <c r="N125" s="664"/>
      <c r="O125" s="664"/>
      <c r="P125" s="664"/>
      <c r="Q125" s="664"/>
      <c r="R125" s="664"/>
      <c r="S125" s="664"/>
      <c r="T125" s="664"/>
      <c r="U125" s="664"/>
      <c r="V125" s="664"/>
      <c r="W125" s="664"/>
      <c r="X125" s="664"/>
    </row>
    <row r="126">
      <c r="A126" s="661">
        <f t="shared" si="1"/>
        <v>126</v>
      </c>
      <c r="B126" s="662" t="str">
        <f t="shared" si="2"/>
        <v>#REF!</v>
      </c>
      <c r="C126" s="662" t="str">
        <f>IFERROR(__xludf.DUMMYFUNCTION("IF(
  REGEXMATCH(B126, ""^First\(λ - λ\) ∪ Follow\(""),
  ""Follow("" &amp; REGEXEXTRACT(B126, ""Follow\(([^)]+)\)"") &amp; "") ="",
  IF(
    OR(
      REGEXMATCH(B126, ""^First\([^&lt;]""),
      REGEXMATCH(B126, ""^First\(&lt;[^A-Za-z_]"")
    ),
    """",
    IF(
 "&amp;"     CFG!D126=""λ"",
      ""Follow("" &amp; CFG!B126 &amp; "") ="",
      ""First("" &amp; CFG!D126 &amp; "") =""
    )
  )
)
"),"#REF!")</f>
        <v>#REF!</v>
      </c>
      <c r="D126" s="663" t="str">
        <f>IFERROR(__xludf.DUMMYFUNCTION("IF(
  $C126="""",
  ""{ "" &amp;
    IF(
      REGEXMATCH(B126, ""^First\(\)""),
      "")"",
      REGEXEXTRACT(B126, ""^First\(([^ )]+)"")
    )
  &amp; "" }"",
  IF(
    REGEXMATCH($C126, ""^First\(&lt;""),
    VLOOKUP(REGEXEXTRACT($C126, ""\(([^)]+)\)""), 'First"&amp;" Set MacroA'!B:D, 3, FALSE),
    IF(
      REGEXMATCH($C126, ""^Follow\(&lt;""),
      VLOOKUP(REGEXEXTRACT($C126, ""\(([^)]+)\)""), 'Follow Set Macros'!B:D, 3, FALSE),
      ""{ "" &amp; REGEXEXTRACT($C126, ""\(([^)]+)\)"") &amp; "" }""
    )
  )
)
"),"#REF!")</f>
        <v>#REF!</v>
      </c>
      <c r="E126" s="664"/>
      <c r="F126" s="664"/>
      <c r="G126" s="664"/>
      <c r="H126" s="664"/>
      <c r="I126" s="664"/>
      <c r="J126" s="664"/>
      <c r="K126" s="664"/>
      <c r="L126" s="664"/>
      <c r="M126" s="664"/>
      <c r="N126" s="664"/>
      <c r="O126" s="664"/>
      <c r="P126" s="664"/>
      <c r="Q126" s="664"/>
      <c r="R126" s="664"/>
      <c r="S126" s="664"/>
      <c r="T126" s="664"/>
      <c r="U126" s="664"/>
      <c r="V126" s="664"/>
      <c r="W126" s="664"/>
      <c r="X126" s="664"/>
    </row>
    <row r="127">
      <c r="A127" s="661">
        <f t="shared" si="1"/>
        <v>127</v>
      </c>
      <c r="B127" s="662" t="str">
        <f t="shared" si="2"/>
        <v>#REF!</v>
      </c>
      <c r="C127" s="662" t="str">
        <f>IFERROR(__xludf.DUMMYFUNCTION("IF(
  REGEXMATCH(B127, ""^First\(λ - λ\) ∪ Follow\(""),
  ""Follow("" &amp; REGEXEXTRACT(B127, ""Follow\(([^)]+)\)"") &amp; "") ="",
  IF(
    OR(
      REGEXMATCH(B127, ""^First\([^&lt;]""),
      REGEXMATCH(B127, ""^First\(&lt;[^A-Za-z_]"")
    ),
    """",
    IF(
 "&amp;"     CFG!D127=""λ"",
      ""Follow("" &amp; CFG!B127 &amp; "") ="",
      ""First("" &amp; CFG!D127 &amp; "") =""
    )
  )
)
"),"#REF!")</f>
        <v>#REF!</v>
      </c>
      <c r="D127" s="663" t="str">
        <f>IFERROR(__xludf.DUMMYFUNCTION("IF(
  $C127="""",
  ""{ "" &amp;
    IF(
      REGEXMATCH(B127, ""^First\(\)""),
      "")"",
      REGEXEXTRACT(B127, ""^First\(([^ )]+)"")
    )
  &amp; "" }"",
  IF(
    REGEXMATCH($C127, ""^First\(&lt;""),
    VLOOKUP(REGEXEXTRACT($C127, ""\(([^)]+)\)""), 'First"&amp;" Set MacroA'!B:D, 3, FALSE),
    IF(
      REGEXMATCH($C127, ""^Follow\(&lt;""),
      VLOOKUP(REGEXEXTRACT($C127, ""\(([^)]+)\)""), 'Follow Set Macros'!B:D, 3, FALSE),
      ""{ "" &amp; REGEXEXTRACT($C127, ""\(([^)]+)\)"") &amp; "" }""
    )
  )
)
"),"#REF!")</f>
        <v>#REF!</v>
      </c>
      <c r="E127" s="664"/>
      <c r="F127" s="664"/>
      <c r="G127" s="664"/>
      <c r="H127" s="664"/>
      <c r="I127" s="664"/>
      <c r="J127" s="664"/>
      <c r="K127" s="664"/>
      <c r="L127" s="664"/>
      <c r="M127" s="664"/>
      <c r="N127" s="664"/>
      <c r="O127" s="664"/>
      <c r="P127" s="664"/>
      <c r="Q127" s="664"/>
      <c r="R127" s="664"/>
      <c r="S127" s="664"/>
      <c r="T127" s="664"/>
      <c r="U127" s="664"/>
      <c r="V127" s="664"/>
      <c r="W127" s="664"/>
      <c r="X127" s="664"/>
    </row>
    <row r="128">
      <c r="A128" s="661">
        <f t="shared" si="1"/>
        <v>128</v>
      </c>
      <c r="B128" s="662" t="str">
        <f t="shared" si="2"/>
        <v>#REF!</v>
      </c>
      <c r="C128" s="662" t="str">
        <f>IFERROR(__xludf.DUMMYFUNCTION("IF(
  REGEXMATCH(B128, ""^First\(λ - λ\) ∪ Follow\(""),
  ""Follow("" &amp; REGEXEXTRACT(B128, ""Follow\(([^)]+)\)"") &amp; "") ="",
  IF(
    OR(
      REGEXMATCH(B128, ""^First\([^&lt;]""),
      REGEXMATCH(B128, ""^First\(&lt;[^A-Za-z_]"")
    ),
    """",
    IF(
 "&amp;"     CFG!D128=""λ"",
      ""Follow("" &amp; CFG!B128 &amp; "") ="",
      ""First("" &amp; CFG!D128 &amp; "") =""
    )
  )
)
"),"#REF!")</f>
        <v>#REF!</v>
      </c>
      <c r="D128" s="663" t="str">
        <f>IFERROR(__xludf.DUMMYFUNCTION("IF(
  $C128="""",
  ""{ "" &amp;
    IF(
      REGEXMATCH(B128, ""^First\(\)""),
      "")"",
      REGEXEXTRACT(B128, ""^First\(([^ )]+)"")
    )
  &amp; "" }"",
  IF(
    REGEXMATCH($C128, ""^First\(&lt;""),
    VLOOKUP(REGEXEXTRACT($C128, ""\(([^)]+)\)""), 'First"&amp;" Set MacroA'!B:D, 3, FALSE),
    IF(
      REGEXMATCH($C128, ""^Follow\(&lt;""),
      VLOOKUP(REGEXEXTRACT($C128, ""\(([^)]+)\)""), 'Follow Set Macros'!B:D, 3, FALSE),
      ""{ "" &amp; REGEXEXTRACT($C128, ""\(([^)]+)\)"") &amp; "" }""
    )
  )
)
"),"#REF!")</f>
        <v>#REF!</v>
      </c>
      <c r="E128" s="664"/>
      <c r="F128" s="664"/>
      <c r="G128" s="664"/>
      <c r="H128" s="664"/>
      <c r="I128" s="664"/>
      <c r="J128" s="664"/>
      <c r="K128" s="664"/>
      <c r="L128" s="664"/>
      <c r="M128" s="664"/>
      <c r="N128" s="664"/>
      <c r="O128" s="664"/>
      <c r="P128" s="664"/>
      <c r="Q128" s="664"/>
      <c r="R128" s="664"/>
      <c r="S128" s="664"/>
      <c r="T128" s="664"/>
      <c r="U128" s="664"/>
      <c r="V128" s="664"/>
      <c r="W128" s="664"/>
      <c r="X128" s="664"/>
    </row>
    <row r="129">
      <c r="A129" s="661">
        <f t="shared" si="1"/>
        <v>129</v>
      </c>
      <c r="B129" s="662" t="str">
        <f t="shared" si="2"/>
        <v>#REF!</v>
      </c>
      <c r="C129" s="662" t="str">
        <f>IFERROR(__xludf.DUMMYFUNCTION("IF(
  REGEXMATCH(B129, ""^First\(λ - λ\) ∪ Follow\(""),
  ""Follow("" &amp; REGEXEXTRACT(B129, ""Follow\(([^)]+)\)"") &amp; "") ="",
  IF(
    OR(
      REGEXMATCH(B129, ""^First\([^&lt;]""),
      REGEXMATCH(B129, ""^First\(&lt;[^A-Za-z_]"")
    ),
    """",
    IF(
 "&amp;"     CFG!D129=""λ"",
      ""Follow("" &amp; CFG!B129 &amp; "") ="",
      ""First("" &amp; CFG!D129 &amp; "") =""
    )
  )
)
"),"#REF!")</f>
        <v>#REF!</v>
      </c>
      <c r="D129" s="663" t="str">
        <f>IFERROR(__xludf.DUMMYFUNCTION("IF(
  $C129="""",
  ""{ "" &amp;
    IF(
      REGEXMATCH(B129, ""^First\(\)""),
      "")"",
      REGEXEXTRACT(B129, ""^First\(([^ )]+)"")
    )
  &amp; "" }"",
  IF(
    REGEXMATCH($C129, ""^First\(&lt;""),
    VLOOKUP(REGEXEXTRACT($C129, ""\(([^)]+)\)""), 'First"&amp;" Set MacroA'!B:D, 3, FALSE),
    IF(
      REGEXMATCH($C129, ""^Follow\(&lt;""),
      VLOOKUP(REGEXEXTRACT($C129, ""\(([^)]+)\)""), 'Follow Set Macros'!B:D, 3, FALSE),
      ""{ "" &amp; REGEXEXTRACT($C129, ""\(([^)]+)\)"") &amp; "" }""
    )
  )
)
"),"#REF!")</f>
        <v>#REF!</v>
      </c>
      <c r="E129" s="664"/>
      <c r="F129" s="664"/>
      <c r="G129" s="664"/>
      <c r="H129" s="664"/>
      <c r="I129" s="664"/>
      <c r="J129" s="664"/>
      <c r="K129" s="664"/>
      <c r="L129" s="664"/>
      <c r="M129" s="664"/>
      <c r="N129" s="664"/>
      <c r="O129" s="664"/>
      <c r="P129" s="664"/>
      <c r="Q129" s="664"/>
      <c r="R129" s="664"/>
      <c r="S129" s="664"/>
      <c r="T129" s="664"/>
      <c r="U129" s="664"/>
      <c r="V129" s="664"/>
      <c r="W129" s="664"/>
      <c r="X129" s="664"/>
    </row>
    <row r="130">
      <c r="A130" s="661">
        <f t="shared" si="1"/>
        <v>130</v>
      </c>
      <c r="B130" s="662" t="str">
        <f t="shared" si="2"/>
        <v>#REF!</v>
      </c>
      <c r="C130" s="662" t="str">
        <f>IFERROR(__xludf.DUMMYFUNCTION("IF(
  REGEXMATCH(B130, ""^First\(λ - λ\) ∪ Follow\(""),
  ""Follow("" &amp; REGEXEXTRACT(B130, ""Follow\(([^)]+)\)"") &amp; "") ="",
  IF(
    OR(
      REGEXMATCH(B130, ""^First\([^&lt;]""),
      REGEXMATCH(B130, ""^First\(&lt;[^A-Za-z_]"")
    ),
    """",
    IF(
 "&amp;"     CFG!D130=""λ"",
      ""Follow("" &amp; CFG!B130 &amp; "") ="",
      ""First("" &amp; CFG!D130 &amp; "") =""
    )
  )
)
"),"#REF!")</f>
        <v>#REF!</v>
      </c>
      <c r="D130" s="663" t="str">
        <f>IFERROR(__xludf.DUMMYFUNCTION("IF(
  $C130="""",
  ""{ "" &amp;
    IF(
      REGEXMATCH(B130, ""^First\(\)""),
      "")"",
      REGEXEXTRACT(B130, ""^First\(([^ )]+)"")
    )
  &amp; "" }"",
  IF(
    REGEXMATCH($C130, ""^First\(&lt;""),
    VLOOKUP(REGEXEXTRACT($C130, ""\(([^)]+)\)""), 'First"&amp;" Set MacroA'!B:D, 3, FALSE),
    IF(
      REGEXMATCH($C130, ""^Follow\(&lt;""),
      VLOOKUP(REGEXEXTRACT($C130, ""\(([^)]+)\)""), 'Follow Set Macros'!B:D, 3, FALSE),
      ""{ "" &amp; REGEXEXTRACT($C130, ""\(([^)]+)\)"") &amp; "" }""
    )
  )
)
"),"#REF!")</f>
        <v>#REF!</v>
      </c>
      <c r="E130" s="664"/>
      <c r="F130" s="664"/>
      <c r="G130" s="664"/>
      <c r="H130" s="664"/>
      <c r="I130" s="664"/>
      <c r="J130" s="664"/>
      <c r="K130" s="664"/>
      <c r="L130" s="664"/>
      <c r="M130" s="664"/>
      <c r="N130" s="664"/>
      <c r="O130" s="664"/>
      <c r="P130" s="664"/>
      <c r="Q130" s="664"/>
      <c r="R130" s="664"/>
      <c r="S130" s="664"/>
      <c r="T130" s="664"/>
      <c r="U130" s="664"/>
      <c r="V130" s="664"/>
      <c r="W130" s="664"/>
      <c r="X130" s="664"/>
    </row>
    <row r="131">
      <c r="A131" s="661">
        <f t="shared" si="1"/>
        <v>131</v>
      </c>
      <c r="B131" s="662" t="str">
        <f t="shared" si="2"/>
        <v>#REF!</v>
      </c>
      <c r="C131" s="662" t="str">
        <f>IFERROR(__xludf.DUMMYFUNCTION("IF(
  REGEXMATCH(B131, ""^First\(λ - λ\) ∪ Follow\(""),
  ""Follow("" &amp; REGEXEXTRACT(B131, ""Follow\(([^)]+)\)"") &amp; "") ="",
  IF(
    OR(
      REGEXMATCH(B131, ""^First\([^&lt;]""),
      REGEXMATCH(B131, ""^First\(&lt;[^A-Za-z_]"")
    ),
    """",
    IF(
 "&amp;"     CFG!D131=""λ"",
      ""Follow("" &amp; CFG!B131 &amp; "") ="",
      ""First("" &amp; CFG!D131 &amp; "") =""
    )
  )
)
"),"#REF!")</f>
        <v>#REF!</v>
      </c>
      <c r="D131" s="663" t="str">
        <f>IFERROR(__xludf.DUMMYFUNCTION("IF(
  $C131="""",
  ""{ "" &amp;
    IF(
      REGEXMATCH(B131, ""^First\(\)""),
      "")"",
      REGEXEXTRACT(B131, ""^First\(([^ )]+)"")
    )
  &amp; "" }"",
  IF(
    REGEXMATCH($C131, ""^First\(&lt;""),
    VLOOKUP(REGEXEXTRACT($C131, ""\(([^)]+)\)""), 'First"&amp;" Set MacroA'!B:D, 3, FALSE),
    IF(
      REGEXMATCH($C131, ""^Follow\(&lt;""),
      VLOOKUP(REGEXEXTRACT($C131, ""\(([^)]+)\)""), 'Follow Set Macros'!B:D, 3, FALSE),
      ""{ "" &amp; REGEXEXTRACT($C131, ""\(([^)]+)\)"") &amp; "" }""
    )
  )
)
"),"#REF!")</f>
        <v>#REF!</v>
      </c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</row>
    <row r="132">
      <c r="A132" s="661">
        <f t="shared" si="1"/>
        <v>132</v>
      </c>
      <c r="B132" s="662" t="str">
        <f t="shared" si="2"/>
        <v>#REF!</v>
      </c>
      <c r="C132" s="662" t="str">
        <f>IFERROR(__xludf.DUMMYFUNCTION("IF(
  REGEXMATCH(B132, ""^First\(λ - λ\) ∪ Follow\(""),
  ""Follow("" &amp; REGEXEXTRACT(B132, ""Follow\(([^)]+)\)"") &amp; "") ="",
  IF(
    OR(
      REGEXMATCH(B132, ""^First\([^&lt;]""),
      REGEXMATCH(B132, ""^First\(&lt;[^A-Za-z_]"")
    ),
    """",
    IF(
 "&amp;"     CFG!D132=""λ"",
      ""Follow("" &amp; CFG!B132 &amp; "") ="",
      ""First("" &amp; CFG!D132 &amp; "") =""
    )
  )
)
"),"#REF!")</f>
        <v>#REF!</v>
      </c>
      <c r="D132" s="663" t="str">
        <f>IFERROR(__xludf.DUMMYFUNCTION("IF(
  $C132="""",
  ""{ "" &amp;
    IF(
      REGEXMATCH(B132, ""^First\(\)""),
      "")"",
      REGEXEXTRACT(B132, ""^First\(([^ )]+)"")
    )
  &amp; "" }"",
  IF(
    REGEXMATCH($C132, ""^First\(&lt;""),
    VLOOKUP(REGEXEXTRACT($C132, ""\(([^)]+)\)""), 'First"&amp;" Set MacroA'!B:D, 3, FALSE),
    IF(
      REGEXMATCH($C132, ""^Follow\(&lt;""),
      VLOOKUP(REGEXEXTRACT($C132, ""\(([^)]+)\)""), 'Follow Set Macros'!B:D, 3, FALSE),
      ""{ "" &amp; REGEXEXTRACT($C132, ""\(([^)]+)\)"") &amp; "" }""
    )
  )
)
"),"#REF!")</f>
        <v>#REF!</v>
      </c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4"/>
      <c r="P132" s="664"/>
      <c r="Q132" s="664"/>
      <c r="R132" s="664"/>
      <c r="S132" s="664"/>
      <c r="T132" s="664"/>
      <c r="U132" s="664"/>
      <c r="V132" s="664"/>
      <c r="W132" s="664"/>
      <c r="X132" s="664"/>
    </row>
    <row r="133">
      <c r="A133" s="661">
        <f t="shared" si="1"/>
        <v>133</v>
      </c>
      <c r="B133" s="662" t="str">
        <f t="shared" si="2"/>
        <v>#REF!</v>
      </c>
      <c r="C133" s="662" t="str">
        <f>IFERROR(__xludf.DUMMYFUNCTION("IF(
  REGEXMATCH(B133, ""^First\(λ - λ\) ∪ Follow\(""),
  ""Follow("" &amp; REGEXEXTRACT(B133, ""Follow\(([^)]+)\)"") &amp; "") ="",
  IF(
    OR(
      REGEXMATCH(B133, ""^First\([^&lt;]""),
      REGEXMATCH(B133, ""^First\(&lt;[^A-Za-z_]"")
    ),
    """",
    IF(
 "&amp;"     CFG!D133=""λ"",
      ""Follow("" &amp; CFG!B133 &amp; "") ="",
      ""First("" &amp; CFG!D133 &amp; "") =""
    )
  )
)
"),"#REF!")</f>
        <v>#REF!</v>
      </c>
      <c r="D133" s="663" t="str">
        <f>IFERROR(__xludf.DUMMYFUNCTION("IF(
  $C133="""",
  ""{ "" &amp;
    IF(
      REGEXMATCH(B133, ""^First\(\)""),
      "")"",
      REGEXEXTRACT(B133, ""^First\(([^ )]+)"")
    )
  &amp; "" }"",
  IF(
    REGEXMATCH($C133, ""^First\(&lt;""),
    VLOOKUP(REGEXEXTRACT($C133, ""\(([^)]+)\)""), 'First"&amp;" Set MacroA'!B:D, 3, FALSE),
    IF(
      REGEXMATCH($C133, ""^Follow\(&lt;""),
      VLOOKUP(REGEXEXTRACT($C133, ""\(([^)]+)\)""), 'Follow Set Macros'!B:D, 3, FALSE),
      ""{ "" &amp; REGEXEXTRACT($C133, ""\(([^)]+)\)"") &amp; "" }""
    )
  )
)
"),"#REF!")</f>
        <v>#REF!</v>
      </c>
      <c r="E133" s="664"/>
      <c r="F133" s="664"/>
      <c r="G133" s="664"/>
      <c r="H133" s="664"/>
      <c r="I133" s="664"/>
      <c r="J133" s="664"/>
      <c r="K133" s="664"/>
      <c r="L133" s="664"/>
      <c r="M133" s="664"/>
      <c r="N133" s="664"/>
      <c r="O133" s="664"/>
      <c r="P133" s="664"/>
      <c r="Q133" s="664"/>
      <c r="R133" s="664"/>
      <c r="S133" s="664"/>
      <c r="T133" s="664"/>
      <c r="U133" s="664"/>
      <c r="V133" s="664"/>
      <c r="W133" s="664"/>
      <c r="X133" s="664"/>
    </row>
    <row r="134">
      <c r="A134" s="661">
        <f t="shared" si="1"/>
        <v>134</v>
      </c>
      <c r="B134" s="662" t="str">
        <f t="shared" si="2"/>
        <v>#REF!</v>
      </c>
      <c r="C134" s="662" t="str">
        <f>IFERROR(__xludf.DUMMYFUNCTION("IF(
  REGEXMATCH(B134, ""^First\(λ - λ\) ∪ Follow\(""),
  ""Follow("" &amp; REGEXEXTRACT(B134, ""Follow\(([^)]+)\)"") &amp; "") ="",
  IF(
    OR(
      REGEXMATCH(B134, ""^First\([^&lt;]""),
      REGEXMATCH(B134, ""^First\(&lt;[^A-Za-z_]"")
    ),
    """",
    IF(
 "&amp;"     CFG!D134=""λ"",
      ""Follow("" &amp; CFG!B134 &amp; "") ="",
      ""First("" &amp; CFG!D134 &amp; "") =""
    )
  )
)
"),"#REF!")</f>
        <v>#REF!</v>
      </c>
      <c r="D134" s="663" t="str">
        <f>IFERROR(__xludf.DUMMYFUNCTION("IF(
  $C134="""",
  ""{ "" &amp;
    IF(
      REGEXMATCH(B134, ""^First\(\)""),
      "")"",
      REGEXEXTRACT(B134, ""^First\(([^ )]+)"")
    )
  &amp; "" }"",
  IF(
    REGEXMATCH($C134, ""^First\(&lt;""),
    VLOOKUP(REGEXEXTRACT($C134, ""\(([^)]+)\)""), 'First"&amp;" Set MacroA'!B:D, 3, FALSE),
    IF(
      REGEXMATCH($C134, ""^Follow\(&lt;""),
      VLOOKUP(REGEXEXTRACT($C134, ""\(([^)]+)\)""), 'Follow Set Macros'!B:D, 3, FALSE),
      ""{ "" &amp; REGEXEXTRACT($C134, ""\(([^)]+)\)"") &amp; "" }""
    )
  )
)
"),"#REF!")</f>
        <v>#REF!</v>
      </c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</row>
    <row r="135">
      <c r="A135" s="661">
        <f t="shared" si="1"/>
        <v>135</v>
      </c>
      <c r="B135" s="662" t="str">
        <f t="shared" si="2"/>
        <v>#REF!</v>
      </c>
      <c r="C135" s="662" t="str">
        <f>IFERROR(__xludf.DUMMYFUNCTION("IF(
  REGEXMATCH(B135, ""^First\(λ - λ\) ∪ Follow\(""),
  ""Follow("" &amp; REGEXEXTRACT(B135, ""Follow\(([^)]+)\)"") &amp; "") ="",
  IF(
    OR(
      REGEXMATCH(B135, ""^First\([^&lt;]""),
      REGEXMATCH(B135, ""^First\(&lt;[^A-Za-z_]"")
    ),
    """",
    IF(
 "&amp;"     CFG!D135=""λ"",
      ""Follow("" &amp; CFG!B135 &amp; "") ="",
      ""First("" &amp; CFG!D135 &amp; "") =""
    )
  )
)
"),"#REF!")</f>
        <v>#REF!</v>
      </c>
      <c r="D135" s="663" t="str">
        <f>IFERROR(__xludf.DUMMYFUNCTION("IF(
  $C135="""",
  ""{ "" &amp;
    IF(
      REGEXMATCH(B135, ""^First\(\)""),
      "")"",
      REGEXEXTRACT(B135, ""^First\(([^ )]+)"")
    )
  &amp; "" }"",
  IF(
    REGEXMATCH($C135, ""^First\(&lt;""),
    VLOOKUP(REGEXEXTRACT($C135, ""\(([^)]+)\)""), 'First"&amp;" Set MacroA'!B:D, 3, FALSE),
    IF(
      REGEXMATCH($C135, ""^Follow\(&lt;""),
      VLOOKUP(REGEXEXTRACT($C135, ""\(([^)]+)\)""), 'Follow Set Macros'!B:D, 3, FALSE),
      ""{ "" &amp; REGEXEXTRACT($C135, ""\(([^)]+)\)"") &amp; "" }""
    )
  )
)
"),"#REF!")</f>
        <v>#REF!</v>
      </c>
      <c r="E135" s="664"/>
      <c r="F135" s="664"/>
      <c r="G135" s="664"/>
      <c r="H135" s="664"/>
      <c r="I135" s="664"/>
      <c r="J135" s="664"/>
      <c r="K135" s="664"/>
      <c r="L135" s="664"/>
      <c r="M135" s="664"/>
      <c r="N135" s="664"/>
      <c r="O135" s="664"/>
      <c r="P135" s="664"/>
      <c r="Q135" s="664"/>
      <c r="R135" s="664"/>
      <c r="S135" s="664"/>
      <c r="T135" s="664"/>
      <c r="U135" s="664"/>
      <c r="V135" s="664"/>
      <c r="W135" s="664"/>
      <c r="X135" s="664"/>
    </row>
    <row r="136">
      <c r="A136" s="661">
        <f t="shared" si="1"/>
        <v>136</v>
      </c>
      <c r="B136" s="662" t="str">
        <f t="shared" si="2"/>
        <v>#REF!</v>
      </c>
      <c r="C136" s="662" t="str">
        <f>IFERROR(__xludf.DUMMYFUNCTION("IF(
  REGEXMATCH(B136, ""^First\(λ - λ\) ∪ Follow\(""),
  ""Follow("" &amp; REGEXEXTRACT(B136, ""Follow\(([^)]+)\)"") &amp; "") ="",
  IF(
    OR(
      REGEXMATCH(B136, ""^First\([^&lt;]""),
      REGEXMATCH(B136, ""^First\(&lt;[^A-Za-z_]"")
    ),
    """",
    IF(
 "&amp;"     CFG!D136=""λ"",
      ""Follow("" &amp; CFG!B136 &amp; "") ="",
      ""First("" &amp; CFG!D136 &amp; "") =""
    )
  )
)
"),"#REF!")</f>
        <v>#REF!</v>
      </c>
      <c r="D136" s="663" t="str">
        <f>IFERROR(__xludf.DUMMYFUNCTION("IF(
  $C136="""",
  ""{ "" &amp;
    IF(
      REGEXMATCH(B136, ""^First\(\)""),
      "")"",
      REGEXEXTRACT(B136, ""^First\(([^ )]+)"")
    )
  &amp; "" }"",
  IF(
    REGEXMATCH($C136, ""^First\(&lt;""),
    VLOOKUP(REGEXEXTRACT($C136, ""\(([^)]+)\)""), 'First"&amp;" Set MacroA'!B:D, 3, FALSE),
    IF(
      REGEXMATCH($C136, ""^Follow\(&lt;""),
      VLOOKUP(REGEXEXTRACT($C136, ""\(([^)]+)\)""), 'Follow Set Macros'!B:D, 3, FALSE),
      ""{ "" &amp; REGEXEXTRACT($C136, ""\(([^)]+)\)"") &amp; "" }""
    )
  )
)
"),"#REF!")</f>
        <v>#REF!</v>
      </c>
      <c r="E136" s="664"/>
      <c r="F136" s="664"/>
      <c r="G136" s="664"/>
      <c r="H136" s="664"/>
      <c r="I136" s="664"/>
      <c r="J136" s="664"/>
      <c r="K136" s="664"/>
      <c r="L136" s="664"/>
      <c r="M136" s="664"/>
      <c r="N136" s="664"/>
      <c r="O136" s="664"/>
      <c r="P136" s="664"/>
      <c r="Q136" s="664"/>
      <c r="R136" s="664"/>
      <c r="S136" s="664"/>
      <c r="T136" s="664"/>
      <c r="U136" s="664"/>
      <c r="V136" s="664"/>
      <c r="W136" s="664"/>
      <c r="X136" s="664"/>
    </row>
    <row r="137">
      <c r="A137" s="661">
        <f t="shared" si="1"/>
        <v>137</v>
      </c>
      <c r="B137" s="662" t="str">
        <f t="shared" si="2"/>
        <v>#REF!</v>
      </c>
      <c r="C137" s="662" t="str">
        <f>IFERROR(__xludf.DUMMYFUNCTION("IF(
  REGEXMATCH(B137, ""^First\(λ - λ\) ∪ Follow\(""),
  ""Follow("" &amp; REGEXEXTRACT(B137, ""Follow\(([^)]+)\)"") &amp; "") ="",
  IF(
    OR(
      REGEXMATCH(B137, ""^First\([^&lt;]""),
      REGEXMATCH(B137, ""^First\(&lt;[^A-Za-z_]"")
    ),
    """",
    IF(
 "&amp;"     CFG!D137=""λ"",
      ""Follow("" &amp; CFG!B137 &amp; "") ="",
      ""First("" &amp; CFG!D137 &amp; "") =""
    )
  )
)
"),"#REF!")</f>
        <v>#REF!</v>
      </c>
      <c r="D137" s="663" t="str">
        <f>IFERROR(__xludf.DUMMYFUNCTION("IF(
  $C137="""",
  ""{ "" &amp;
    IF(
      REGEXMATCH(B137, ""^First\(\)""),
      "")"",
      REGEXEXTRACT(B137, ""^First\(([^ )]+)"")
    )
  &amp; "" }"",
  IF(
    REGEXMATCH($C137, ""^First\(&lt;""),
    VLOOKUP(REGEXEXTRACT($C137, ""\(([^)]+)\)""), 'First"&amp;" Set MacroA'!B:D, 3, FALSE),
    IF(
      REGEXMATCH($C137, ""^Follow\(&lt;""),
      VLOOKUP(REGEXEXTRACT($C137, ""\(([^)]+)\)""), 'Follow Set Macros'!B:D, 3, FALSE),
      ""{ "" &amp; REGEXEXTRACT($C137, ""\(([^)]+)\)"") &amp; "" }""
    )
  )
)
"),"#REF!")</f>
        <v>#REF!</v>
      </c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</row>
    <row r="138">
      <c r="A138" s="661">
        <f t="shared" si="1"/>
        <v>138</v>
      </c>
      <c r="B138" s="662" t="str">
        <f t="shared" si="2"/>
        <v>#REF!</v>
      </c>
      <c r="C138" s="662" t="str">
        <f>IFERROR(__xludf.DUMMYFUNCTION("IF(
  REGEXMATCH(B138, ""^First\(λ - λ\) ∪ Follow\(""),
  ""Follow("" &amp; REGEXEXTRACT(B138, ""Follow\(([^)]+)\)"") &amp; "") ="",
  IF(
    OR(
      REGEXMATCH(B138, ""^First\([^&lt;]""),
      REGEXMATCH(B138, ""^First\(&lt;[^A-Za-z_]"")
    ),
    """",
    IF(
 "&amp;"     CFG!D138=""λ"",
      ""Follow("" &amp; CFG!B138 &amp; "") ="",
      ""First("" &amp; CFG!D138 &amp; "") =""
    )
  )
)
"),"#REF!")</f>
        <v>#REF!</v>
      </c>
      <c r="D138" s="663" t="str">
        <f>IFERROR(__xludf.DUMMYFUNCTION("IF(
  $C138="""",
  ""{ "" &amp;
    IF(
      REGEXMATCH(B138, ""^First\(\)""),
      "")"",
      REGEXEXTRACT(B138, ""^First\(([^ )]+)"")
    )
  &amp; "" }"",
  IF(
    REGEXMATCH($C138, ""^First\(&lt;""),
    VLOOKUP(REGEXEXTRACT($C138, ""\(([^)]+)\)""), 'First"&amp;" Set MacroA'!B:D, 3, FALSE),
    IF(
      REGEXMATCH($C138, ""^Follow\(&lt;""),
      VLOOKUP(REGEXEXTRACT($C138, ""\(([^)]+)\)""), 'Follow Set Macros'!B:D, 3, FALSE),
      ""{ "" &amp; REGEXEXTRACT($C138, ""\(([^)]+)\)"") &amp; "" }""
    )
  )
)
"),"#REF!")</f>
        <v>#REF!</v>
      </c>
      <c r="E138" s="664"/>
      <c r="F138" s="664"/>
      <c r="G138" s="664"/>
      <c r="H138" s="664"/>
      <c r="I138" s="664"/>
      <c r="J138" s="664"/>
      <c r="K138" s="664"/>
      <c r="L138" s="664"/>
      <c r="M138" s="664"/>
      <c r="N138" s="664"/>
      <c r="O138" s="664"/>
      <c r="P138" s="664"/>
      <c r="Q138" s="664"/>
      <c r="R138" s="664"/>
      <c r="S138" s="664"/>
      <c r="T138" s="664"/>
      <c r="U138" s="664"/>
      <c r="V138" s="664"/>
      <c r="W138" s="664"/>
      <c r="X138" s="664"/>
    </row>
    <row r="139">
      <c r="A139" s="661">
        <f t="shared" si="1"/>
        <v>139</v>
      </c>
      <c r="B139" s="662" t="str">
        <f t="shared" si="2"/>
        <v>#REF!</v>
      </c>
      <c r="C139" s="662" t="str">
        <f>IFERROR(__xludf.DUMMYFUNCTION("IF(
  REGEXMATCH(B139, ""^First\(λ - λ\) ∪ Follow\(""),
  ""Follow("" &amp; REGEXEXTRACT(B139, ""Follow\(([^)]+)\)"") &amp; "") ="",
  IF(
    OR(
      REGEXMATCH(B139, ""^First\([^&lt;]""),
      REGEXMATCH(B139, ""^First\(&lt;[^A-Za-z_]"")
    ),
    """",
    IF(
 "&amp;"     CFG!D139=""λ"",
      ""Follow("" &amp; CFG!B139 &amp; "") ="",
      ""First("" &amp; CFG!D139 &amp; "") =""
    )
  )
)
"),"#REF!")</f>
        <v>#REF!</v>
      </c>
      <c r="D139" s="663" t="str">
        <f>IFERROR(__xludf.DUMMYFUNCTION("IF(
  $C139="""",
  ""{ "" &amp;
    IF(
      REGEXMATCH(B139, ""^First\(\)""),
      "")"",
      REGEXEXTRACT(B139, ""^First\(([^ )]+)"")
    )
  &amp; "" }"",
  IF(
    REGEXMATCH($C139, ""^First\(&lt;""),
    VLOOKUP(REGEXEXTRACT($C139, ""\(([^)]+)\)""), 'First"&amp;" Set MacroA'!B:D, 3, FALSE),
    IF(
      REGEXMATCH($C139, ""^Follow\(&lt;""),
      VLOOKUP(REGEXEXTRACT($C139, ""\(([^)]+)\)""), 'Follow Set Macros'!B:D, 3, FALSE),
      ""{ "" &amp; REGEXEXTRACT($C139, ""\(([^)]+)\)"") &amp; "" }""
    )
  )
)
"),"#REF!")</f>
        <v>#REF!</v>
      </c>
      <c r="E139" s="664"/>
      <c r="F139" s="664"/>
      <c r="G139" s="664"/>
      <c r="H139" s="664"/>
      <c r="I139" s="664"/>
      <c r="J139" s="664"/>
      <c r="K139" s="664"/>
      <c r="L139" s="664"/>
      <c r="M139" s="664"/>
      <c r="N139" s="664"/>
      <c r="O139" s="664"/>
      <c r="P139" s="664"/>
      <c r="Q139" s="664"/>
      <c r="R139" s="664"/>
      <c r="S139" s="664"/>
      <c r="T139" s="664"/>
      <c r="U139" s="664"/>
      <c r="V139" s="664"/>
      <c r="W139" s="664"/>
      <c r="X139" s="664"/>
    </row>
    <row r="140">
      <c r="A140" s="661">
        <f t="shared" si="1"/>
        <v>140</v>
      </c>
      <c r="B140" s="662" t="str">
        <f t="shared" si="2"/>
        <v>#REF!</v>
      </c>
      <c r="C140" s="662" t="str">
        <f>IFERROR(__xludf.DUMMYFUNCTION("IF(
  REGEXMATCH(B140, ""^First\(λ - λ\) ∪ Follow\(""),
  ""Follow("" &amp; REGEXEXTRACT(B140, ""Follow\(([^)]+)\)"") &amp; "") ="",
  IF(
    OR(
      REGEXMATCH(B140, ""^First\([^&lt;]""),
      REGEXMATCH(B140, ""^First\(&lt;[^A-Za-z_]"")
    ),
    """",
    IF(
 "&amp;"     CFG!D140=""λ"",
      ""Follow("" &amp; CFG!B140 &amp; "") ="",
      ""First("" &amp; CFG!D140 &amp; "") =""
    )
  )
)
"),"#REF!")</f>
        <v>#REF!</v>
      </c>
      <c r="D140" s="663" t="str">
        <f>IFERROR(__xludf.DUMMYFUNCTION("IF(
  $C140="""",
  ""{ "" &amp;
    IF(
      REGEXMATCH(B140, ""^First\(\)""),
      "")"",
      REGEXEXTRACT(B140, ""^First\(([^ )]+)"")
    )
  &amp; "" }"",
  IF(
    REGEXMATCH($C140, ""^First\(&lt;""),
    VLOOKUP(REGEXEXTRACT($C140, ""\(([^)]+)\)""), 'First"&amp;" Set MacroA'!B:D, 3, FALSE),
    IF(
      REGEXMATCH($C140, ""^Follow\(&lt;""),
      VLOOKUP(REGEXEXTRACT($C140, ""\(([^)]+)\)""), 'Follow Set Macros'!B:D, 3, FALSE),
      ""{ "" &amp; REGEXEXTRACT($C140, ""\(([^)]+)\)"") &amp; "" }""
    )
  )
)
"),"#REF!")</f>
        <v>#REF!</v>
      </c>
      <c r="E140" s="664"/>
      <c r="F140" s="664"/>
      <c r="G140" s="664"/>
      <c r="H140" s="664"/>
      <c r="I140" s="664"/>
      <c r="J140" s="664"/>
      <c r="K140" s="664"/>
      <c r="L140" s="664"/>
      <c r="M140" s="664"/>
      <c r="N140" s="664"/>
      <c r="O140" s="664"/>
      <c r="P140" s="664"/>
      <c r="Q140" s="664"/>
      <c r="R140" s="664"/>
      <c r="S140" s="664"/>
      <c r="T140" s="664"/>
      <c r="U140" s="664"/>
      <c r="V140" s="664"/>
      <c r="W140" s="664"/>
      <c r="X140" s="664"/>
    </row>
    <row r="141">
      <c r="A141" s="661">
        <f t="shared" si="1"/>
        <v>141</v>
      </c>
      <c r="B141" s="662" t="str">
        <f t="shared" si="2"/>
        <v>#REF!</v>
      </c>
      <c r="C141" s="662" t="str">
        <f>IFERROR(__xludf.DUMMYFUNCTION("IF(
  REGEXMATCH(B141, ""^First\(λ - λ\) ∪ Follow\(""),
  ""Follow("" &amp; REGEXEXTRACT(B141, ""Follow\(([^)]+)\)"") &amp; "") ="",
  IF(
    OR(
      REGEXMATCH(B141, ""^First\([^&lt;]""),
      REGEXMATCH(B141, ""^First\(&lt;[^A-Za-z_]"")
    ),
    """",
    IF(
 "&amp;"     CFG!D141=""λ"",
      ""Follow("" &amp; CFG!B141 &amp; "") ="",
      ""First("" &amp; CFG!D141 &amp; "") =""
    )
  )
)
"),"#REF!")</f>
        <v>#REF!</v>
      </c>
      <c r="D141" s="663" t="str">
        <f>IFERROR(__xludf.DUMMYFUNCTION("IF(
  $C141="""",
  ""{ "" &amp;
    IF(
      REGEXMATCH(B141, ""^First\(\)""),
      "")"",
      REGEXEXTRACT(B141, ""^First\(([^ )]+)"")
    )
  &amp; "" }"",
  IF(
    REGEXMATCH($C141, ""^First\(&lt;""),
    VLOOKUP(REGEXEXTRACT($C141, ""\(([^)]+)\)""), 'First"&amp;" Set MacroA'!B:D, 3, FALSE),
    IF(
      REGEXMATCH($C141, ""^Follow\(&lt;""),
      VLOOKUP(REGEXEXTRACT($C141, ""\(([^)]+)\)""), 'Follow Set Macros'!B:D, 3, FALSE),
      ""{ "" &amp; REGEXEXTRACT($C141, ""\(([^)]+)\)"") &amp; "" }""
    )
  )
)
"),"#REF!")</f>
        <v>#REF!</v>
      </c>
      <c r="E141" s="664"/>
      <c r="F141" s="664"/>
      <c r="G141" s="664"/>
      <c r="H141" s="664"/>
      <c r="I141" s="664"/>
      <c r="J141" s="664"/>
      <c r="K141" s="664"/>
      <c r="L141" s="664"/>
      <c r="M141" s="664"/>
      <c r="N141" s="664"/>
      <c r="O141" s="664"/>
      <c r="P141" s="664"/>
      <c r="Q141" s="664"/>
      <c r="R141" s="664"/>
      <c r="S141" s="664"/>
      <c r="T141" s="664"/>
      <c r="U141" s="664"/>
      <c r="V141" s="664"/>
      <c r="W141" s="664"/>
      <c r="X141" s="664"/>
    </row>
    <row r="142">
      <c r="A142" s="661">
        <f t="shared" si="1"/>
        <v>142</v>
      </c>
      <c r="B142" s="662" t="str">
        <f t="shared" si="2"/>
        <v>#REF!</v>
      </c>
      <c r="C142" s="662" t="str">
        <f>IFERROR(__xludf.DUMMYFUNCTION("IF(
  REGEXMATCH(B142, ""^First\(λ - λ\) ∪ Follow\(""),
  ""Follow("" &amp; REGEXEXTRACT(B142, ""Follow\(([^)]+)\)"") &amp; "") ="",
  IF(
    OR(
      REGEXMATCH(B142, ""^First\([^&lt;]""),
      REGEXMATCH(B142, ""^First\(&lt;[^A-Za-z_]"")
    ),
    """",
    IF(
 "&amp;"     CFG!D142=""λ"",
      ""Follow("" &amp; CFG!B142 &amp; "") ="",
      ""First("" &amp; CFG!D142 &amp; "") =""
    )
  )
)
"),"#REF!")</f>
        <v>#REF!</v>
      </c>
      <c r="D142" s="663" t="str">
        <f>IFERROR(__xludf.DUMMYFUNCTION("IF(
  $C142="""",
  ""{ "" &amp;
    IF(
      REGEXMATCH(B142, ""^First\(\)""),
      "")"",
      REGEXEXTRACT(B142, ""^First\(([^ )]+)"")
    )
  &amp; "" }"",
  IF(
    REGEXMATCH($C142, ""^First\(&lt;""),
    VLOOKUP(REGEXEXTRACT($C142, ""\(([^)]+)\)""), 'First"&amp;" Set MacroA'!B:D, 3, FALSE),
    IF(
      REGEXMATCH($C142, ""^Follow\(&lt;""),
      VLOOKUP(REGEXEXTRACT($C142, ""\(([^)]+)\)""), 'Follow Set Macros'!B:D, 3, FALSE),
      ""{ "" &amp; REGEXEXTRACT($C142, ""\(([^)]+)\)"") &amp; "" }""
    )
  )
)
"),"#REF!")</f>
        <v>#REF!</v>
      </c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</row>
    <row r="143">
      <c r="A143" s="661">
        <f t="shared" si="1"/>
        <v>143</v>
      </c>
      <c r="B143" s="662" t="str">
        <f t="shared" si="2"/>
        <v>#REF!</v>
      </c>
      <c r="C143" s="662" t="str">
        <f>IFERROR(__xludf.DUMMYFUNCTION("IF(
  REGEXMATCH(B143, ""^First\(λ - λ\) ∪ Follow\(""),
  ""Follow("" &amp; REGEXEXTRACT(B143, ""Follow\(([^)]+)\)"") &amp; "") ="",
  IF(
    OR(
      REGEXMATCH(B143, ""^First\([^&lt;]""),
      REGEXMATCH(B143, ""^First\(&lt;[^A-Za-z_]"")
    ),
    """",
    IF(
 "&amp;"     CFG!D143=""λ"",
      ""Follow("" &amp; CFG!B143 &amp; "") ="",
      ""First("" &amp; CFG!D143 &amp; "") =""
    )
  )
)
"),"#REF!")</f>
        <v>#REF!</v>
      </c>
      <c r="D143" s="663" t="str">
        <f>IFERROR(__xludf.DUMMYFUNCTION("IF(
  $C143="""",
  ""{ "" &amp;
    IF(
      REGEXMATCH(B143, ""^First\(\)""),
      "")"",
      REGEXEXTRACT(B143, ""^First\(([^ )]+)"")
    )
  &amp; "" }"",
  IF(
    REGEXMATCH($C143, ""^First\(&lt;""),
    VLOOKUP(REGEXEXTRACT($C143, ""\(([^)]+)\)""), 'First"&amp;" Set MacroA'!B:D, 3, FALSE),
    IF(
      REGEXMATCH($C143, ""^Follow\(&lt;""),
      VLOOKUP(REGEXEXTRACT($C143, ""\(([^)]+)\)""), 'Follow Set Macros'!B:D, 3, FALSE),
      ""{ "" &amp; REGEXEXTRACT($C143, ""\(([^)]+)\)"") &amp; "" }""
    )
  )
)
"),"#REF!")</f>
        <v>#REF!</v>
      </c>
      <c r="E143" s="664"/>
      <c r="F143" s="664"/>
      <c r="G143" s="664"/>
      <c r="H143" s="664"/>
      <c r="I143" s="664"/>
      <c r="J143" s="664"/>
      <c r="K143" s="664"/>
      <c r="L143" s="664"/>
      <c r="M143" s="664"/>
      <c r="N143" s="664"/>
      <c r="O143" s="664"/>
      <c r="P143" s="664"/>
      <c r="Q143" s="664"/>
      <c r="R143" s="664"/>
      <c r="S143" s="664"/>
      <c r="T143" s="664"/>
      <c r="U143" s="664"/>
      <c r="V143" s="664"/>
      <c r="W143" s="664"/>
      <c r="X143" s="664"/>
    </row>
    <row r="144">
      <c r="A144" s="661">
        <f t="shared" si="1"/>
        <v>144</v>
      </c>
      <c r="B144" s="662" t="str">
        <f t="shared" si="2"/>
        <v>#REF!</v>
      </c>
      <c r="C144" s="662" t="str">
        <f>IFERROR(__xludf.DUMMYFUNCTION("IF(
  REGEXMATCH(B144, ""^First\(λ - λ\) ∪ Follow\(""),
  ""Follow("" &amp; REGEXEXTRACT(B144, ""Follow\(([^)]+)\)"") &amp; "") ="",
  IF(
    OR(
      REGEXMATCH(B144, ""^First\([^&lt;]""),
      REGEXMATCH(B144, ""^First\(&lt;[^A-Za-z_]"")
    ),
    """",
    IF(
 "&amp;"     CFG!D144=""λ"",
      ""Follow("" &amp; CFG!B144 &amp; "") ="",
      ""First("" &amp; CFG!D144 &amp; "") =""
    )
  )
)
"),"#REF!")</f>
        <v>#REF!</v>
      </c>
      <c r="D144" s="663" t="str">
        <f>IFERROR(__xludf.DUMMYFUNCTION("IF(
  $C144="""",
  ""{ "" &amp;
    IF(
      REGEXMATCH(B144, ""^First\(\)""),
      "")"",
      REGEXEXTRACT(B144, ""^First\(([^ )]+)"")
    )
  &amp; "" }"",
  IF(
    REGEXMATCH($C144, ""^First\(&lt;""),
    VLOOKUP(REGEXEXTRACT($C144, ""\(([^)]+)\)""), 'First"&amp;" Set MacroA'!B:D, 3, FALSE),
    IF(
      REGEXMATCH($C144, ""^Follow\(&lt;""),
      VLOOKUP(REGEXEXTRACT($C144, ""\(([^)]+)\)""), 'Follow Set Macros'!B:D, 3, FALSE),
      ""{ "" &amp; REGEXEXTRACT($C144, ""\(([^)]+)\)"") &amp; "" }""
    )
  )
)
"),"#REF!")</f>
        <v>#REF!</v>
      </c>
      <c r="E144" s="664"/>
      <c r="F144" s="664"/>
      <c r="G144" s="664"/>
      <c r="H144" s="664"/>
      <c r="I144" s="664"/>
      <c r="J144" s="664"/>
      <c r="K144" s="664"/>
      <c r="L144" s="664"/>
      <c r="M144" s="664"/>
      <c r="N144" s="664"/>
      <c r="O144" s="664"/>
      <c r="P144" s="664"/>
      <c r="Q144" s="664"/>
      <c r="R144" s="664"/>
      <c r="S144" s="664"/>
      <c r="T144" s="664"/>
      <c r="U144" s="664"/>
      <c r="V144" s="664"/>
      <c r="W144" s="664"/>
      <c r="X144" s="664"/>
    </row>
    <row r="145">
      <c r="A145" s="661">
        <f t="shared" si="1"/>
        <v>145</v>
      </c>
      <c r="B145" s="662" t="str">
        <f t="shared" si="2"/>
        <v>#REF!</v>
      </c>
      <c r="C145" s="662" t="str">
        <f>IFERROR(__xludf.DUMMYFUNCTION("IF(
  REGEXMATCH(B145, ""^First\(λ - λ\) ∪ Follow\(""),
  ""Follow("" &amp; REGEXEXTRACT(B145, ""Follow\(([^)]+)\)"") &amp; "") ="",
  IF(
    OR(
      REGEXMATCH(B145, ""^First\([^&lt;]""),
      REGEXMATCH(B145, ""^First\(&lt;[^A-Za-z_]"")
    ),
    """",
    IF(
 "&amp;"     CFG!D145=""λ"",
      ""Follow("" &amp; CFG!B145 &amp; "") ="",
      ""First("" &amp; CFG!D145 &amp; "") =""
    )
  )
)
"),"#REF!")</f>
        <v>#REF!</v>
      </c>
      <c r="D145" s="663" t="str">
        <f>IFERROR(__xludf.DUMMYFUNCTION("IF(
  $C145="""",
  ""{ "" &amp;
    IF(
      REGEXMATCH(B145, ""^First\(\)""),
      "")"",
      REGEXEXTRACT(B145, ""^First\(([^ )]+)"")
    )
  &amp; "" }"",
  IF(
    REGEXMATCH($C145, ""^First\(&lt;""),
    VLOOKUP(REGEXEXTRACT($C145, ""\(([^)]+)\)""), 'First"&amp;" Set MacroA'!B:D, 3, FALSE),
    IF(
      REGEXMATCH($C145, ""^Follow\(&lt;""),
      VLOOKUP(REGEXEXTRACT($C145, ""\(([^)]+)\)""), 'Follow Set Macros'!B:D, 3, FALSE),
      ""{ "" &amp; REGEXEXTRACT($C145, ""\(([^)]+)\)"") &amp; "" }""
    )
  )
)
"),"#REF!")</f>
        <v>#REF!</v>
      </c>
      <c r="E145" s="664"/>
      <c r="F145" s="664"/>
      <c r="G145" s="664"/>
      <c r="H145" s="664"/>
      <c r="I145" s="664"/>
      <c r="J145" s="664"/>
      <c r="K145" s="664"/>
      <c r="L145" s="664"/>
      <c r="M145" s="664"/>
      <c r="N145" s="664"/>
      <c r="O145" s="664"/>
      <c r="P145" s="664"/>
      <c r="Q145" s="664"/>
      <c r="R145" s="664"/>
      <c r="S145" s="664"/>
      <c r="T145" s="664"/>
      <c r="U145" s="664"/>
      <c r="V145" s="664"/>
      <c r="W145" s="664"/>
      <c r="X145" s="664"/>
    </row>
    <row r="146">
      <c r="A146" s="661">
        <f t="shared" si="1"/>
        <v>146</v>
      </c>
      <c r="B146" s="662" t="str">
        <f t="shared" si="2"/>
        <v>#REF!</v>
      </c>
      <c r="C146" s="662" t="str">
        <f>IFERROR(__xludf.DUMMYFUNCTION("IF(
  REGEXMATCH(B146, ""^First\(λ - λ\) ∪ Follow\(""),
  ""Follow("" &amp; REGEXEXTRACT(B146, ""Follow\(([^)]+)\)"") &amp; "") ="",
  IF(
    OR(
      REGEXMATCH(B146, ""^First\([^&lt;]""),
      REGEXMATCH(B146, ""^First\(&lt;[^A-Za-z_]"")
    ),
    """",
    IF(
 "&amp;"     CFG!D146=""λ"",
      ""Follow("" &amp; CFG!B146 &amp; "") ="",
      ""First("" &amp; CFG!D146 &amp; "") =""
    )
  )
)
"),"#REF!")</f>
        <v>#REF!</v>
      </c>
      <c r="D146" s="663" t="str">
        <f>IFERROR(__xludf.DUMMYFUNCTION("IF(
  $C146="""",
  ""{ "" &amp;
    IF(
      REGEXMATCH(B146, ""^First\(\)""),
      "")"",
      REGEXEXTRACT(B146, ""^First\(([^ )]+)"")
    )
  &amp; "" }"",
  IF(
    REGEXMATCH($C146, ""^First\(&lt;""),
    VLOOKUP(REGEXEXTRACT($C146, ""\(([^)]+)\)""), 'First"&amp;" Set MacroA'!B:D, 3, FALSE),
    IF(
      REGEXMATCH($C146, ""^Follow\(&lt;""),
      VLOOKUP(REGEXEXTRACT($C146, ""\(([^)]+)\)""), 'Follow Set Macros'!B:D, 3, FALSE),
      ""{ "" &amp; REGEXEXTRACT($C146, ""\(([^)]+)\)"") &amp; "" }""
    )
  )
)
"),"#REF!")</f>
        <v>#REF!</v>
      </c>
      <c r="E146" s="664"/>
      <c r="F146" s="664"/>
      <c r="G146" s="664"/>
      <c r="H146" s="664"/>
      <c r="I146" s="664"/>
      <c r="J146" s="664"/>
      <c r="K146" s="664"/>
      <c r="L146" s="664"/>
      <c r="M146" s="664"/>
      <c r="N146" s="664"/>
      <c r="O146" s="664"/>
      <c r="P146" s="664"/>
      <c r="Q146" s="664"/>
      <c r="R146" s="664"/>
      <c r="S146" s="664"/>
      <c r="T146" s="664"/>
      <c r="U146" s="664"/>
      <c r="V146" s="664"/>
      <c r="W146" s="664"/>
      <c r="X146" s="664"/>
    </row>
    <row r="147">
      <c r="A147" s="661">
        <f t="shared" si="1"/>
        <v>147</v>
      </c>
      <c r="B147" s="662" t="str">
        <f t="shared" si="2"/>
        <v>#REF!</v>
      </c>
      <c r="C147" s="662" t="str">
        <f>IFERROR(__xludf.DUMMYFUNCTION("IF(
  REGEXMATCH(B147, ""^First\(λ - λ\) ∪ Follow\(""),
  ""Follow("" &amp; REGEXEXTRACT(B147, ""Follow\(([^)]+)\)"") &amp; "") ="",
  IF(
    OR(
      REGEXMATCH(B147, ""^First\([^&lt;]""),
      REGEXMATCH(B147, ""^First\(&lt;[^A-Za-z_]"")
    ),
    """",
    IF(
 "&amp;"     CFG!D147=""λ"",
      ""Follow("" &amp; CFG!B147 &amp; "") ="",
      ""First("" &amp; CFG!D147 &amp; "") =""
    )
  )
)
"),"#REF!")</f>
        <v>#REF!</v>
      </c>
      <c r="D147" s="663" t="str">
        <f>IFERROR(__xludf.DUMMYFUNCTION("IF(
  $C147="""",
  ""{ "" &amp;
    IF(
      REGEXMATCH(B147, ""^First\(\)""),
      "")"",
      REGEXEXTRACT(B147, ""^First\(([^ )]+)"")
    )
  &amp; "" }"",
  IF(
    REGEXMATCH($C147, ""^First\(&lt;""),
    VLOOKUP(REGEXEXTRACT($C147, ""\(([^)]+)\)""), 'First"&amp;" Set MacroA'!B:D, 3, FALSE),
    IF(
      REGEXMATCH($C147, ""^Follow\(&lt;""),
      VLOOKUP(REGEXEXTRACT($C147, ""\(([^)]+)\)""), 'Follow Set Macros'!B:D, 3, FALSE),
      ""{ "" &amp; REGEXEXTRACT($C147, ""\(([^)]+)\)"") &amp; "" }""
    )
  )
)
"),"#REF!")</f>
        <v>#REF!</v>
      </c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</row>
    <row r="148">
      <c r="A148" s="661">
        <f t="shared" si="1"/>
        <v>148</v>
      </c>
      <c r="B148" s="662" t="str">
        <f t="shared" si="2"/>
        <v>#REF!</v>
      </c>
      <c r="C148" s="662" t="str">
        <f>IFERROR(__xludf.DUMMYFUNCTION("IF(
  REGEXMATCH(B148, ""^First\(λ - λ\) ∪ Follow\(""),
  ""Follow("" &amp; REGEXEXTRACT(B148, ""Follow\(([^)]+)\)"") &amp; "") ="",
  IF(
    OR(
      REGEXMATCH(B148, ""^First\([^&lt;]""),
      REGEXMATCH(B148, ""^First\(&lt;[^A-Za-z_]"")
    ),
    """",
    IF(
 "&amp;"     CFG!D148=""λ"",
      ""Follow("" &amp; CFG!B148 &amp; "") ="",
      ""First("" &amp; CFG!D148 &amp; "") =""
    )
  )
)
"),"#REF!")</f>
        <v>#REF!</v>
      </c>
      <c r="D148" s="663" t="str">
        <f>IFERROR(__xludf.DUMMYFUNCTION("IF(
  $C148="""",
  ""{ "" &amp;
    IF(
      REGEXMATCH(B148, ""^First\(\)""),
      "")"",
      REGEXEXTRACT(B148, ""^First\(([^ )]+)"")
    )
  &amp; "" }"",
  IF(
    REGEXMATCH($C148, ""^First\(&lt;""),
    VLOOKUP(REGEXEXTRACT($C148, ""\(([^)]+)\)""), 'First"&amp;" Set MacroA'!B:D, 3, FALSE),
    IF(
      REGEXMATCH($C148, ""^Follow\(&lt;""),
      VLOOKUP(REGEXEXTRACT($C148, ""\(([^)]+)\)""), 'Follow Set Macros'!B:D, 3, FALSE),
      ""{ "" &amp; REGEXEXTRACT($C148, ""\(([^)]+)\)"") &amp; "" }""
    )
  )
)
"),"#REF!")</f>
        <v>#REF!</v>
      </c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4"/>
      <c r="P148" s="664"/>
      <c r="Q148" s="664"/>
      <c r="R148" s="664"/>
      <c r="S148" s="664"/>
      <c r="T148" s="664"/>
      <c r="U148" s="664"/>
      <c r="V148" s="664"/>
      <c r="W148" s="664"/>
      <c r="X148" s="664"/>
    </row>
    <row r="149">
      <c r="A149" s="661">
        <f t="shared" si="1"/>
        <v>149</v>
      </c>
      <c r="B149" s="662" t="str">
        <f t="shared" si="2"/>
        <v>#REF!</v>
      </c>
      <c r="C149" s="662" t="str">
        <f>IFERROR(__xludf.DUMMYFUNCTION("IF(
  REGEXMATCH(B149, ""^First\(λ - λ\) ∪ Follow\(""),
  ""Follow("" &amp; REGEXEXTRACT(B149, ""Follow\(([^)]+)\)"") &amp; "") ="",
  IF(
    OR(
      REGEXMATCH(B149, ""^First\([^&lt;]""),
      REGEXMATCH(B149, ""^First\(&lt;[^A-Za-z_]"")
    ),
    """",
    IF(
 "&amp;"     CFG!D149=""λ"",
      ""Follow("" &amp; CFG!B149 &amp; "") ="",
      ""First("" &amp; CFG!D149 &amp; "") =""
    )
  )
)
"),"#REF!")</f>
        <v>#REF!</v>
      </c>
      <c r="D149" s="663" t="str">
        <f>IFERROR(__xludf.DUMMYFUNCTION("IF(
  $C149="""",
  ""{ "" &amp;
    IF(
      REGEXMATCH(B149, ""^First\(\)""),
      "")"",
      REGEXEXTRACT(B149, ""^First\(([^ )]+)"")
    )
  &amp; "" }"",
  IF(
    REGEXMATCH($C149, ""^First\(&lt;""),
    VLOOKUP(REGEXEXTRACT($C149, ""\(([^)]+)\)""), 'First"&amp;" Set MacroA'!B:D, 3, FALSE),
    IF(
      REGEXMATCH($C149, ""^Follow\(&lt;""),
      VLOOKUP(REGEXEXTRACT($C149, ""\(([^)]+)\)""), 'Follow Set Macros'!B:D, 3, FALSE),
      ""{ "" &amp; REGEXEXTRACT($C149, ""\(([^)]+)\)"") &amp; "" }""
    )
  )
)
"),"#REF!")</f>
        <v>#REF!</v>
      </c>
      <c r="E149" s="664"/>
      <c r="F149" s="664"/>
      <c r="G149" s="664"/>
      <c r="H149" s="664"/>
      <c r="I149" s="664"/>
      <c r="J149" s="664"/>
      <c r="K149" s="664"/>
      <c r="L149" s="664"/>
      <c r="M149" s="664"/>
      <c r="N149" s="664"/>
      <c r="O149" s="664"/>
      <c r="P149" s="664"/>
      <c r="Q149" s="664"/>
      <c r="R149" s="664"/>
      <c r="S149" s="664"/>
      <c r="T149" s="664"/>
      <c r="U149" s="664"/>
      <c r="V149" s="664"/>
      <c r="W149" s="664"/>
      <c r="X149" s="664"/>
    </row>
    <row r="150">
      <c r="A150" s="661">
        <f t="shared" si="1"/>
        <v>150</v>
      </c>
      <c r="B150" s="662" t="str">
        <f t="shared" si="2"/>
        <v>#REF!</v>
      </c>
      <c r="C150" s="662" t="str">
        <f>IFERROR(__xludf.DUMMYFUNCTION("IF(
  REGEXMATCH(B150, ""^First\(λ - λ\) ∪ Follow\(""),
  ""Follow("" &amp; REGEXEXTRACT(B150, ""Follow\(([^)]+)\)"") &amp; "") ="",
  IF(
    OR(
      REGEXMATCH(B150, ""^First\([^&lt;]""),
      REGEXMATCH(B150, ""^First\(&lt;[^A-Za-z_]"")
    ),
    """",
    IF(
 "&amp;"     CFG!D150=""λ"",
      ""Follow("" &amp; CFG!B150 &amp; "") ="",
      ""First("" &amp; CFG!D150 &amp; "") =""
    )
  )
)
"),"#REF!")</f>
        <v>#REF!</v>
      </c>
      <c r="D150" s="663" t="str">
        <f>IFERROR(__xludf.DUMMYFUNCTION("IF(
  $C150="""",
  ""{ "" &amp;
    IF(
      REGEXMATCH(B150, ""^First\(\)""),
      "")"",
      REGEXEXTRACT(B150, ""^First\(([^ )]+)"")
    )
  &amp; "" }"",
  IF(
    REGEXMATCH($C150, ""^First\(&lt;""),
    VLOOKUP(REGEXEXTRACT($C150, ""\(([^)]+)\)""), 'First"&amp;" Set MacroA'!B:D, 3, FALSE),
    IF(
      REGEXMATCH($C150, ""^Follow\(&lt;""),
      VLOOKUP(REGEXEXTRACT($C150, ""\(([^)]+)\)""), 'Follow Set Macros'!B:D, 3, FALSE),
      ""{ "" &amp; REGEXEXTRACT($C150, ""\(([^)]+)\)"") &amp; "" }""
    )
  )
)
"),"#REF!")</f>
        <v>#REF!</v>
      </c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</row>
    <row r="151">
      <c r="A151" s="661">
        <f t="shared" si="1"/>
        <v>151</v>
      </c>
      <c r="B151" s="662" t="str">
        <f t="shared" si="2"/>
        <v>#REF!</v>
      </c>
      <c r="C151" s="662" t="str">
        <f>IFERROR(__xludf.DUMMYFUNCTION("IF(
  REGEXMATCH(B151, ""^First\(λ - λ\) ∪ Follow\(""),
  ""Follow("" &amp; REGEXEXTRACT(B151, ""Follow\(([^)]+)\)"") &amp; "") ="",
  IF(
    OR(
      REGEXMATCH(B151, ""^First\([^&lt;]""),
      REGEXMATCH(B151, ""^First\(&lt;[^A-Za-z_]"")
    ),
    """",
    IF(
 "&amp;"     CFG!D151=""λ"",
      ""Follow("" &amp; CFG!B151 &amp; "") ="",
      ""First("" &amp; CFG!D151 &amp; "") =""
    )
  )
)
"),"#REF!")</f>
        <v>#REF!</v>
      </c>
      <c r="D151" s="663" t="str">
        <f>IFERROR(__xludf.DUMMYFUNCTION("IF(
  $C151="""",
  ""{ "" &amp;
    IF(
      REGEXMATCH(B151, ""^First\(\)""),
      "")"",
      REGEXEXTRACT(B151, ""^First\(([^ )]+)"")
    )
  &amp; "" }"",
  IF(
    REGEXMATCH($C151, ""^First\(&lt;""),
    VLOOKUP(REGEXEXTRACT($C151, ""\(([^)]+)\)""), 'First"&amp;" Set MacroA'!B:D, 3, FALSE),
    IF(
      REGEXMATCH($C151, ""^Follow\(&lt;""),
      VLOOKUP(REGEXEXTRACT($C151, ""\(([^)]+)\)""), 'Follow Set Macros'!B:D, 3, FALSE),
      ""{ "" &amp; REGEXEXTRACT($C151, ""\(([^)]+)\)"") &amp; "" }""
    )
  )
)
"),"#REF!")</f>
        <v>#REF!</v>
      </c>
      <c r="E151" s="664"/>
      <c r="F151" s="664"/>
      <c r="G151" s="664"/>
      <c r="H151" s="664"/>
      <c r="I151" s="664"/>
      <c r="J151" s="664"/>
      <c r="K151" s="664"/>
      <c r="L151" s="664"/>
      <c r="M151" s="664"/>
      <c r="N151" s="664"/>
      <c r="O151" s="664"/>
      <c r="P151" s="664"/>
      <c r="Q151" s="664"/>
      <c r="R151" s="664"/>
      <c r="S151" s="664"/>
      <c r="T151" s="664"/>
      <c r="U151" s="664"/>
      <c r="V151" s="664"/>
      <c r="W151" s="664"/>
      <c r="X151" s="664"/>
    </row>
    <row r="152">
      <c r="A152" s="661">
        <f t="shared" si="1"/>
        <v>152</v>
      </c>
      <c r="B152" s="662" t="str">
        <f t="shared" si="2"/>
        <v>#REF!</v>
      </c>
      <c r="C152" s="662" t="str">
        <f>IFERROR(__xludf.DUMMYFUNCTION("IF(
  REGEXMATCH(B152, ""^First\(λ - λ\) ∪ Follow\(""),
  ""Follow("" &amp; REGEXEXTRACT(B152, ""Follow\(([^)]+)\)"") &amp; "") ="",
  IF(
    OR(
      REGEXMATCH(B152, ""^First\([^&lt;]""),
      REGEXMATCH(B152, ""^First\(&lt;[^A-Za-z_]"")
    ),
    """",
    IF(
 "&amp;"     CFG!D152=""λ"",
      ""Follow("" &amp; CFG!B152 &amp; "") ="",
      ""First("" &amp; CFG!D152 &amp; "") =""
    )
  )
)
"),"#REF!")</f>
        <v>#REF!</v>
      </c>
      <c r="D152" s="663" t="str">
        <f>IFERROR(__xludf.DUMMYFUNCTION("IF(
  $C152="""",
  ""{ "" &amp;
    IF(
      REGEXMATCH(B152, ""^First\(\)""),
      "")"",
      REGEXEXTRACT(B152, ""^First\(([^ )]+)"")
    )
  &amp; "" }"",
  IF(
    REGEXMATCH($C152, ""^First\(&lt;""),
    VLOOKUP(REGEXEXTRACT($C152, ""\(([^)]+)\)""), 'First"&amp;" Set MacroA'!B:D, 3, FALSE),
    IF(
      REGEXMATCH($C152, ""^Follow\(&lt;""),
      VLOOKUP(REGEXEXTRACT($C152, ""\(([^)]+)\)""), 'Follow Set Macros'!B:D, 3, FALSE),
      ""{ "" &amp; REGEXEXTRACT($C152, ""\(([^)]+)\)"") &amp; "" }""
    )
  )
)
"),"#REF!")</f>
        <v>#REF!</v>
      </c>
      <c r="E152" s="664"/>
      <c r="F152" s="664"/>
      <c r="G152" s="664"/>
      <c r="H152" s="664"/>
      <c r="I152" s="664"/>
      <c r="J152" s="664"/>
      <c r="K152" s="664"/>
      <c r="L152" s="664"/>
      <c r="M152" s="664"/>
      <c r="N152" s="664"/>
      <c r="O152" s="664"/>
      <c r="P152" s="664"/>
      <c r="Q152" s="664"/>
      <c r="R152" s="664"/>
      <c r="S152" s="664"/>
      <c r="T152" s="664"/>
      <c r="U152" s="664"/>
      <c r="V152" s="664"/>
      <c r="W152" s="664"/>
      <c r="X152" s="664"/>
    </row>
    <row r="153">
      <c r="A153" s="661">
        <f t="shared" si="1"/>
        <v>153</v>
      </c>
      <c r="B153" s="662" t="str">
        <f t="shared" si="2"/>
        <v>#REF!</v>
      </c>
      <c r="C153" s="662" t="str">
        <f>IFERROR(__xludf.DUMMYFUNCTION("IF(
  REGEXMATCH(B153, ""^First\(λ - λ\) ∪ Follow\(""),
  ""Follow("" &amp; REGEXEXTRACT(B153, ""Follow\(([^)]+)\)"") &amp; "") ="",
  IF(
    OR(
      REGEXMATCH(B153, ""^First\([^&lt;]""),
      REGEXMATCH(B153, ""^First\(&lt;[^A-Za-z_]"")
    ),
    """",
    IF(
 "&amp;"     CFG!D153=""λ"",
      ""Follow("" &amp; CFG!B153 &amp; "") ="",
      ""First("" &amp; CFG!D153 &amp; "") =""
    )
  )
)
"),"#REF!")</f>
        <v>#REF!</v>
      </c>
      <c r="D153" s="663" t="str">
        <f>IFERROR(__xludf.DUMMYFUNCTION("IF(
  $C153="""",
  ""{ "" &amp;
    IF(
      REGEXMATCH(B153, ""^First\(\)""),
      "")"",
      REGEXEXTRACT(B153, ""^First\(([^ )]+)"")
    )
  &amp; "" }"",
  IF(
    REGEXMATCH($C153, ""^First\(&lt;""),
    VLOOKUP(REGEXEXTRACT($C153, ""\(([^)]+)\)""), 'First"&amp;" Set MacroA'!B:D, 3, FALSE),
    IF(
      REGEXMATCH($C153, ""^Follow\(&lt;""),
      VLOOKUP(REGEXEXTRACT($C153, ""\(([^)]+)\)""), 'Follow Set Macros'!B:D, 3, FALSE),
      ""{ "" &amp; REGEXEXTRACT($C153, ""\(([^)]+)\)"") &amp; "" }""
    )
  )
)
"),"#REF!")</f>
        <v>#REF!</v>
      </c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</row>
    <row r="154">
      <c r="A154" s="661">
        <f t="shared" si="1"/>
        <v>154</v>
      </c>
      <c r="B154" s="662" t="str">
        <f t="shared" si="2"/>
        <v>#REF!</v>
      </c>
      <c r="C154" s="662" t="str">
        <f>IFERROR(__xludf.DUMMYFUNCTION("IF(
  REGEXMATCH(B154, ""^First\(λ - λ\) ∪ Follow\(""),
  ""Follow("" &amp; REGEXEXTRACT(B154, ""Follow\(([^)]+)\)"") &amp; "") ="",
  IF(
    OR(
      REGEXMATCH(B154, ""^First\([^&lt;]""),
      REGEXMATCH(B154, ""^First\(&lt;[^A-Za-z_]"")
    ),
    """",
    IF(
 "&amp;"     CFG!D154=""λ"",
      ""Follow("" &amp; CFG!B154 &amp; "") ="",
      ""First("" &amp; CFG!D154 &amp; "") =""
    )
  )
)
"),"#REF!")</f>
        <v>#REF!</v>
      </c>
      <c r="D154" s="663" t="str">
        <f>IFERROR(__xludf.DUMMYFUNCTION("IF(
  $C154="""",
  ""{ "" &amp;
    IF(
      REGEXMATCH(B154, ""^First\(\)""),
      "")"",
      REGEXEXTRACT(B154, ""^First\(([^ )]+)"")
    )
  &amp; "" }"",
  IF(
    REGEXMATCH($C154, ""^First\(&lt;""),
    VLOOKUP(REGEXEXTRACT($C154, ""\(([^)]+)\)""), 'First"&amp;" Set MacroA'!B:D, 3, FALSE),
    IF(
      REGEXMATCH($C154, ""^Follow\(&lt;""),
      VLOOKUP(REGEXEXTRACT($C154, ""\(([^)]+)\)""), 'Follow Set Macros'!B:D, 3, FALSE),
      ""{ "" &amp; REGEXEXTRACT($C154, ""\(([^)]+)\)"") &amp; "" }""
    )
  )
)
"),"#REF!")</f>
        <v>#REF!</v>
      </c>
      <c r="E154" s="664"/>
      <c r="F154" s="664"/>
      <c r="G154" s="664"/>
      <c r="H154" s="664"/>
      <c r="I154" s="664"/>
      <c r="J154" s="664"/>
      <c r="K154" s="664"/>
      <c r="L154" s="664"/>
      <c r="M154" s="664"/>
      <c r="N154" s="664"/>
      <c r="O154" s="664"/>
      <c r="P154" s="664"/>
      <c r="Q154" s="664"/>
      <c r="R154" s="664"/>
      <c r="S154" s="664"/>
      <c r="T154" s="664"/>
      <c r="U154" s="664"/>
      <c r="V154" s="664"/>
      <c r="W154" s="664"/>
      <c r="X154" s="664"/>
    </row>
    <row r="155">
      <c r="A155" s="661">
        <f t="shared" si="1"/>
        <v>155</v>
      </c>
      <c r="B155" s="662" t="str">
        <f t="shared" si="2"/>
        <v>#REF!</v>
      </c>
      <c r="C155" s="662" t="str">
        <f>IFERROR(__xludf.DUMMYFUNCTION("IF(
  REGEXMATCH(B155, ""^First\(λ - λ\) ∪ Follow\(""),
  ""Follow("" &amp; REGEXEXTRACT(B155, ""Follow\(([^)]+)\)"") &amp; "") ="",
  IF(
    OR(
      REGEXMATCH(B155, ""^First\([^&lt;]""),
      REGEXMATCH(B155, ""^First\(&lt;[^A-Za-z_]"")
    ),
    """",
    IF(
 "&amp;"     CFG!D155=""λ"",
      ""Follow("" &amp; CFG!B155 &amp; "") ="",
      ""First("" &amp; CFG!D155 &amp; "") =""
    )
  )
)
"),"#REF!")</f>
        <v>#REF!</v>
      </c>
      <c r="D155" s="663" t="str">
        <f>IFERROR(__xludf.DUMMYFUNCTION("IF(
  $C155="""",
  ""{ "" &amp;
    IF(
      REGEXMATCH(B155, ""^First\(\)""),
      "")"",
      REGEXEXTRACT(B155, ""^First\(([^ )]+)"")
    )
  &amp; "" }"",
  IF(
    REGEXMATCH($C155, ""^First\(&lt;""),
    VLOOKUP(REGEXEXTRACT($C155, ""\(([^)]+)\)""), 'First"&amp;" Set MacroA'!B:D, 3, FALSE),
    IF(
      REGEXMATCH($C155, ""^Follow\(&lt;""),
      VLOOKUP(REGEXEXTRACT($C155, ""\(([^)]+)\)""), 'Follow Set Macros'!B:D, 3, FALSE),
      ""{ "" &amp; REGEXEXTRACT($C155, ""\(([^)]+)\)"") &amp; "" }""
    )
  )
)
"),"#REF!")</f>
        <v>#REF!</v>
      </c>
      <c r="E155" s="664"/>
      <c r="F155" s="664"/>
      <c r="G155" s="664"/>
      <c r="H155" s="664"/>
      <c r="I155" s="664"/>
      <c r="J155" s="664"/>
      <c r="K155" s="664"/>
      <c r="L155" s="664"/>
      <c r="M155" s="664"/>
      <c r="N155" s="664"/>
      <c r="O155" s="664"/>
      <c r="P155" s="664"/>
      <c r="Q155" s="664"/>
      <c r="R155" s="664"/>
      <c r="S155" s="664"/>
      <c r="T155" s="664"/>
      <c r="U155" s="664"/>
      <c r="V155" s="664"/>
      <c r="W155" s="664"/>
      <c r="X155" s="664"/>
    </row>
    <row r="156">
      <c r="A156" s="661">
        <f t="shared" si="1"/>
        <v>156</v>
      </c>
      <c r="B156" s="662" t="str">
        <f t="shared" si="2"/>
        <v>#REF!</v>
      </c>
      <c r="C156" s="662" t="str">
        <f>IFERROR(__xludf.DUMMYFUNCTION("IF(
  REGEXMATCH(B156, ""^First\(λ - λ\) ∪ Follow\(""),
  ""Follow("" &amp; REGEXEXTRACT(B156, ""Follow\(([^)]+)\)"") &amp; "") ="",
  IF(
    OR(
      REGEXMATCH(B156, ""^First\([^&lt;]""),
      REGEXMATCH(B156, ""^First\(&lt;[^A-Za-z_]"")
    ),
    """",
    IF(
 "&amp;"     CFG!D156=""λ"",
      ""Follow("" &amp; CFG!B156 &amp; "") ="",
      ""First("" &amp; CFG!D156 &amp; "") =""
    )
  )
)
"),"#REF!")</f>
        <v>#REF!</v>
      </c>
      <c r="D156" s="663" t="str">
        <f>IFERROR(__xludf.DUMMYFUNCTION("IF(
  $C156="""",
  ""{ "" &amp;
    IF(
      REGEXMATCH(B156, ""^First\(\)""),
      "")"",
      REGEXEXTRACT(B156, ""^First\(([^ )]+)"")
    )
  &amp; "" }"",
  IF(
    REGEXMATCH($C156, ""^First\(&lt;""),
    VLOOKUP(REGEXEXTRACT($C156, ""\(([^)]+)\)""), 'First"&amp;" Set MacroA'!B:D, 3, FALSE),
    IF(
      REGEXMATCH($C156, ""^Follow\(&lt;""),
      VLOOKUP(REGEXEXTRACT($C156, ""\(([^)]+)\)""), 'Follow Set Macros'!B:D, 3, FALSE),
      ""{ "" &amp; REGEXEXTRACT($C156, ""\(([^)]+)\)"") &amp; "" }""
    )
  )
)
"),"#REF!")</f>
        <v>#REF!</v>
      </c>
      <c r="E156" s="664"/>
      <c r="F156" s="664"/>
      <c r="G156" s="664"/>
      <c r="H156" s="664"/>
      <c r="I156" s="664"/>
      <c r="J156" s="664"/>
      <c r="K156" s="664"/>
      <c r="L156" s="664"/>
      <c r="M156" s="664"/>
      <c r="N156" s="664"/>
      <c r="O156" s="664"/>
      <c r="P156" s="664"/>
      <c r="Q156" s="664"/>
      <c r="R156" s="664"/>
      <c r="S156" s="664"/>
      <c r="T156" s="664"/>
      <c r="U156" s="664"/>
      <c r="V156" s="664"/>
      <c r="W156" s="664"/>
      <c r="X156" s="664"/>
    </row>
    <row r="157">
      <c r="A157" s="661">
        <f t="shared" si="1"/>
        <v>157</v>
      </c>
      <c r="B157" s="662" t="str">
        <f t="shared" si="2"/>
        <v>#REF!</v>
      </c>
      <c r="C157" s="662" t="str">
        <f>IFERROR(__xludf.DUMMYFUNCTION("IF(
  REGEXMATCH(B157, ""^First\(λ - λ\) ∪ Follow\(""),
  ""Follow("" &amp; REGEXEXTRACT(B157, ""Follow\(([^)]+)\)"") &amp; "") ="",
  IF(
    OR(
      REGEXMATCH(B157, ""^First\([^&lt;]""),
      REGEXMATCH(B157, ""^First\(&lt;[^A-Za-z_]"")
    ),
    """",
    IF(
 "&amp;"     CFG!D157=""λ"",
      ""Follow("" &amp; CFG!B157 &amp; "") ="",
      ""First("" &amp; CFG!D157 &amp; "") =""
    )
  )
)
"),"#REF!")</f>
        <v>#REF!</v>
      </c>
      <c r="D157" s="663" t="str">
        <f>IFERROR(__xludf.DUMMYFUNCTION("IF(
  $C157="""",
  ""{ "" &amp;
    IF(
      REGEXMATCH(B157, ""^First\(\)""),
      "")"",
      REGEXEXTRACT(B157, ""^First\(([^ )]+)"")
    )
  &amp; "" }"",
  IF(
    REGEXMATCH($C157, ""^First\(&lt;""),
    VLOOKUP(REGEXEXTRACT($C157, ""\(([^)]+)\)""), 'First"&amp;" Set MacroA'!B:D, 3, FALSE),
    IF(
      REGEXMATCH($C157, ""^Follow\(&lt;""),
      VLOOKUP(REGEXEXTRACT($C157, ""\(([^)]+)\)""), 'Follow Set Macros'!B:D, 3, FALSE),
      ""{ "" &amp; REGEXEXTRACT($C157, ""\(([^)]+)\)"") &amp; "" }""
    )
  )
)
"),"#REF!")</f>
        <v>#REF!</v>
      </c>
      <c r="E157" s="664"/>
      <c r="F157" s="664"/>
      <c r="G157" s="664"/>
      <c r="H157" s="664"/>
      <c r="I157" s="664"/>
      <c r="J157" s="664"/>
      <c r="K157" s="664"/>
      <c r="L157" s="664"/>
      <c r="M157" s="664"/>
      <c r="N157" s="664"/>
      <c r="O157" s="664"/>
      <c r="P157" s="664"/>
      <c r="Q157" s="664"/>
      <c r="R157" s="664"/>
      <c r="S157" s="664"/>
      <c r="T157" s="664"/>
      <c r="U157" s="664"/>
      <c r="V157" s="664"/>
      <c r="W157" s="664"/>
      <c r="X157" s="664"/>
    </row>
    <row r="158">
      <c r="A158" s="661">
        <f t="shared" si="1"/>
        <v>158</v>
      </c>
      <c r="B158" s="662" t="str">
        <f t="shared" si="2"/>
        <v>#REF!</v>
      </c>
      <c r="C158" s="662" t="str">
        <f>IFERROR(__xludf.DUMMYFUNCTION("IF(
  REGEXMATCH(B158, ""^First\(λ - λ\) ∪ Follow\(""),
  ""Follow("" &amp; REGEXEXTRACT(B158, ""Follow\(([^)]+)\)"") &amp; "") ="",
  IF(
    OR(
      REGEXMATCH(B158, ""^First\([^&lt;]""),
      REGEXMATCH(B158, ""^First\(&lt;[^A-Za-z_]"")
    ),
    """",
    IF(
 "&amp;"     CFG!D158=""λ"",
      ""Follow("" &amp; CFG!B158 &amp; "") ="",
      ""First("" &amp; CFG!D158 &amp; "") =""
    )
  )
)
"),"#REF!")</f>
        <v>#REF!</v>
      </c>
      <c r="D158" s="663" t="str">
        <f>IFERROR(__xludf.DUMMYFUNCTION("IF(
  $C158="""",
  ""{ "" &amp;
    IF(
      REGEXMATCH(B158, ""^First\(\)""),
      "")"",
      REGEXEXTRACT(B158, ""^First\(([^ )]+)"")
    )
  &amp; "" }"",
  IF(
    REGEXMATCH($C158, ""^First\(&lt;""),
    VLOOKUP(REGEXEXTRACT($C158, ""\(([^)]+)\)""), 'First"&amp;" Set MacroA'!B:D, 3, FALSE),
    IF(
      REGEXMATCH($C158, ""^Follow\(&lt;""),
      VLOOKUP(REGEXEXTRACT($C158, ""\(([^)]+)\)""), 'Follow Set Macros'!B:D, 3, FALSE),
      ""{ "" &amp; REGEXEXTRACT($C158, ""\(([^)]+)\)"") &amp; "" }""
    )
  )
)
"),"#REF!")</f>
        <v>#REF!</v>
      </c>
      <c r="E158" s="664"/>
      <c r="F158" s="664"/>
      <c r="G158" s="664"/>
      <c r="H158" s="664"/>
      <c r="I158" s="664"/>
      <c r="J158" s="664"/>
      <c r="K158" s="664"/>
      <c r="L158" s="664"/>
      <c r="M158" s="664"/>
      <c r="N158" s="664"/>
      <c r="O158" s="664"/>
      <c r="P158" s="664"/>
      <c r="Q158" s="664"/>
      <c r="R158" s="664"/>
      <c r="S158" s="664"/>
      <c r="T158" s="664"/>
      <c r="U158" s="664"/>
      <c r="V158" s="664"/>
      <c r="W158" s="664"/>
      <c r="X158" s="664"/>
    </row>
    <row r="159">
      <c r="A159" s="661">
        <f t="shared" si="1"/>
        <v>159</v>
      </c>
      <c r="B159" s="662" t="str">
        <f t="shared" si="2"/>
        <v>#REF!</v>
      </c>
      <c r="C159" s="662" t="str">
        <f>IFERROR(__xludf.DUMMYFUNCTION("IF(
  REGEXMATCH(B159, ""^First\(λ - λ\) ∪ Follow\(""),
  ""Follow("" &amp; REGEXEXTRACT(B159, ""Follow\(([^)]+)\)"") &amp; "") ="",
  IF(
    OR(
      REGEXMATCH(B159, ""^First\([^&lt;]""),
      REGEXMATCH(B159, ""^First\(&lt;[^A-Za-z_]"")
    ),
    """",
    IF(
 "&amp;"     CFG!D159=""λ"",
      ""Follow("" &amp; CFG!B159 &amp; "") ="",
      ""First("" &amp; CFG!D159 &amp; "") =""
    )
  )
)
"),"#REF!")</f>
        <v>#REF!</v>
      </c>
      <c r="D159" s="663" t="str">
        <f>IFERROR(__xludf.DUMMYFUNCTION("IF(
  $C159="""",
  ""{ "" &amp;
    IF(
      REGEXMATCH(B159, ""^First\(\)""),
      "")"",
      REGEXEXTRACT(B159, ""^First\(([^ )]+)"")
    )
  &amp; "" }"",
  IF(
    REGEXMATCH($C159, ""^First\(&lt;""),
    VLOOKUP(REGEXEXTRACT($C159, ""\(([^)]+)\)""), 'First"&amp;" Set MacroA'!B:D, 3, FALSE),
    IF(
      REGEXMATCH($C159, ""^Follow\(&lt;""),
      VLOOKUP(REGEXEXTRACT($C159, ""\(([^)]+)\)""), 'Follow Set Macros'!B:D, 3, FALSE),
      ""{ "" &amp; REGEXEXTRACT($C159, ""\(([^)]+)\)"") &amp; "" }""
    )
  )
)
"),"#REF!")</f>
        <v>#REF!</v>
      </c>
      <c r="E159" s="664"/>
      <c r="F159" s="664"/>
      <c r="G159" s="664"/>
      <c r="H159" s="664"/>
      <c r="I159" s="664"/>
      <c r="J159" s="664"/>
      <c r="K159" s="664"/>
      <c r="L159" s="664"/>
      <c r="M159" s="664"/>
      <c r="N159" s="664"/>
      <c r="O159" s="664"/>
      <c r="P159" s="664"/>
      <c r="Q159" s="664"/>
      <c r="R159" s="664"/>
      <c r="S159" s="664"/>
      <c r="T159" s="664"/>
      <c r="U159" s="664"/>
      <c r="V159" s="664"/>
      <c r="W159" s="664"/>
      <c r="X159" s="664"/>
    </row>
    <row r="160">
      <c r="A160" s="661">
        <f t="shared" si="1"/>
        <v>160</v>
      </c>
      <c r="B160" s="662" t="str">
        <f t="shared" si="2"/>
        <v>#REF!</v>
      </c>
      <c r="C160" s="662" t="str">
        <f>IFERROR(__xludf.DUMMYFUNCTION("IF(
  REGEXMATCH(B160, ""^First\(λ - λ\) ∪ Follow\(""),
  ""Follow("" &amp; REGEXEXTRACT(B160, ""Follow\(([^)]+)\)"") &amp; "") ="",
  IF(
    OR(
      REGEXMATCH(B160, ""^First\([^&lt;]""),
      REGEXMATCH(B160, ""^First\(&lt;[^A-Za-z_]"")
    ),
    """",
    IF(
 "&amp;"     CFG!D160=""λ"",
      ""Follow("" &amp; CFG!B160 &amp; "") ="",
      ""First("" &amp; CFG!D160 &amp; "") =""
    )
  )
)
"),"#REF!")</f>
        <v>#REF!</v>
      </c>
      <c r="D160" s="663" t="str">
        <f>IFERROR(__xludf.DUMMYFUNCTION("IF(
  $C160="""",
  ""{ "" &amp;
    IF(
      REGEXMATCH(B160, ""^First\(\)""),
      "")"",
      REGEXEXTRACT(B160, ""^First\(([^ )]+)"")
    )
  &amp; "" }"",
  IF(
    REGEXMATCH($C160, ""^First\(&lt;""),
    VLOOKUP(REGEXEXTRACT($C160, ""\(([^)]+)\)""), 'First"&amp;" Set MacroA'!B:D, 3, FALSE),
    IF(
      REGEXMATCH($C160, ""^Follow\(&lt;""),
      VLOOKUP(REGEXEXTRACT($C160, ""\(([^)]+)\)""), 'Follow Set Macros'!B:D, 3, FALSE),
      ""{ "" &amp; REGEXEXTRACT($C160, ""\(([^)]+)\)"") &amp; "" }""
    )
  )
)
"),"#REF!")</f>
        <v>#REF!</v>
      </c>
      <c r="E160" s="664"/>
      <c r="F160" s="664"/>
      <c r="G160" s="664"/>
      <c r="H160" s="664"/>
      <c r="I160" s="664"/>
      <c r="J160" s="664"/>
      <c r="K160" s="664"/>
      <c r="L160" s="664"/>
      <c r="M160" s="664"/>
      <c r="N160" s="664"/>
      <c r="O160" s="664"/>
      <c r="P160" s="664"/>
      <c r="Q160" s="664"/>
      <c r="R160" s="664"/>
      <c r="S160" s="664"/>
      <c r="T160" s="664"/>
      <c r="U160" s="664"/>
      <c r="V160" s="664"/>
      <c r="W160" s="664"/>
      <c r="X160" s="664"/>
    </row>
    <row r="161">
      <c r="A161" s="661">
        <f t="shared" si="1"/>
        <v>161</v>
      </c>
      <c r="B161" s="662" t="str">
        <f t="shared" si="2"/>
        <v>#REF!</v>
      </c>
      <c r="C161" s="662" t="str">
        <f>IFERROR(__xludf.DUMMYFUNCTION("IF(
  REGEXMATCH(B161, ""^First\(λ - λ\) ∪ Follow\(""),
  ""Follow("" &amp; REGEXEXTRACT(B161, ""Follow\(([^)]+)\)"") &amp; "") ="",
  IF(
    OR(
      REGEXMATCH(B161, ""^First\([^&lt;]""),
      REGEXMATCH(B161, ""^First\(&lt;[^A-Za-z_]"")
    ),
    """",
    IF(
 "&amp;"     CFG!D161=""λ"",
      ""Follow("" &amp; CFG!B161 &amp; "") ="",
      ""First("" &amp; CFG!D161 &amp; "") =""
    )
  )
)
"),"#REF!")</f>
        <v>#REF!</v>
      </c>
      <c r="D161" s="663" t="str">
        <f>IFERROR(__xludf.DUMMYFUNCTION("IF(
  $C161="""",
  ""{ "" &amp;
    IF(
      REGEXMATCH(B161, ""^First\(\)""),
      "")"",
      REGEXEXTRACT(B161, ""^First\(([^ )]+)"")
    )
  &amp; "" }"",
  IF(
    REGEXMATCH($C161, ""^First\(&lt;""),
    VLOOKUP(REGEXEXTRACT($C161, ""\(([^)]+)\)""), 'First"&amp;" Set MacroA'!B:D, 3, FALSE),
    IF(
      REGEXMATCH($C161, ""^Follow\(&lt;""),
      VLOOKUP(REGEXEXTRACT($C161, ""\(([^)]+)\)""), 'Follow Set Macros'!B:D, 3, FALSE),
      ""{ "" &amp; REGEXEXTRACT($C161, ""\(([^)]+)\)"") &amp; "" }""
    )
  )
)
"),"#REF!")</f>
        <v>#REF!</v>
      </c>
      <c r="E161" s="664"/>
      <c r="F161" s="664"/>
      <c r="G161" s="664"/>
      <c r="H161" s="664"/>
      <c r="I161" s="664"/>
      <c r="J161" s="664"/>
      <c r="K161" s="664"/>
      <c r="L161" s="664"/>
      <c r="M161" s="664"/>
      <c r="N161" s="664"/>
      <c r="O161" s="664"/>
      <c r="P161" s="664"/>
      <c r="Q161" s="664"/>
      <c r="R161" s="664"/>
      <c r="S161" s="664"/>
      <c r="T161" s="664"/>
      <c r="U161" s="664"/>
      <c r="V161" s="664"/>
      <c r="W161" s="664"/>
      <c r="X161" s="664"/>
    </row>
    <row r="162">
      <c r="A162" s="661">
        <f t="shared" si="1"/>
        <v>162</v>
      </c>
      <c r="B162" s="662" t="str">
        <f t="shared" si="2"/>
        <v>#REF!</v>
      </c>
      <c r="C162" s="662" t="str">
        <f>IFERROR(__xludf.DUMMYFUNCTION("IF(
  REGEXMATCH(B162, ""^First\(λ - λ\) ∪ Follow\(""),
  ""Follow("" &amp; REGEXEXTRACT(B162, ""Follow\(([^)]+)\)"") &amp; "") ="",
  IF(
    OR(
      REGEXMATCH(B162, ""^First\([^&lt;]""),
      REGEXMATCH(B162, ""^First\(&lt;[^A-Za-z_]"")
    ),
    """",
    IF(
 "&amp;"     CFG!D162=""λ"",
      ""Follow("" &amp; CFG!B162 &amp; "") ="",
      ""First("" &amp; CFG!D162 &amp; "") =""
    )
  )
)
"),"#REF!")</f>
        <v>#REF!</v>
      </c>
      <c r="D162" s="663" t="str">
        <f>IFERROR(__xludf.DUMMYFUNCTION("IF(
  $C162="""",
  ""{ "" &amp;
    IF(
      REGEXMATCH(B162, ""^First\(\)""),
      "")"",
      REGEXEXTRACT(B162, ""^First\(([^ )]+)"")
    )
  &amp; "" }"",
  IF(
    REGEXMATCH($C162, ""^First\(&lt;""),
    VLOOKUP(REGEXEXTRACT($C162, ""\(([^)]+)\)""), 'First"&amp;" Set MacroA'!B:D, 3, FALSE),
    IF(
      REGEXMATCH($C162, ""^Follow\(&lt;""),
      VLOOKUP(REGEXEXTRACT($C162, ""\(([^)]+)\)""), 'Follow Set Macros'!B:D, 3, FALSE),
      ""{ "" &amp; REGEXEXTRACT($C162, ""\(([^)]+)\)"") &amp; "" }""
    )
  )
)
"),"#REF!")</f>
        <v>#REF!</v>
      </c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</row>
    <row r="163">
      <c r="A163" s="661">
        <f t="shared" si="1"/>
        <v>163</v>
      </c>
      <c r="B163" s="662" t="str">
        <f t="shared" si="2"/>
        <v>#REF!</v>
      </c>
      <c r="C163" s="662" t="str">
        <f>IFERROR(__xludf.DUMMYFUNCTION("IF(
  REGEXMATCH(B163, ""^First\(λ - λ\) ∪ Follow\(""),
  ""Follow("" &amp; REGEXEXTRACT(B163, ""Follow\(([^)]+)\)"") &amp; "") ="",
  IF(
    OR(
      REGEXMATCH(B163, ""^First\([^&lt;]""),
      REGEXMATCH(B163, ""^First\(&lt;[^A-Za-z_]"")
    ),
    """",
    IF(
 "&amp;"     CFG!D163=""λ"",
      ""Follow("" &amp; CFG!B163 &amp; "") ="",
      ""First("" &amp; CFG!D163 &amp; "") =""
    )
  )
)
"),"#REF!")</f>
        <v>#REF!</v>
      </c>
      <c r="D163" s="663" t="str">
        <f>IFERROR(__xludf.DUMMYFUNCTION("IF(
  $C163="""",
  ""{ "" &amp;
    IF(
      REGEXMATCH(B163, ""^First\(\)""),
      "")"",
      REGEXEXTRACT(B163, ""^First\(([^ )]+)"")
    )
  &amp; "" }"",
  IF(
    REGEXMATCH($C163, ""^First\(&lt;""),
    VLOOKUP(REGEXEXTRACT($C163, ""\(([^)]+)\)""), 'First"&amp;" Set MacroA'!B:D, 3, FALSE),
    IF(
      REGEXMATCH($C163, ""^Follow\(&lt;""),
      VLOOKUP(REGEXEXTRACT($C163, ""\(([^)]+)\)""), 'Follow Set Macros'!B:D, 3, FALSE),
      ""{ "" &amp; REGEXEXTRACT($C163, ""\(([^)]+)\)"") &amp; "" }""
    )
  )
)
"),"#REF!")</f>
        <v>#REF!</v>
      </c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</row>
    <row r="164">
      <c r="A164" s="661">
        <f t="shared" si="1"/>
        <v>164</v>
      </c>
      <c r="B164" s="662" t="str">
        <f t="shared" si="2"/>
        <v>#REF!</v>
      </c>
      <c r="C164" s="662" t="str">
        <f>IFERROR(__xludf.DUMMYFUNCTION("IF(
  REGEXMATCH(B164, ""^First\(λ - λ\) ∪ Follow\(""),
  ""Follow("" &amp; REGEXEXTRACT(B164, ""Follow\(([^)]+)\)"") &amp; "") ="",
  IF(
    OR(
      REGEXMATCH(B164, ""^First\([^&lt;]""),
      REGEXMATCH(B164, ""^First\(&lt;[^A-Za-z_]"")
    ),
    """",
    IF(
 "&amp;"     CFG!D164=""λ"",
      ""Follow("" &amp; CFG!B164 &amp; "") ="",
      ""First("" &amp; CFG!D164 &amp; "") =""
    )
  )
)
"),"#REF!")</f>
        <v>#REF!</v>
      </c>
      <c r="D164" s="663" t="str">
        <f>IFERROR(__xludf.DUMMYFUNCTION("IF(
  $C164="""",
  ""{ "" &amp;
    IF(
      REGEXMATCH(B164, ""^First\(\)""),
      "")"",
      REGEXEXTRACT(B164, ""^First\(([^ )]+)"")
    )
  &amp; "" }"",
  IF(
    REGEXMATCH($C164, ""^First\(&lt;""),
    VLOOKUP(REGEXEXTRACT($C164, ""\(([^)]+)\)""), 'First"&amp;" Set MacroA'!B:D, 3, FALSE),
    IF(
      REGEXMATCH($C164, ""^Follow\(&lt;""),
      VLOOKUP(REGEXEXTRACT($C164, ""\(([^)]+)\)""), 'Follow Set Macros'!B:D, 3, FALSE),
      ""{ "" &amp; REGEXEXTRACT($C164, ""\(([^)]+)\)"") &amp; "" }""
    )
  )
)
"),"#REF!")</f>
        <v>#REF!</v>
      </c>
      <c r="E164" s="664"/>
      <c r="F164" s="664"/>
      <c r="G164" s="664"/>
      <c r="H164" s="664"/>
      <c r="I164" s="664"/>
      <c r="J164" s="664"/>
      <c r="K164" s="664"/>
      <c r="L164" s="664"/>
      <c r="M164" s="664"/>
      <c r="N164" s="664"/>
      <c r="O164" s="664"/>
      <c r="P164" s="664"/>
      <c r="Q164" s="664"/>
      <c r="R164" s="664"/>
      <c r="S164" s="664"/>
      <c r="T164" s="664"/>
      <c r="U164" s="664"/>
      <c r="V164" s="664"/>
      <c r="W164" s="664"/>
      <c r="X164" s="664"/>
    </row>
    <row r="165">
      <c r="A165" s="661">
        <f t="shared" si="1"/>
        <v>165</v>
      </c>
      <c r="B165" s="662" t="str">
        <f t="shared" si="2"/>
        <v>#REF!</v>
      </c>
      <c r="C165" s="662" t="str">
        <f>IFERROR(__xludf.DUMMYFUNCTION("IF(
  REGEXMATCH(B165, ""^First\(λ - λ\) ∪ Follow\(""),
  ""Follow("" &amp; REGEXEXTRACT(B165, ""Follow\(([^)]+)\)"") &amp; "") ="",
  IF(
    OR(
      REGEXMATCH(B165, ""^First\([^&lt;]""),
      REGEXMATCH(B165, ""^First\(&lt;[^A-Za-z_]"")
    ),
    """",
    IF(
 "&amp;"     CFG!D165=""λ"",
      ""Follow("" &amp; CFG!B165 &amp; "") ="",
      ""First("" &amp; CFG!D165 &amp; "") =""
    )
  )
)
"),"#REF!")</f>
        <v>#REF!</v>
      </c>
      <c r="D165" s="663" t="str">
        <f>IFERROR(__xludf.DUMMYFUNCTION("IF(
  $C165="""",
  ""{ "" &amp;
    IF(
      REGEXMATCH(B165, ""^First\(\)""),
      "")"",
      REGEXEXTRACT(B165, ""^First\(([^ )]+)"")
    )
  &amp; "" }"",
  IF(
    REGEXMATCH($C165, ""^First\(&lt;""),
    VLOOKUP(REGEXEXTRACT($C165, ""\(([^)]+)\)""), 'First"&amp;" Set MacroA'!B:D, 3, FALSE),
    IF(
      REGEXMATCH($C165, ""^Follow\(&lt;""),
      VLOOKUP(REGEXEXTRACT($C165, ""\(([^)]+)\)""), 'Follow Set Macros'!B:D, 3, FALSE),
      ""{ "" &amp; REGEXEXTRACT($C165, ""\(([^)]+)\)"") &amp; "" }""
    )
  )
)
"),"#REF!")</f>
        <v>#REF!</v>
      </c>
      <c r="E165" s="664"/>
      <c r="F165" s="664"/>
      <c r="G165" s="664"/>
      <c r="H165" s="664"/>
      <c r="I165" s="664"/>
      <c r="J165" s="664"/>
      <c r="K165" s="664"/>
      <c r="L165" s="664"/>
      <c r="M165" s="664"/>
      <c r="N165" s="664"/>
      <c r="O165" s="664"/>
      <c r="P165" s="664"/>
      <c r="Q165" s="664"/>
      <c r="R165" s="664"/>
      <c r="S165" s="664"/>
      <c r="T165" s="664"/>
      <c r="U165" s="664"/>
      <c r="V165" s="664"/>
      <c r="W165" s="664"/>
      <c r="X165" s="664"/>
    </row>
    <row r="166">
      <c r="A166" s="661">
        <f t="shared" si="1"/>
        <v>166</v>
      </c>
      <c r="B166" s="662" t="str">
        <f t="shared" si="2"/>
        <v>#REF!</v>
      </c>
      <c r="C166" s="662" t="str">
        <f>IFERROR(__xludf.DUMMYFUNCTION("IF(
  REGEXMATCH(B166, ""^First\(λ - λ\) ∪ Follow\(""),
  ""Follow("" &amp; REGEXEXTRACT(B166, ""Follow\(([^)]+)\)"") &amp; "") ="",
  IF(
    OR(
      REGEXMATCH(B166, ""^First\([^&lt;]""),
      REGEXMATCH(B166, ""^First\(&lt;[^A-Za-z_]"")
    ),
    """",
    IF(
 "&amp;"     CFG!D166=""λ"",
      ""Follow("" &amp; CFG!B166 &amp; "") ="",
      ""First("" &amp; CFG!D166 &amp; "") =""
    )
  )
)
"),"#REF!")</f>
        <v>#REF!</v>
      </c>
      <c r="D166" s="663" t="str">
        <f>IFERROR(__xludf.DUMMYFUNCTION("IF(
  $C166="""",
  ""{ "" &amp;
    IF(
      REGEXMATCH(B166, ""^First\(\)""),
      "")"",
      REGEXEXTRACT(B166, ""^First\(([^ )]+)"")
    )
  &amp; "" }"",
  IF(
    REGEXMATCH($C166, ""^First\(&lt;""),
    VLOOKUP(REGEXEXTRACT($C166, ""\(([^)]+)\)""), 'First"&amp;" Set MacroA'!B:D, 3, FALSE),
    IF(
      REGEXMATCH($C166, ""^Follow\(&lt;""),
      VLOOKUP(REGEXEXTRACT($C166, ""\(([^)]+)\)""), 'Follow Set Macros'!B:D, 3, FALSE),
      ""{ "" &amp; REGEXEXTRACT($C166, ""\(([^)]+)\)"") &amp; "" }""
    )
  )
)
"),"#REF!")</f>
        <v>#REF!</v>
      </c>
      <c r="E166" s="664"/>
      <c r="F166" s="664"/>
      <c r="G166" s="664"/>
      <c r="H166" s="664"/>
      <c r="I166" s="664"/>
      <c r="J166" s="664"/>
      <c r="K166" s="664"/>
      <c r="L166" s="664"/>
      <c r="M166" s="664"/>
      <c r="N166" s="664"/>
      <c r="O166" s="664"/>
      <c r="P166" s="664"/>
      <c r="Q166" s="664"/>
      <c r="R166" s="664"/>
      <c r="S166" s="664"/>
      <c r="T166" s="664"/>
      <c r="U166" s="664"/>
      <c r="V166" s="664"/>
      <c r="W166" s="664"/>
      <c r="X166" s="664"/>
    </row>
    <row r="167">
      <c r="A167" s="661">
        <f t="shared" si="1"/>
        <v>167</v>
      </c>
      <c r="B167" s="662" t="str">
        <f t="shared" si="2"/>
        <v>#REF!</v>
      </c>
      <c r="C167" s="662" t="str">
        <f>IFERROR(__xludf.DUMMYFUNCTION("IF(
  REGEXMATCH(B167, ""^First\(λ - λ\) ∪ Follow\(""),
  ""Follow("" &amp; REGEXEXTRACT(B167, ""Follow\(([^)]+)\)"") &amp; "") ="",
  IF(
    OR(
      REGEXMATCH(B167, ""^First\([^&lt;]""),
      REGEXMATCH(B167, ""^First\(&lt;[^A-Za-z_]"")
    ),
    """",
    IF(
 "&amp;"     CFG!D167=""λ"",
      ""Follow("" &amp; CFG!B167 &amp; "") ="",
      ""First("" &amp; CFG!D167 &amp; "") =""
    )
  )
)
"),"#REF!")</f>
        <v>#REF!</v>
      </c>
      <c r="D167" s="663" t="str">
        <f>IFERROR(__xludf.DUMMYFUNCTION("IF(
  $C167="""",
  ""{ "" &amp;
    IF(
      REGEXMATCH(B167, ""^First\(\)""),
      "")"",
      REGEXEXTRACT(B167, ""^First\(([^ )]+)"")
    )
  &amp; "" }"",
  IF(
    REGEXMATCH($C167, ""^First\(&lt;""),
    VLOOKUP(REGEXEXTRACT($C167, ""\(([^)]+)\)""), 'First"&amp;" Set MacroA'!B:D, 3, FALSE),
    IF(
      REGEXMATCH($C167, ""^Follow\(&lt;""),
      VLOOKUP(REGEXEXTRACT($C167, ""\(([^)]+)\)""), 'Follow Set Macros'!B:D, 3, FALSE),
      ""{ "" &amp; REGEXEXTRACT($C167, ""\(([^)]+)\)"") &amp; "" }""
    )
  )
)
"),"#REF!")</f>
        <v>#REF!</v>
      </c>
      <c r="E167" s="664"/>
      <c r="F167" s="664"/>
      <c r="G167" s="664"/>
      <c r="H167" s="664"/>
      <c r="I167" s="664"/>
      <c r="J167" s="664"/>
      <c r="K167" s="664"/>
      <c r="L167" s="664"/>
      <c r="M167" s="664"/>
      <c r="N167" s="664"/>
      <c r="O167" s="664"/>
      <c r="P167" s="664"/>
      <c r="Q167" s="664"/>
      <c r="R167" s="664"/>
      <c r="S167" s="664"/>
      <c r="T167" s="664"/>
      <c r="U167" s="664"/>
      <c r="V167" s="664"/>
      <c r="W167" s="664"/>
      <c r="X167" s="664"/>
    </row>
    <row r="168">
      <c r="A168" s="661">
        <f t="shared" si="1"/>
        <v>168</v>
      </c>
      <c r="B168" s="662" t="str">
        <f t="shared" si="2"/>
        <v>#REF!</v>
      </c>
      <c r="C168" s="662" t="str">
        <f>IFERROR(__xludf.DUMMYFUNCTION("IF(
  REGEXMATCH(B168, ""^First\(λ - λ\) ∪ Follow\(""),
  ""Follow("" &amp; REGEXEXTRACT(B168, ""Follow\(([^)]+)\)"") &amp; "") ="",
  IF(
    OR(
      REGEXMATCH(B168, ""^First\([^&lt;]""),
      REGEXMATCH(B168, ""^First\(&lt;[^A-Za-z_]"")
    ),
    """",
    IF(
 "&amp;"     CFG!D168=""λ"",
      ""Follow("" &amp; CFG!B168 &amp; "") ="",
      ""First("" &amp; CFG!D168 &amp; "") =""
    )
  )
)
"),"#REF!")</f>
        <v>#REF!</v>
      </c>
      <c r="D168" s="663" t="str">
        <f>IFERROR(__xludf.DUMMYFUNCTION("IF(
  $C168="""",
  ""{ "" &amp;
    IF(
      REGEXMATCH(B168, ""^First\(\)""),
      "")"",
      REGEXEXTRACT(B168, ""^First\(([^ )]+)"")
    )
  &amp; "" }"",
  IF(
    REGEXMATCH($C168, ""^First\(&lt;""),
    VLOOKUP(REGEXEXTRACT($C168, ""\(([^)]+)\)""), 'First"&amp;" Set MacroA'!B:D, 3, FALSE),
    IF(
      REGEXMATCH($C168, ""^Follow\(&lt;""),
      VLOOKUP(REGEXEXTRACT($C168, ""\(([^)]+)\)""), 'Follow Set Macros'!B:D, 3, FALSE),
      ""{ "" &amp; REGEXEXTRACT($C168, ""\(([^)]+)\)"") &amp; "" }""
    )
  )
)
"),"#REF!")</f>
        <v>#REF!</v>
      </c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</row>
    <row r="169">
      <c r="A169" s="661">
        <f t="shared" si="1"/>
        <v>169</v>
      </c>
      <c r="B169" s="662" t="str">
        <f t="shared" si="2"/>
        <v>#REF!</v>
      </c>
      <c r="C169" s="662" t="str">
        <f>IFERROR(__xludf.DUMMYFUNCTION("IF(
  REGEXMATCH(B169, ""^First\(λ - λ\) ∪ Follow\(""),
  ""Follow("" &amp; REGEXEXTRACT(B169, ""Follow\(([^)]+)\)"") &amp; "") ="",
  IF(
    OR(
      REGEXMATCH(B169, ""^First\([^&lt;]""),
      REGEXMATCH(B169, ""^First\(&lt;[^A-Za-z_]"")
    ),
    """",
    IF(
 "&amp;"     CFG!D169=""λ"",
      ""Follow("" &amp; CFG!B169 &amp; "") ="",
      ""First("" &amp; CFG!D169 &amp; "") =""
    )
  )
)
"),"#REF!")</f>
        <v>#REF!</v>
      </c>
      <c r="D169" s="663" t="str">
        <f>IFERROR(__xludf.DUMMYFUNCTION("IF(
  $C169="""",
  ""{ "" &amp;
    IF(
      REGEXMATCH(B169, ""^First\(\)""),
      "")"",
      REGEXEXTRACT(B169, ""^First\(([^ )]+)"")
    )
  &amp; "" }"",
  IF(
    REGEXMATCH($C169, ""^First\(&lt;""),
    VLOOKUP(REGEXEXTRACT($C169, ""\(([^)]+)\)""), 'First"&amp;" Set MacroA'!B:D, 3, FALSE),
    IF(
      REGEXMATCH($C169, ""^Follow\(&lt;""),
      VLOOKUP(REGEXEXTRACT($C169, ""\(([^)]+)\)""), 'Follow Set Macros'!B:D, 3, FALSE),
      ""{ "" &amp; REGEXEXTRACT($C169, ""\(([^)]+)\)"") &amp; "" }""
    )
  )
)
"),"#REF!")</f>
        <v>#REF!</v>
      </c>
      <c r="E169" s="664"/>
      <c r="F169" s="664"/>
      <c r="G169" s="664"/>
      <c r="H169" s="664"/>
      <c r="I169" s="664"/>
      <c r="J169" s="664"/>
      <c r="K169" s="664"/>
      <c r="L169" s="664"/>
      <c r="M169" s="664"/>
      <c r="N169" s="664"/>
      <c r="O169" s="664"/>
      <c r="P169" s="664"/>
      <c r="Q169" s="664"/>
      <c r="R169" s="664"/>
      <c r="S169" s="664"/>
      <c r="T169" s="664"/>
      <c r="U169" s="664"/>
      <c r="V169" s="664"/>
      <c r="W169" s="664"/>
      <c r="X169" s="664"/>
    </row>
    <row r="170">
      <c r="A170" s="661">
        <f t="shared" si="1"/>
        <v>170</v>
      </c>
      <c r="B170" s="662" t="str">
        <f t="shared" si="2"/>
        <v>#REF!</v>
      </c>
      <c r="C170" s="662" t="str">
        <f>IFERROR(__xludf.DUMMYFUNCTION("IF(
  REGEXMATCH(B170, ""^First\(λ - λ\) ∪ Follow\(""),
  ""Follow("" &amp; REGEXEXTRACT(B170, ""Follow\(([^)]+)\)"") &amp; "") ="",
  IF(
    OR(
      REGEXMATCH(B170, ""^First\([^&lt;]""),
      REGEXMATCH(B170, ""^First\(&lt;[^A-Za-z_]"")
    ),
    """",
    IF(
 "&amp;"     CFG!D170=""λ"",
      ""Follow("" &amp; CFG!B170 &amp; "") ="",
      ""First("" &amp; CFG!D170 &amp; "") =""
    )
  )
)
"),"#REF!")</f>
        <v>#REF!</v>
      </c>
      <c r="D170" s="663" t="str">
        <f>IFERROR(__xludf.DUMMYFUNCTION("IF(
  $C170="""",
  ""{ "" &amp;
    IF(
      REGEXMATCH(B170, ""^First\(\)""),
      "")"",
      REGEXEXTRACT(B170, ""^First\(([^ )]+)"")
    )
  &amp; "" }"",
  IF(
    REGEXMATCH($C170, ""^First\(&lt;""),
    VLOOKUP(REGEXEXTRACT($C170, ""\(([^)]+)\)""), 'First"&amp;" Set MacroA'!B:D, 3, FALSE),
    IF(
      REGEXMATCH($C170, ""^Follow\(&lt;""),
      VLOOKUP(REGEXEXTRACT($C170, ""\(([^)]+)\)""), 'Follow Set Macros'!B:D, 3, FALSE),
      ""{ "" &amp; REGEXEXTRACT($C170, ""\(([^)]+)\)"") &amp; "" }""
    )
  )
)
"),"#REF!")</f>
        <v>#REF!</v>
      </c>
      <c r="E170" s="664"/>
      <c r="F170" s="664"/>
      <c r="G170" s="664"/>
      <c r="H170" s="664"/>
      <c r="I170" s="664"/>
      <c r="J170" s="664"/>
      <c r="K170" s="664"/>
      <c r="L170" s="664"/>
      <c r="M170" s="664"/>
      <c r="N170" s="664"/>
      <c r="O170" s="664"/>
      <c r="P170" s="664"/>
      <c r="Q170" s="664"/>
      <c r="R170" s="664"/>
      <c r="S170" s="664"/>
      <c r="T170" s="664"/>
      <c r="U170" s="664"/>
      <c r="V170" s="664"/>
      <c r="W170" s="664"/>
      <c r="X170" s="664"/>
    </row>
    <row r="171">
      <c r="A171" s="661">
        <f t="shared" si="1"/>
        <v>171</v>
      </c>
      <c r="B171" s="662" t="str">
        <f t="shared" si="2"/>
        <v>#REF!</v>
      </c>
      <c r="C171" s="662" t="str">
        <f>IFERROR(__xludf.DUMMYFUNCTION("IF(
  REGEXMATCH(B171, ""^First\(λ - λ\) ∪ Follow\(""),
  ""Follow("" &amp; REGEXEXTRACT(B171, ""Follow\(([^)]+)\)"") &amp; "") ="",
  IF(
    OR(
      REGEXMATCH(B171, ""^First\([^&lt;]""),
      REGEXMATCH(B171, ""^First\(&lt;[^A-Za-z_]"")
    ),
    """",
    IF(
 "&amp;"     CFG!D171=""λ"",
      ""Follow("" &amp; CFG!B171 &amp; "") ="",
      ""First("" &amp; CFG!D171 &amp; "") =""
    )
  )
)
"),"#REF!")</f>
        <v>#REF!</v>
      </c>
      <c r="D171" s="663" t="str">
        <f>IFERROR(__xludf.DUMMYFUNCTION("IF(
  $C171="""",
  ""{ "" &amp;
    IF(
      REGEXMATCH(B171, ""^First\(\)""),
      "")"",
      REGEXEXTRACT(B171, ""^First\(([^ )]+)"")
    )
  &amp; "" }"",
  IF(
    REGEXMATCH($C171, ""^First\(&lt;""),
    VLOOKUP(REGEXEXTRACT($C171, ""\(([^)]+)\)""), 'First"&amp;" Set MacroA'!B:D, 3, FALSE),
    IF(
      REGEXMATCH($C171, ""^Follow\(&lt;""),
      VLOOKUP(REGEXEXTRACT($C171, ""\(([^)]+)\)""), 'Follow Set Macros'!B:D, 3, FALSE),
      ""{ "" &amp; REGEXEXTRACT($C171, ""\(([^)]+)\)"") &amp; "" }""
    )
  )
)
"),"#REF!")</f>
        <v>#REF!</v>
      </c>
      <c r="E171" s="664"/>
      <c r="F171" s="664"/>
      <c r="G171" s="664"/>
      <c r="H171" s="664"/>
      <c r="I171" s="664"/>
      <c r="J171" s="664"/>
      <c r="K171" s="664"/>
      <c r="L171" s="664"/>
      <c r="M171" s="664"/>
      <c r="N171" s="664"/>
      <c r="O171" s="664"/>
      <c r="P171" s="664"/>
      <c r="Q171" s="664"/>
      <c r="R171" s="664"/>
      <c r="S171" s="664"/>
      <c r="T171" s="664"/>
      <c r="U171" s="664"/>
      <c r="V171" s="664"/>
      <c r="W171" s="664"/>
      <c r="X171" s="664"/>
    </row>
    <row r="172">
      <c r="A172" s="661">
        <f t="shared" si="1"/>
        <v>172</v>
      </c>
      <c r="B172" s="662" t="str">
        <f t="shared" si="2"/>
        <v>#REF!</v>
      </c>
      <c r="C172" s="662" t="str">
        <f>IFERROR(__xludf.DUMMYFUNCTION("IF(
  REGEXMATCH(B172, ""^First\(λ - λ\) ∪ Follow\(""),
  ""Follow("" &amp; REGEXEXTRACT(B172, ""Follow\(([^)]+)\)"") &amp; "") ="",
  IF(
    OR(
      REGEXMATCH(B172, ""^First\([^&lt;]""),
      REGEXMATCH(B172, ""^First\(&lt;[^A-Za-z_]"")
    ),
    """",
    IF(
 "&amp;"     CFG!D172=""λ"",
      ""Follow("" &amp; CFG!B172 &amp; "") ="",
      ""First("" &amp; CFG!D172 &amp; "") =""
    )
  )
)
"),"#REF!")</f>
        <v>#REF!</v>
      </c>
      <c r="D172" s="663" t="str">
        <f>IFERROR(__xludf.DUMMYFUNCTION("IF(
  $C172="""",
  ""{ "" &amp;
    IF(
      REGEXMATCH(B172, ""^First\(\)""),
      "")"",
      REGEXEXTRACT(B172, ""^First\(([^ )]+)"")
    )
  &amp; "" }"",
  IF(
    REGEXMATCH($C172, ""^First\(&lt;""),
    VLOOKUP(REGEXEXTRACT($C172, ""\(([^)]+)\)""), 'First"&amp;" Set MacroA'!B:D, 3, FALSE),
    IF(
      REGEXMATCH($C172, ""^Follow\(&lt;""),
      VLOOKUP(REGEXEXTRACT($C172, ""\(([^)]+)\)""), 'Follow Set Macros'!B:D, 3, FALSE),
      ""{ "" &amp; REGEXEXTRACT($C172, ""\(([^)]+)\)"") &amp; "" }""
    )
  )
)
"),"#REF!")</f>
        <v>#REF!</v>
      </c>
      <c r="E172" s="664"/>
      <c r="F172" s="664"/>
      <c r="G172" s="664"/>
      <c r="H172" s="664"/>
      <c r="I172" s="664"/>
      <c r="J172" s="664"/>
      <c r="K172" s="664"/>
      <c r="L172" s="664"/>
      <c r="M172" s="664"/>
      <c r="N172" s="664"/>
      <c r="O172" s="664"/>
      <c r="P172" s="664"/>
      <c r="Q172" s="664"/>
      <c r="R172" s="664"/>
      <c r="S172" s="664"/>
      <c r="T172" s="664"/>
      <c r="U172" s="664"/>
      <c r="V172" s="664"/>
      <c r="W172" s="664"/>
      <c r="X172" s="664"/>
    </row>
    <row r="173">
      <c r="A173" s="661">
        <f t="shared" si="1"/>
        <v>173</v>
      </c>
      <c r="B173" s="662" t="str">
        <f t="shared" si="2"/>
        <v>#REF!</v>
      </c>
      <c r="C173" s="662" t="str">
        <f>IFERROR(__xludf.DUMMYFUNCTION("IF(
  REGEXMATCH(B173, ""^First\(λ - λ\) ∪ Follow\(""),
  ""Follow("" &amp; REGEXEXTRACT(B173, ""Follow\(([^)]+)\)"") &amp; "") ="",
  IF(
    OR(
      REGEXMATCH(B173, ""^First\([^&lt;]""),
      REGEXMATCH(B173, ""^First\(&lt;[^A-Za-z_]"")
    ),
    """",
    IF(
 "&amp;"     CFG!D173=""λ"",
      ""Follow("" &amp; CFG!B173 &amp; "") ="",
      ""First("" &amp; CFG!D173 &amp; "") =""
    )
  )
)
"),"#REF!")</f>
        <v>#REF!</v>
      </c>
      <c r="D173" s="663" t="str">
        <f>IFERROR(__xludf.DUMMYFUNCTION("IF(
  $C173="""",
  ""{ "" &amp;
    IF(
      REGEXMATCH(B173, ""^First\(\)""),
      "")"",
      REGEXEXTRACT(B173, ""^First\(([^ )]+)"")
    )
  &amp; "" }"",
  IF(
    REGEXMATCH($C173, ""^First\(&lt;""),
    VLOOKUP(REGEXEXTRACT($C173, ""\(([^)]+)\)""), 'First"&amp;" Set MacroA'!B:D, 3, FALSE),
    IF(
      REGEXMATCH($C173, ""^Follow\(&lt;""),
      VLOOKUP(REGEXEXTRACT($C173, ""\(([^)]+)\)""), 'Follow Set Macros'!B:D, 3, FALSE),
      ""{ "" &amp; REGEXEXTRACT($C173, ""\(([^)]+)\)"") &amp; "" }""
    )
  )
)
"),"#REF!")</f>
        <v>#REF!</v>
      </c>
      <c r="E173" s="664"/>
      <c r="F173" s="664"/>
      <c r="G173" s="664"/>
      <c r="H173" s="664"/>
      <c r="I173" s="664"/>
      <c r="J173" s="664"/>
      <c r="K173" s="664"/>
      <c r="L173" s="664"/>
      <c r="M173" s="664"/>
      <c r="N173" s="664"/>
      <c r="O173" s="664"/>
      <c r="P173" s="664"/>
      <c r="Q173" s="664"/>
      <c r="R173" s="664"/>
      <c r="S173" s="664"/>
      <c r="T173" s="664"/>
      <c r="U173" s="664"/>
      <c r="V173" s="664"/>
      <c r="W173" s="664"/>
      <c r="X173" s="664"/>
    </row>
    <row r="174">
      <c r="A174" s="661">
        <f t="shared" si="1"/>
        <v>174</v>
      </c>
      <c r="B174" s="662" t="str">
        <f t="shared" si="2"/>
        <v>#REF!</v>
      </c>
      <c r="C174" s="662" t="str">
        <f>IFERROR(__xludf.DUMMYFUNCTION("IF(
  REGEXMATCH(B174, ""^First\(λ - λ\) ∪ Follow\(""),
  ""Follow("" &amp; REGEXEXTRACT(B174, ""Follow\(([^)]+)\)"") &amp; "") ="",
  IF(
    OR(
      REGEXMATCH(B174, ""^First\([^&lt;]""),
      REGEXMATCH(B174, ""^First\(&lt;[^A-Za-z_]"")
    ),
    """",
    IF(
 "&amp;"     CFG!D174=""λ"",
      ""Follow("" &amp; CFG!B174 &amp; "") ="",
      ""First("" &amp; CFG!D174 &amp; "") =""
    )
  )
)
"),"#REF!")</f>
        <v>#REF!</v>
      </c>
      <c r="D174" s="663" t="str">
        <f>IFERROR(__xludf.DUMMYFUNCTION("IF(
  $C174="""",
  ""{ "" &amp;
    IF(
      REGEXMATCH(B174, ""^First\(\)""),
      "")"",
      REGEXEXTRACT(B174, ""^First\(([^ )]+)"")
    )
  &amp; "" }"",
  IF(
    REGEXMATCH($C174, ""^First\(&lt;""),
    VLOOKUP(REGEXEXTRACT($C174, ""\(([^)]+)\)""), 'First"&amp;" Set MacroA'!B:D, 3, FALSE),
    IF(
      REGEXMATCH($C174, ""^Follow\(&lt;""),
      VLOOKUP(REGEXEXTRACT($C174, ""\(([^)]+)\)""), 'Follow Set Macros'!B:D, 3, FALSE),
      ""{ "" &amp; REGEXEXTRACT($C174, ""\(([^)]+)\)"") &amp; "" }""
    )
  )
)
"),"#REF!")</f>
        <v>#REF!</v>
      </c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</row>
    <row r="175">
      <c r="A175" s="661">
        <f t="shared" si="1"/>
        <v>175</v>
      </c>
      <c r="B175" s="662" t="str">
        <f t="shared" si="2"/>
        <v>#REF!</v>
      </c>
      <c r="C175" s="662" t="str">
        <f>IFERROR(__xludf.DUMMYFUNCTION("IF(
  REGEXMATCH(B175, ""^First\(λ - λ\) ∪ Follow\(""),
  ""Follow("" &amp; REGEXEXTRACT(B175, ""Follow\(([^)]+)\)"") &amp; "") ="",
  IF(
    OR(
      REGEXMATCH(B175, ""^First\([^&lt;]""),
      REGEXMATCH(B175, ""^First\(&lt;[^A-Za-z_]"")
    ),
    """",
    IF(
 "&amp;"     CFG!D175=""λ"",
      ""Follow("" &amp; CFG!B175 &amp; "") ="",
      ""First("" &amp; CFG!D175 &amp; "") =""
    )
  )
)
"),"#REF!")</f>
        <v>#REF!</v>
      </c>
      <c r="D175" s="663" t="str">
        <f>IFERROR(__xludf.DUMMYFUNCTION("IF(
  $C175="""",
  ""{ "" &amp;
    IF(
      REGEXMATCH(B175, ""^First\(\)""),
      "")"",
      REGEXEXTRACT(B175, ""^First\(([^ )]+)"")
    )
  &amp; "" }"",
  IF(
    REGEXMATCH($C175, ""^First\(&lt;""),
    VLOOKUP(REGEXEXTRACT($C175, ""\(([^)]+)\)""), 'First"&amp;" Set MacroA'!B:D, 3, FALSE),
    IF(
      REGEXMATCH($C175, ""^Follow\(&lt;""),
      VLOOKUP(REGEXEXTRACT($C175, ""\(([^)]+)\)""), 'Follow Set Macros'!B:D, 3, FALSE),
      ""{ "" &amp; REGEXEXTRACT($C175, ""\(([^)]+)\)"") &amp; "" }""
    )
  )
)
"),"#REF!")</f>
        <v>#REF!</v>
      </c>
      <c r="E175" s="664"/>
      <c r="F175" s="664"/>
      <c r="G175" s="664"/>
      <c r="H175" s="664"/>
      <c r="I175" s="664"/>
      <c r="J175" s="664"/>
      <c r="K175" s="664"/>
      <c r="L175" s="664"/>
      <c r="M175" s="664"/>
      <c r="N175" s="664"/>
      <c r="O175" s="664"/>
      <c r="P175" s="664"/>
      <c r="Q175" s="664"/>
      <c r="R175" s="664"/>
      <c r="S175" s="664"/>
      <c r="T175" s="664"/>
      <c r="U175" s="664"/>
      <c r="V175" s="664"/>
      <c r="W175" s="664"/>
      <c r="X175" s="664"/>
    </row>
    <row r="176">
      <c r="A176" s="661">
        <f t="shared" si="1"/>
        <v>176</v>
      </c>
      <c r="B176" s="662" t="str">
        <f t="shared" si="2"/>
        <v>#REF!</v>
      </c>
      <c r="C176" s="662" t="str">
        <f>IFERROR(__xludf.DUMMYFUNCTION("IF(
  REGEXMATCH(B176, ""^First\(λ - λ\) ∪ Follow\(""),
  ""Follow("" &amp; REGEXEXTRACT(B176, ""Follow\(([^)]+)\)"") &amp; "") ="",
  IF(
    OR(
      REGEXMATCH(B176, ""^First\([^&lt;]""),
      REGEXMATCH(B176, ""^First\(&lt;[^A-Za-z_]"")
    ),
    """",
    IF(
 "&amp;"     CFG!D176=""λ"",
      ""Follow("" &amp; CFG!B176 &amp; "") ="",
      ""First("" &amp; CFG!D176 &amp; "") =""
    )
  )
)
"),"#REF!")</f>
        <v>#REF!</v>
      </c>
      <c r="D176" s="663" t="str">
        <f>IFERROR(__xludf.DUMMYFUNCTION("IF(
  $C176="""",
  ""{ "" &amp;
    IF(
      REGEXMATCH(B176, ""^First\(\)""),
      "")"",
      REGEXEXTRACT(B176, ""^First\(([^ )]+)"")
    )
  &amp; "" }"",
  IF(
    REGEXMATCH($C176, ""^First\(&lt;""),
    VLOOKUP(REGEXEXTRACT($C176, ""\(([^)]+)\)""), 'First"&amp;" Set MacroA'!B:D, 3, FALSE),
    IF(
      REGEXMATCH($C176, ""^Follow\(&lt;""),
      VLOOKUP(REGEXEXTRACT($C176, ""\(([^)]+)\)""), 'Follow Set Macros'!B:D, 3, FALSE),
      ""{ "" &amp; REGEXEXTRACT($C176, ""\(([^)]+)\)"") &amp; "" }""
    )
  )
)
"),"#REF!")</f>
        <v>#REF!</v>
      </c>
      <c r="E176" s="664"/>
      <c r="F176" s="664"/>
      <c r="G176" s="664"/>
      <c r="H176" s="664"/>
      <c r="I176" s="664"/>
      <c r="J176" s="664"/>
      <c r="K176" s="664"/>
      <c r="L176" s="664"/>
      <c r="M176" s="664"/>
      <c r="N176" s="664"/>
      <c r="O176" s="664"/>
      <c r="P176" s="664"/>
      <c r="Q176" s="664"/>
      <c r="R176" s="664"/>
      <c r="S176" s="664"/>
      <c r="T176" s="664"/>
      <c r="U176" s="664"/>
      <c r="V176" s="664"/>
      <c r="W176" s="664"/>
      <c r="X176" s="664"/>
    </row>
    <row r="177">
      <c r="A177" s="661">
        <f t="shared" si="1"/>
        <v>177</v>
      </c>
      <c r="B177" s="662" t="str">
        <f t="shared" si="2"/>
        <v>#REF!</v>
      </c>
      <c r="C177" s="662" t="str">
        <f>IFERROR(__xludf.DUMMYFUNCTION("IF(
  REGEXMATCH(B177, ""^First\(λ - λ\) ∪ Follow\(""),
  ""Follow("" &amp; REGEXEXTRACT(B177, ""Follow\(([^)]+)\)"") &amp; "") ="",
  IF(
    OR(
      REGEXMATCH(B177, ""^First\([^&lt;]""),
      REGEXMATCH(B177, ""^First\(&lt;[^A-Za-z_]"")
    ),
    """",
    IF(
 "&amp;"     CFG!D177=""λ"",
      ""Follow("" &amp; CFG!B177 &amp; "") ="",
      ""First("" &amp; CFG!D177 &amp; "") =""
    )
  )
)
"),"#REF!")</f>
        <v>#REF!</v>
      </c>
      <c r="D177" s="663" t="str">
        <f>IFERROR(__xludf.DUMMYFUNCTION("IF(
  $C177="""",
  ""{ "" &amp;
    IF(
      REGEXMATCH(B177, ""^First\(\)""),
      "")"",
      REGEXEXTRACT(B177, ""^First\(([^ )]+)"")
    )
  &amp; "" }"",
  IF(
    REGEXMATCH($C177, ""^First\(&lt;""),
    VLOOKUP(REGEXEXTRACT($C177, ""\(([^)]+)\)""), 'First"&amp;" Set MacroA'!B:D, 3, FALSE),
    IF(
      REGEXMATCH($C177, ""^Follow\(&lt;""),
      VLOOKUP(REGEXEXTRACT($C177, ""\(([^)]+)\)""), 'Follow Set Macros'!B:D, 3, FALSE),
      ""{ "" &amp; REGEXEXTRACT($C177, ""\(([^)]+)\)"") &amp; "" }""
    )
  )
)
"),"#REF!")</f>
        <v>#REF!</v>
      </c>
      <c r="E177" s="664"/>
      <c r="F177" s="664"/>
      <c r="G177" s="664"/>
      <c r="H177" s="664"/>
      <c r="I177" s="664"/>
      <c r="J177" s="664"/>
      <c r="K177" s="664"/>
      <c r="L177" s="664"/>
      <c r="M177" s="664"/>
      <c r="N177" s="664"/>
      <c r="O177" s="664"/>
      <c r="P177" s="664"/>
      <c r="Q177" s="664"/>
      <c r="R177" s="664"/>
      <c r="S177" s="664"/>
      <c r="T177" s="664"/>
      <c r="U177" s="664"/>
      <c r="V177" s="664"/>
      <c r="W177" s="664"/>
      <c r="X177" s="664"/>
    </row>
    <row r="178">
      <c r="A178" s="661">
        <f t="shared" si="1"/>
        <v>178</v>
      </c>
      <c r="B178" s="662" t="str">
        <f t="shared" si="2"/>
        <v>#REF!</v>
      </c>
      <c r="C178" s="662" t="str">
        <f>IFERROR(__xludf.DUMMYFUNCTION("IF(
  REGEXMATCH(B178, ""^First\(λ - λ\) ∪ Follow\(""),
  ""Follow("" &amp; REGEXEXTRACT(B178, ""Follow\(([^)]+)\)"") &amp; "") ="",
  IF(
    OR(
      REGEXMATCH(B178, ""^First\([^&lt;]""),
      REGEXMATCH(B178, ""^First\(&lt;[^A-Za-z_]"")
    ),
    """",
    IF(
 "&amp;"     CFG!D178=""λ"",
      ""Follow("" &amp; CFG!B178 &amp; "") ="",
      ""First("" &amp; CFG!D178 &amp; "") =""
    )
  )
)
"),"#REF!")</f>
        <v>#REF!</v>
      </c>
      <c r="D178" s="663" t="str">
        <f>IFERROR(__xludf.DUMMYFUNCTION("IF(
  $C178="""",
  ""{ "" &amp;
    IF(
      REGEXMATCH(B178, ""^First\(\)""),
      "")"",
      REGEXEXTRACT(B178, ""^First\(([^ )]+)"")
    )
  &amp; "" }"",
  IF(
    REGEXMATCH($C178, ""^First\(&lt;""),
    VLOOKUP(REGEXEXTRACT($C178, ""\(([^)]+)\)""), 'First"&amp;" Set MacroA'!B:D, 3, FALSE),
    IF(
      REGEXMATCH($C178, ""^Follow\(&lt;""),
      VLOOKUP(REGEXEXTRACT($C178, ""\(([^)]+)\)""), 'Follow Set Macros'!B:D, 3, FALSE),
      ""{ "" &amp; REGEXEXTRACT($C178, ""\(([^)]+)\)"") &amp; "" }""
    )
  )
)
"),"#REF!")</f>
        <v>#REF!</v>
      </c>
      <c r="E178" s="664"/>
      <c r="F178" s="664"/>
      <c r="G178" s="664"/>
      <c r="H178" s="664"/>
      <c r="I178" s="664"/>
      <c r="J178" s="664"/>
      <c r="K178" s="664"/>
      <c r="L178" s="664"/>
      <c r="M178" s="664"/>
      <c r="N178" s="664"/>
      <c r="O178" s="664"/>
      <c r="P178" s="664"/>
      <c r="Q178" s="664"/>
      <c r="R178" s="664"/>
      <c r="S178" s="664"/>
      <c r="T178" s="664"/>
      <c r="U178" s="664"/>
      <c r="V178" s="664"/>
      <c r="W178" s="664"/>
      <c r="X178" s="664"/>
    </row>
    <row r="179">
      <c r="A179" s="661">
        <f t="shared" si="1"/>
        <v>179</v>
      </c>
      <c r="B179" s="662" t="str">
        <f t="shared" si="2"/>
        <v>#REF!</v>
      </c>
      <c r="C179" s="662" t="str">
        <f>IFERROR(__xludf.DUMMYFUNCTION("IF(
  REGEXMATCH(B179, ""^First\(λ - λ\) ∪ Follow\(""),
  ""Follow("" &amp; REGEXEXTRACT(B179, ""Follow\(([^)]+)\)"") &amp; "") ="",
  IF(
    OR(
      REGEXMATCH(B179, ""^First\([^&lt;]""),
      REGEXMATCH(B179, ""^First\(&lt;[^A-Za-z_]"")
    ),
    """",
    IF(
 "&amp;"     CFG!D179=""λ"",
      ""Follow("" &amp; CFG!B179 &amp; "") ="",
      ""First("" &amp; CFG!D179 &amp; "") =""
    )
  )
)
"),"#REF!")</f>
        <v>#REF!</v>
      </c>
      <c r="D179" s="663" t="str">
        <f>IFERROR(__xludf.DUMMYFUNCTION("IF(
  $C179="""",
  ""{ "" &amp;
    IF(
      REGEXMATCH(B179, ""^First\(\)""),
      "")"",
      REGEXEXTRACT(B179, ""^First\(([^ )]+)"")
    )
  &amp; "" }"",
  IF(
    REGEXMATCH($C179, ""^First\(&lt;""),
    VLOOKUP(REGEXEXTRACT($C179, ""\(([^)]+)\)""), 'First"&amp;" Set MacroA'!B:D, 3, FALSE),
    IF(
      REGEXMATCH($C179, ""^Follow\(&lt;""),
      VLOOKUP(REGEXEXTRACT($C179, ""\(([^)]+)\)""), 'Follow Set Macros'!B:D, 3, FALSE),
      ""{ "" &amp; REGEXEXTRACT($C179, ""\(([^)]+)\)"") &amp; "" }""
    )
  )
)
"),"#REF!")</f>
        <v>#REF!</v>
      </c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</row>
    <row r="180">
      <c r="A180" s="661">
        <f t="shared" si="1"/>
        <v>180</v>
      </c>
      <c r="B180" s="662" t="str">
        <f t="shared" si="2"/>
        <v>#REF!</v>
      </c>
      <c r="C180" s="662" t="str">
        <f>IFERROR(__xludf.DUMMYFUNCTION("IF(
  REGEXMATCH(B180, ""^First\(λ - λ\) ∪ Follow\(""),
  ""Follow("" &amp; REGEXEXTRACT(B180, ""Follow\(([^)]+)\)"") &amp; "") ="",
  IF(
    OR(
      REGEXMATCH(B180, ""^First\([^&lt;]""),
      REGEXMATCH(B180, ""^First\(&lt;[^A-Za-z_]"")
    ),
    """",
    IF(
 "&amp;"     CFG!D180=""λ"",
      ""Follow("" &amp; CFG!B180 &amp; "") ="",
      ""First("" &amp; CFG!D180 &amp; "") =""
    )
  )
)
"),"#REF!")</f>
        <v>#REF!</v>
      </c>
      <c r="D180" s="663" t="str">
        <f>IFERROR(__xludf.DUMMYFUNCTION("IF(
  $C180="""",
  ""{ "" &amp;
    IF(
      REGEXMATCH(B180, ""^First\(\)""),
      "")"",
      REGEXEXTRACT(B180, ""^First\(([^ )]+)"")
    )
  &amp; "" }"",
  IF(
    REGEXMATCH($C180, ""^First\(&lt;""),
    VLOOKUP(REGEXEXTRACT($C180, ""\(([^)]+)\)""), 'First"&amp;" Set MacroA'!B:D, 3, FALSE),
    IF(
      REGEXMATCH($C180, ""^Follow\(&lt;""),
      VLOOKUP(REGEXEXTRACT($C180, ""\(([^)]+)\)""), 'Follow Set Macros'!B:D, 3, FALSE),
      ""{ "" &amp; REGEXEXTRACT($C180, ""\(([^)]+)\)"") &amp; "" }""
    )
  )
)
"),"#REF!")</f>
        <v>#REF!</v>
      </c>
      <c r="E180" s="664"/>
      <c r="F180" s="664"/>
      <c r="G180" s="664"/>
      <c r="H180" s="664"/>
      <c r="I180" s="664"/>
      <c r="J180" s="664"/>
      <c r="K180" s="664"/>
      <c r="L180" s="664"/>
      <c r="M180" s="664"/>
      <c r="N180" s="664"/>
      <c r="O180" s="664"/>
      <c r="P180" s="664"/>
      <c r="Q180" s="664"/>
      <c r="R180" s="664"/>
      <c r="S180" s="664"/>
      <c r="T180" s="664"/>
      <c r="U180" s="664"/>
      <c r="V180" s="664"/>
      <c r="W180" s="664"/>
      <c r="X180" s="664"/>
    </row>
    <row r="181">
      <c r="A181" s="661">
        <f t="shared" si="1"/>
        <v>181</v>
      </c>
      <c r="B181" s="662" t="str">
        <f t="shared" si="2"/>
        <v>#REF!</v>
      </c>
      <c r="C181" s="662" t="str">
        <f>IFERROR(__xludf.DUMMYFUNCTION("IF(
  REGEXMATCH(B181, ""^First\(λ - λ\) ∪ Follow\(""),
  ""Follow("" &amp; REGEXEXTRACT(B181, ""Follow\(([^)]+)\)"") &amp; "") ="",
  IF(
    OR(
      REGEXMATCH(B181, ""^First\([^&lt;]""),
      REGEXMATCH(B181, ""^First\(&lt;[^A-Za-z_]"")
    ),
    """",
    IF(
 "&amp;"     CFG!D181=""λ"",
      ""Follow("" &amp; CFG!B181 &amp; "") ="",
      ""First("" &amp; CFG!D181 &amp; "") =""
    )
  )
)
"),"#REF!")</f>
        <v>#REF!</v>
      </c>
      <c r="D181" s="663" t="str">
        <f>IFERROR(__xludf.DUMMYFUNCTION("IF(
  $C181="""",
  ""{ "" &amp;
    IF(
      REGEXMATCH(B181, ""^First\(\)""),
      "")"",
      REGEXEXTRACT(B181, ""^First\(([^ )]+)"")
    )
  &amp; "" }"",
  IF(
    REGEXMATCH($C181, ""^First\(&lt;""),
    VLOOKUP(REGEXEXTRACT($C181, ""\(([^)]+)\)""), 'First"&amp;" Set MacroA'!B:D, 3, FALSE),
    IF(
      REGEXMATCH($C181, ""^Follow\(&lt;""),
      VLOOKUP(REGEXEXTRACT($C181, ""\(([^)]+)\)""), 'Follow Set Macros'!B:D, 3, FALSE),
      ""{ "" &amp; REGEXEXTRACT($C181, ""\(([^)]+)\)"") &amp; "" }""
    )
  )
)
"),"#REF!")</f>
        <v>#REF!</v>
      </c>
      <c r="E181" s="664"/>
      <c r="F181" s="664"/>
      <c r="G181" s="664"/>
      <c r="H181" s="664"/>
      <c r="I181" s="664"/>
      <c r="J181" s="664"/>
      <c r="K181" s="664"/>
      <c r="L181" s="664"/>
      <c r="M181" s="664"/>
      <c r="N181" s="664"/>
      <c r="O181" s="664"/>
      <c r="P181" s="664"/>
      <c r="Q181" s="664"/>
      <c r="R181" s="664"/>
      <c r="S181" s="664"/>
      <c r="T181" s="664"/>
      <c r="U181" s="664"/>
      <c r="V181" s="664"/>
      <c r="W181" s="664"/>
      <c r="X181" s="664"/>
    </row>
    <row r="182">
      <c r="A182" s="661">
        <f t="shared" si="1"/>
        <v>182</v>
      </c>
      <c r="B182" s="662" t="str">
        <f t="shared" si="2"/>
        <v>#REF!</v>
      </c>
      <c r="C182" s="662" t="str">
        <f>IFERROR(__xludf.DUMMYFUNCTION("IF(
  REGEXMATCH(B182, ""^First\(λ - λ\) ∪ Follow\(""),
  ""Follow("" &amp; REGEXEXTRACT(B182, ""Follow\(([^)]+)\)"") &amp; "") ="",
  IF(
    OR(
      REGEXMATCH(B182, ""^First\([^&lt;]""),
      REGEXMATCH(B182, ""^First\(&lt;[^A-Za-z_]"")
    ),
    """",
    IF(
 "&amp;"     CFG!D182=""λ"",
      ""Follow("" &amp; CFG!B182 &amp; "") ="",
      ""First("" &amp; CFG!D182 &amp; "") =""
    )
  )
)
"),"#REF!")</f>
        <v>#REF!</v>
      </c>
      <c r="D182" s="663" t="str">
        <f>IFERROR(__xludf.DUMMYFUNCTION("IF(
  $C182="""",
  ""{ "" &amp;
    IF(
      REGEXMATCH(B182, ""^First\(\)""),
      "")"",
      REGEXEXTRACT(B182, ""^First\(([^ )]+)"")
    )
  &amp; "" }"",
  IF(
    REGEXMATCH($C182, ""^First\(&lt;""),
    VLOOKUP(REGEXEXTRACT($C182, ""\(([^)]+)\)""), 'First"&amp;" Set MacroA'!B:D, 3, FALSE),
    IF(
      REGEXMATCH($C182, ""^Follow\(&lt;""),
      VLOOKUP(REGEXEXTRACT($C182, ""\(([^)]+)\)""), 'Follow Set Macros'!B:D, 3, FALSE),
      ""{ "" &amp; REGEXEXTRACT($C182, ""\(([^)]+)\)"") &amp; "" }""
    )
  )
)
"),"#REF!")</f>
        <v>#REF!</v>
      </c>
      <c r="E182" s="664"/>
      <c r="F182" s="664"/>
      <c r="G182" s="664"/>
      <c r="H182" s="664"/>
      <c r="I182" s="664"/>
      <c r="J182" s="664"/>
      <c r="K182" s="664"/>
      <c r="L182" s="664"/>
      <c r="M182" s="664"/>
      <c r="N182" s="664"/>
      <c r="O182" s="664"/>
      <c r="P182" s="664"/>
      <c r="Q182" s="664"/>
      <c r="R182" s="664"/>
      <c r="S182" s="664"/>
      <c r="T182" s="664"/>
      <c r="U182" s="664"/>
      <c r="V182" s="664"/>
      <c r="W182" s="664"/>
      <c r="X182" s="664"/>
    </row>
    <row r="183">
      <c r="A183" s="661">
        <f t="shared" si="1"/>
        <v>183</v>
      </c>
      <c r="B183" s="662" t="str">
        <f t="shared" si="2"/>
        <v>#REF!</v>
      </c>
      <c r="C183" s="662" t="str">
        <f>IFERROR(__xludf.DUMMYFUNCTION("IF(
  REGEXMATCH(B183, ""^First\(λ - λ\) ∪ Follow\(""),
  ""Follow("" &amp; REGEXEXTRACT(B183, ""Follow\(([^)]+)\)"") &amp; "") ="",
  IF(
    OR(
      REGEXMATCH(B183, ""^First\([^&lt;]""),
      REGEXMATCH(B183, ""^First\(&lt;[^A-Za-z_]"")
    ),
    """",
    IF(
 "&amp;"     CFG!D183=""λ"",
      ""Follow("" &amp; CFG!B183 &amp; "") ="",
      ""First("" &amp; CFG!D183 &amp; "") =""
    )
  )
)
"),"#REF!")</f>
        <v>#REF!</v>
      </c>
      <c r="D183" s="663" t="str">
        <f>IFERROR(__xludf.DUMMYFUNCTION("IF(
  $C183="""",
  ""{ "" &amp;
    IF(
      REGEXMATCH(B183, ""^First\(\)""),
      "")"",
      REGEXEXTRACT(B183, ""^First\(([^ )]+)"")
    )
  &amp; "" }"",
  IF(
    REGEXMATCH($C183, ""^First\(&lt;""),
    VLOOKUP(REGEXEXTRACT($C183, ""\(([^)]+)\)""), 'First"&amp;" Set MacroA'!B:D, 3, FALSE),
    IF(
      REGEXMATCH($C183, ""^Follow\(&lt;""),
      VLOOKUP(REGEXEXTRACT($C183, ""\(([^)]+)\)""), 'Follow Set Macros'!B:D, 3, FALSE),
      ""{ "" &amp; REGEXEXTRACT($C183, ""\(([^)]+)\)"") &amp; "" }""
    )
  )
)
"),"#REF!")</f>
        <v>#REF!</v>
      </c>
      <c r="E183" s="664"/>
      <c r="F183" s="664"/>
      <c r="G183" s="664"/>
      <c r="H183" s="664"/>
      <c r="I183" s="664"/>
      <c r="J183" s="664"/>
      <c r="K183" s="664"/>
      <c r="L183" s="664"/>
      <c r="M183" s="664"/>
      <c r="N183" s="664"/>
      <c r="O183" s="664"/>
      <c r="P183" s="664"/>
      <c r="Q183" s="664"/>
      <c r="R183" s="664"/>
      <c r="S183" s="664"/>
      <c r="T183" s="664"/>
      <c r="U183" s="664"/>
      <c r="V183" s="664"/>
      <c r="W183" s="664"/>
      <c r="X183" s="664"/>
    </row>
    <row r="184">
      <c r="A184" s="661">
        <f t="shared" si="1"/>
        <v>184</v>
      </c>
      <c r="B184" s="662" t="str">
        <f t="shared" si="2"/>
        <v>#REF!</v>
      </c>
      <c r="C184" s="662" t="str">
        <f>IFERROR(__xludf.DUMMYFUNCTION("IF(
  REGEXMATCH(B184, ""^First\(λ - λ\) ∪ Follow\(""),
  ""Follow("" &amp; REGEXEXTRACT(B184, ""Follow\(([^)]+)\)"") &amp; "") ="",
  IF(
    OR(
      REGEXMATCH(B184, ""^First\([^&lt;]""),
      REGEXMATCH(B184, ""^First\(&lt;[^A-Za-z_]"")
    ),
    """",
    IF(
 "&amp;"     CFG!D184=""λ"",
      ""Follow("" &amp; CFG!B184 &amp; "") ="",
      ""First("" &amp; CFG!D184 &amp; "") =""
    )
  )
)
"),"#REF!")</f>
        <v>#REF!</v>
      </c>
      <c r="D184" s="663" t="str">
        <f>IFERROR(__xludf.DUMMYFUNCTION("IF(
  $C184="""",
  ""{ "" &amp;
    IF(
      REGEXMATCH(B184, ""^First\(\)""),
      "")"",
      REGEXEXTRACT(B184, ""^First\(([^ )]+)"")
    )
  &amp; "" }"",
  IF(
    REGEXMATCH($C184, ""^First\(&lt;""),
    VLOOKUP(REGEXEXTRACT($C184, ""\(([^)]+)\)""), 'First"&amp;" Set MacroA'!B:D, 3, FALSE),
    IF(
      REGEXMATCH($C184, ""^Follow\(&lt;""),
      VLOOKUP(REGEXEXTRACT($C184, ""\(([^)]+)\)""), 'Follow Set Macros'!B:D, 3, FALSE),
      ""{ "" &amp; REGEXEXTRACT($C184, ""\(([^)]+)\)"") &amp; "" }""
    )
  )
)
"),"#REF!")</f>
        <v>#REF!</v>
      </c>
      <c r="E184" s="664"/>
      <c r="F184" s="664"/>
      <c r="G184" s="664"/>
      <c r="H184" s="664"/>
      <c r="I184" s="664"/>
      <c r="J184" s="664"/>
      <c r="K184" s="664"/>
      <c r="L184" s="664"/>
      <c r="M184" s="664"/>
      <c r="N184" s="664"/>
      <c r="O184" s="664"/>
      <c r="P184" s="664"/>
      <c r="Q184" s="664"/>
      <c r="R184" s="664"/>
      <c r="S184" s="664"/>
      <c r="T184" s="664"/>
      <c r="U184" s="664"/>
      <c r="V184" s="664"/>
      <c r="W184" s="664"/>
      <c r="X184" s="664"/>
    </row>
    <row r="185">
      <c r="A185" s="661">
        <f t="shared" si="1"/>
        <v>185</v>
      </c>
      <c r="B185" s="662" t="str">
        <f t="shared" si="2"/>
        <v>#REF!</v>
      </c>
      <c r="C185" s="662" t="str">
        <f>IFERROR(__xludf.DUMMYFUNCTION("IF(
  REGEXMATCH(B185, ""^First\(λ - λ\) ∪ Follow\(""),
  ""Follow("" &amp; REGEXEXTRACT(B185, ""Follow\(([^)]+)\)"") &amp; "") ="",
  IF(
    OR(
      REGEXMATCH(B185, ""^First\([^&lt;]""),
      REGEXMATCH(B185, ""^First\(&lt;[^A-Za-z_]"")
    ),
    """",
    IF(
 "&amp;"     CFG!D185=""λ"",
      ""Follow("" &amp; CFG!B185 &amp; "") ="",
      ""First("" &amp; CFG!D185 &amp; "") =""
    )
  )
)
"),"#REF!")</f>
        <v>#REF!</v>
      </c>
      <c r="D185" s="663" t="str">
        <f>IFERROR(__xludf.DUMMYFUNCTION("IF(
  $C185="""",
  ""{ "" &amp;
    IF(
      REGEXMATCH(B185, ""^First\(\)""),
      "")"",
      REGEXEXTRACT(B185, ""^First\(([^ )]+)"")
    )
  &amp; "" }"",
  IF(
    REGEXMATCH($C185, ""^First\(&lt;""),
    VLOOKUP(REGEXEXTRACT($C185, ""\(([^)]+)\)""), 'First"&amp;" Set MacroA'!B:D, 3, FALSE),
    IF(
      REGEXMATCH($C185, ""^Follow\(&lt;""),
      VLOOKUP(REGEXEXTRACT($C185, ""\(([^)]+)\)""), 'Follow Set Macros'!B:D, 3, FALSE),
      ""{ "" &amp; REGEXEXTRACT($C185, ""\(([^)]+)\)"") &amp; "" }""
    )
  )
)
"),"#REF!")</f>
        <v>#REF!</v>
      </c>
      <c r="E185" s="664"/>
      <c r="F185" s="664"/>
      <c r="G185" s="664"/>
      <c r="H185" s="664"/>
      <c r="I185" s="664"/>
      <c r="J185" s="664"/>
      <c r="K185" s="664"/>
      <c r="L185" s="664"/>
      <c r="M185" s="664"/>
      <c r="N185" s="664"/>
      <c r="O185" s="664"/>
      <c r="P185" s="664"/>
      <c r="Q185" s="664"/>
      <c r="R185" s="664"/>
      <c r="S185" s="664"/>
      <c r="T185" s="664"/>
      <c r="U185" s="664"/>
      <c r="V185" s="664"/>
      <c r="W185" s="664"/>
      <c r="X185" s="664"/>
    </row>
    <row r="186">
      <c r="A186" s="661">
        <f t="shared" si="1"/>
        <v>186</v>
      </c>
      <c r="B186" s="662" t="str">
        <f t="shared" si="2"/>
        <v>#REF!</v>
      </c>
      <c r="C186" s="662" t="str">
        <f>IFERROR(__xludf.DUMMYFUNCTION("IF(
  REGEXMATCH(B186, ""^First\(λ - λ\) ∪ Follow\(""),
  ""Follow("" &amp; REGEXEXTRACT(B186, ""Follow\(([^)]+)\)"") &amp; "") ="",
  IF(
    OR(
      REGEXMATCH(B186, ""^First\([^&lt;]""),
      REGEXMATCH(B186, ""^First\(&lt;[^A-Za-z_]"")
    ),
    """",
    IF(
 "&amp;"     CFG!D186=""λ"",
      ""Follow("" &amp; CFG!B186 &amp; "") ="",
      ""First("" &amp; CFG!D186 &amp; "") =""
    )
  )
)
"),"#REF!")</f>
        <v>#REF!</v>
      </c>
      <c r="D186" s="663" t="str">
        <f>IFERROR(__xludf.DUMMYFUNCTION("IF(
  $C186="""",
  ""{ "" &amp;
    IF(
      REGEXMATCH(B186, ""^First\(\)""),
      "")"",
      REGEXEXTRACT(B186, ""^First\(([^ )]+)"")
    )
  &amp; "" }"",
  IF(
    REGEXMATCH($C186, ""^First\(&lt;""),
    VLOOKUP(REGEXEXTRACT($C186, ""\(([^)]+)\)""), 'First"&amp;" Set MacroA'!B:D, 3, FALSE),
    IF(
      REGEXMATCH($C186, ""^Follow\(&lt;""),
      VLOOKUP(REGEXEXTRACT($C186, ""\(([^)]+)\)""), 'Follow Set Macros'!B:D, 3, FALSE),
      ""{ "" &amp; REGEXEXTRACT($C186, ""\(([^)]+)\)"") &amp; "" }""
    )
  )
)
"),"#REF!")</f>
        <v>#REF!</v>
      </c>
      <c r="E186" s="664"/>
      <c r="F186" s="664"/>
      <c r="G186" s="664"/>
      <c r="H186" s="664"/>
      <c r="I186" s="664"/>
      <c r="J186" s="664"/>
      <c r="K186" s="664"/>
      <c r="L186" s="664"/>
      <c r="M186" s="664"/>
      <c r="N186" s="664"/>
      <c r="O186" s="664"/>
      <c r="P186" s="664"/>
      <c r="Q186" s="664"/>
      <c r="R186" s="664"/>
      <c r="S186" s="664"/>
      <c r="T186" s="664"/>
      <c r="U186" s="664"/>
      <c r="V186" s="664"/>
      <c r="W186" s="664"/>
      <c r="X186" s="664"/>
    </row>
    <row r="187">
      <c r="A187" s="661">
        <f t="shared" si="1"/>
        <v>187</v>
      </c>
      <c r="B187" s="662" t="str">
        <f t="shared" si="2"/>
        <v>#REF!</v>
      </c>
      <c r="C187" s="662" t="str">
        <f>IFERROR(__xludf.DUMMYFUNCTION("IF(
  REGEXMATCH(B187, ""^First\(λ - λ\) ∪ Follow\(""),
  ""Follow("" &amp; REGEXEXTRACT(B187, ""Follow\(([^)]+)\)"") &amp; "") ="",
  IF(
    OR(
      REGEXMATCH(B187, ""^First\([^&lt;]""),
      REGEXMATCH(B187, ""^First\(&lt;[^A-Za-z_]"")
    ),
    """",
    IF(
 "&amp;"     CFG!D187=""λ"",
      ""Follow("" &amp; CFG!B187 &amp; "") ="",
      ""First("" &amp; CFG!D187 &amp; "") =""
    )
  )
)
"),"#REF!")</f>
        <v>#REF!</v>
      </c>
      <c r="D187" s="663" t="str">
        <f>IFERROR(__xludf.DUMMYFUNCTION("IF(
  $C187="""",
  ""{ "" &amp;
    IF(
      REGEXMATCH(B187, ""^First\(\)""),
      "")"",
      REGEXEXTRACT(B187, ""^First\(([^ )]+)"")
    )
  &amp; "" }"",
  IF(
    REGEXMATCH($C187, ""^First\(&lt;""),
    VLOOKUP(REGEXEXTRACT($C187, ""\(([^)]+)\)""), 'First"&amp;" Set MacroA'!B:D, 3, FALSE),
    IF(
      REGEXMATCH($C187, ""^Follow\(&lt;""),
      VLOOKUP(REGEXEXTRACT($C187, ""\(([^)]+)\)""), 'Follow Set Macros'!B:D, 3, FALSE),
      ""{ "" &amp; REGEXEXTRACT($C187, ""\(([^)]+)\)"") &amp; "" }""
    )
  )
)
"),"#REF!")</f>
        <v>#REF!</v>
      </c>
      <c r="E187" s="664"/>
      <c r="F187" s="664"/>
      <c r="G187" s="664"/>
      <c r="H187" s="664"/>
      <c r="I187" s="664"/>
      <c r="J187" s="664"/>
      <c r="K187" s="664"/>
      <c r="L187" s="664"/>
      <c r="M187" s="664"/>
      <c r="N187" s="664"/>
      <c r="O187" s="664"/>
      <c r="P187" s="664"/>
      <c r="Q187" s="664"/>
      <c r="R187" s="664"/>
      <c r="S187" s="664"/>
      <c r="T187" s="664"/>
      <c r="U187" s="664"/>
      <c r="V187" s="664"/>
      <c r="W187" s="664"/>
      <c r="X187" s="664"/>
    </row>
    <row r="188">
      <c r="A188" s="661">
        <f t="shared" si="1"/>
        <v>188</v>
      </c>
      <c r="B188" s="662" t="str">
        <f t="shared" si="2"/>
        <v>#REF!</v>
      </c>
      <c r="C188" s="662" t="str">
        <f>IFERROR(__xludf.DUMMYFUNCTION("IF(
  REGEXMATCH(B188, ""^First\(λ - λ\) ∪ Follow\(""),
  ""Follow("" &amp; REGEXEXTRACT(B188, ""Follow\(([^)]+)\)"") &amp; "") ="",
  IF(
    OR(
      REGEXMATCH(B188, ""^First\([^&lt;]""),
      REGEXMATCH(B188, ""^First\(&lt;[^A-Za-z_]"")
    ),
    """",
    IF(
 "&amp;"     CFG!D188=""λ"",
      ""Follow("" &amp; CFG!B188 &amp; "") ="",
      ""First("" &amp; CFG!D188 &amp; "") =""
    )
  )
)
"),"#REF!")</f>
        <v>#REF!</v>
      </c>
      <c r="D188" s="663" t="str">
        <f>IFERROR(__xludf.DUMMYFUNCTION("IF(
  $C188="""",
  ""{ "" &amp;
    IF(
      REGEXMATCH(B188, ""^First\(\)""),
      "")"",
      REGEXEXTRACT(B188, ""^First\(([^ )]+)"")
    )
  &amp; "" }"",
  IF(
    REGEXMATCH($C188, ""^First\(&lt;""),
    VLOOKUP(REGEXEXTRACT($C188, ""\(([^)]+)\)""), 'First"&amp;" Set MacroA'!B:D, 3, FALSE),
    IF(
      REGEXMATCH($C188, ""^Follow\(&lt;""),
      VLOOKUP(REGEXEXTRACT($C188, ""\(([^)]+)\)""), 'Follow Set Macros'!B:D, 3, FALSE),
      ""{ "" &amp; REGEXEXTRACT($C188, ""\(([^)]+)\)"") &amp; "" }""
    )
  )
)
"),"#REF!")</f>
        <v>#REF!</v>
      </c>
      <c r="E188" s="664"/>
      <c r="F188" s="664"/>
      <c r="G188" s="664"/>
      <c r="H188" s="664"/>
      <c r="I188" s="664"/>
      <c r="J188" s="664"/>
      <c r="K188" s="664"/>
      <c r="L188" s="664"/>
      <c r="M188" s="664"/>
      <c r="N188" s="664"/>
      <c r="O188" s="664"/>
      <c r="P188" s="664"/>
      <c r="Q188" s="664"/>
      <c r="R188" s="664"/>
      <c r="S188" s="664"/>
      <c r="T188" s="664"/>
      <c r="U188" s="664"/>
      <c r="V188" s="664"/>
      <c r="W188" s="664"/>
      <c r="X188" s="664"/>
    </row>
    <row r="189">
      <c r="A189" s="661">
        <f t="shared" si="1"/>
        <v>189</v>
      </c>
      <c r="B189" s="662" t="str">
        <f t="shared" si="2"/>
        <v>#REF!</v>
      </c>
      <c r="C189" s="662" t="str">
        <f>IFERROR(__xludf.DUMMYFUNCTION("IF(
  REGEXMATCH(B189, ""^First\(λ - λ\) ∪ Follow\(""),
  ""Follow("" &amp; REGEXEXTRACT(B189, ""Follow\(([^)]+)\)"") &amp; "") ="",
  IF(
    OR(
      REGEXMATCH(B189, ""^First\([^&lt;]""),
      REGEXMATCH(B189, ""^First\(&lt;[^A-Za-z_]"")
    ),
    """",
    IF(
 "&amp;"     CFG!D189=""λ"",
      ""Follow("" &amp; CFG!B189 &amp; "") ="",
      ""First("" &amp; CFG!D189 &amp; "") =""
    )
  )
)
"),"#REF!")</f>
        <v>#REF!</v>
      </c>
      <c r="D189" s="663" t="str">
        <f>IFERROR(__xludf.DUMMYFUNCTION("IF(
  $C189="""",
  ""{ "" &amp;
    IF(
      REGEXMATCH(B189, ""^First\(\)""),
      "")"",
      REGEXEXTRACT(B189, ""^First\(([^ )]+)"")
    )
  &amp; "" }"",
  IF(
    REGEXMATCH($C189, ""^First\(&lt;""),
    VLOOKUP(REGEXEXTRACT($C189, ""\(([^)]+)\)""), 'First"&amp;" Set MacroA'!B:D, 3, FALSE),
    IF(
      REGEXMATCH($C189, ""^Follow\(&lt;""),
      VLOOKUP(REGEXEXTRACT($C189, ""\(([^)]+)\)""), 'Follow Set Macros'!B:D, 3, FALSE),
      ""{ "" &amp; REGEXEXTRACT($C189, ""\(([^)]+)\)"") &amp; "" }""
    )
  )
)
"),"#REF!")</f>
        <v>#REF!</v>
      </c>
      <c r="E189" s="664"/>
      <c r="F189" s="664"/>
      <c r="G189" s="664"/>
      <c r="H189" s="664"/>
      <c r="I189" s="664"/>
      <c r="J189" s="664"/>
      <c r="K189" s="664"/>
      <c r="L189" s="664"/>
      <c r="M189" s="664"/>
      <c r="N189" s="664"/>
      <c r="O189" s="664"/>
      <c r="P189" s="664"/>
      <c r="Q189" s="664"/>
      <c r="R189" s="664"/>
      <c r="S189" s="664"/>
      <c r="T189" s="664"/>
      <c r="U189" s="664"/>
      <c r="V189" s="664"/>
      <c r="W189" s="664"/>
      <c r="X189" s="664"/>
    </row>
    <row r="190">
      <c r="A190" s="661">
        <f t="shared" si="1"/>
        <v>190</v>
      </c>
      <c r="B190" s="662" t="str">
        <f t="shared" si="2"/>
        <v>#REF!</v>
      </c>
      <c r="C190" s="662" t="str">
        <f>IFERROR(__xludf.DUMMYFUNCTION("IF(
  REGEXMATCH(B190, ""^First\(λ - λ\) ∪ Follow\(""),
  ""Follow("" &amp; REGEXEXTRACT(B190, ""Follow\(([^)]+)\)"") &amp; "") ="",
  IF(
    OR(
      REGEXMATCH(B190, ""^First\([^&lt;]""),
      REGEXMATCH(B190, ""^First\(&lt;[^A-Za-z_]"")
    ),
    """",
    IF(
 "&amp;"     CFG!D190=""λ"",
      ""Follow("" &amp; CFG!B190 &amp; "") ="",
      ""First("" &amp; CFG!D190 &amp; "") =""
    )
  )
)
"),"#REF!")</f>
        <v>#REF!</v>
      </c>
      <c r="D190" s="663" t="str">
        <f>IFERROR(__xludf.DUMMYFUNCTION("IF(
  $C190="""",
  ""{ "" &amp;
    IF(
      REGEXMATCH(B190, ""^First\(\)""),
      "")"",
      REGEXEXTRACT(B190, ""^First\(([^ )]+)"")
    )
  &amp; "" }"",
  IF(
    REGEXMATCH($C190, ""^First\(&lt;""),
    VLOOKUP(REGEXEXTRACT($C190, ""\(([^)]+)\)""), 'First"&amp;" Set MacroA'!B:D, 3, FALSE),
    IF(
      REGEXMATCH($C190, ""^Follow\(&lt;""),
      VLOOKUP(REGEXEXTRACT($C190, ""\(([^)]+)\)""), 'Follow Set Macros'!B:D, 3, FALSE),
      ""{ "" &amp; REGEXEXTRACT($C190, ""\(([^)]+)\)"") &amp; "" }""
    )
  )
)
"),"#REF!")</f>
        <v>#REF!</v>
      </c>
      <c r="E190" s="664"/>
      <c r="F190" s="664"/>
      <c r="G190" s="664"/>
      <c r="H190" s="664"/>
      <c r="I190" s="664"/>
      <c r="J190" s="664"/>
      <c r="K190" s="664"/>
      <c r="L190" s="664"/>
      <c r="M190" s="664"/>
      <c r="N190" s="664"/>
      <c r="O190" s="664"/>
      <c r="P190" s="664"/>
      <c r="Q190" s="664"/>
      <c r="R190" s="664"/>
      <c r="S190" s="664"/>
      <c r="T190" s="664"/>
      <c r="U190" s="664"/>
      <c r="V190" s="664"/>
      <c r="W190" s="664"/>
      <c r="X190" s="664"/>
    </row>
    <row r="191">
      <c r="A191" s="661">
        <f t="shared" si="1"/>
        <v>191</v>
      </c>
      <c r="B191" s="662" t="str">
        <f t="shared" si="2"/>
        <v>#REF!</v>
      </c>
      <c r="C191" s="662" t="str">
        <f>IFERROR(__xludf.DUMMYFUNCTION("IF(
  REGEXMATCH(B191, ""^First\(λ - λ\) ∪ Follow\(""),
  ""Follow("" &amp; REGEXEXTRACT(B191, ""Follow\(([^)]+)\)"") &amp; "") ="",
  IF(
    OR(
      REGEXMATCH(B191, ""^First\([^&lt;]""),
      REGEXMATCH(B191, ""^First\(&lt;[^A-Za-z_]"")
    ),
    """",
    IF(
 "&amp;"     CFG!D191=""λ"",
      ""Follow("" &amp; CFG!B191 &amp; "") ="",
      ""First("" &amp; CFG!D191 &amp; "") =""
    )
  )
)
"),"#REF!")</f>
        <v>#REF!</v>
      </c>
      <c r="D191" s="663" t="str">
        <f>IFERROR(__xludf.DUMMYFUNCTION("IF(
  $C191="""",
  ""{ "" &amp;
    IF(
      REGEXMATCH(B191, ""^First\(\)""),
      "")"",
      REGEXEXTRACT(B191, ""^First\(([^ )]+)"")
    )
  &amp; "" }"",
  IF(
    REGEXMATCH($C191, ""^First\(&lt;""),
    VLOOKUP(REGEXEXTRACT($C191, ""\(([^)]+)\)""), 'First"&amp;" Set MacroA'!B:D, 3, FALSE),
    IF(
      REGEXMATCH($C191, ""^Follow\(&lt;""),
      VLOOKUP(REGEXEXTRACT($C191, ""\(([^)]+)\)""), 'Follow Set Macros'!B:D, 3, FALSE),
      ""{ "" &amp; REGEXEXTRACT($C191, ""\(([^)]+)\)"") &amp; "" }""
    )
  )
)
"),"#REF!")</f>
        <v>#REF!</v>
      </c>
      <c r="E191" s="664"/>
      <c r="F191" s="664"/>
      <c r="G191" s="664"/>
      <c r="H191" s="664"/>
      <c r="I191" s="664"/>
      <c r="J191" s="664"/>
      <c r="K191" s="664"/>
      <c r="L191" s="664"/>
      <c r="M191" s="664"/>
      <c r="N191" s="664"/>
      <c r="O191" s="664"/>
      <c r="P191" s="664"/>
      <c r="Q191" s="664"/>
      <c r="R191" s="664"/>
      <c r="S191" s="664"/>
      <c r="T191" s="664"/>
      <c r="U191" s="664"/>
      <c r="V191" s="664"/>
      <c r="W191" s="664"/>
      <c r="X191" s="664"/>
    </row>
    <row r="192">
      <c r="A192" s="661">
        <f t="shared" si="1"/>
        <v>192</v>
      </c>
      <c r="B192" s="662" t="str">
        <f t="shared" si="2"/>
        <v>#REF!</v>
      </c>
      <c r="C192" s="662" t="str">
        <f>IFERROR(__xludf.DUMMYFUNCTION("IF(
  REGEXMATCH(B192, ""^First\(λ - λ\) ∪ Follow\(""),
  ""Follow("" &amp; REGEXEXTRACT(B192, ""Follow\(([^)]+)\)"") &amp; "") ="",
  IF(
    OR(
      REGEXMATCH(B192, ""^First\([^&lt;]""),
      REGEXMATCH(B192, ""^First\(&lt;[^A-Za-z_]"")
    ),
    """",
    IF(
 "&amp;"     CFG!D192=""λ"",
      ""Follow("" &amp; CFG!B192 &amp; "") ="",
      ""First("" &amp; CFG!D192 &amp; "") =""
    )
  )
)
"),"#REF!")</f>
        <v>#REF!</v>
      </c>
      <c r="D192" s="663" t="str">
        <f>IFERROR(__xludf.DUMMYFUNCTION("IF(
  $C192="""",
  ""{ "" &amp;
    IF(
      REGEXMATCH(B192, ""^First\(\)""),
      "")"",
      REGEXEXTRACT(B192, ""^First\(([^ )]+)"")
    )
  &amp; "" }"",
  IF(
    REGEXMATCH($C192, ""^First\(&lt;""),
    VLOOKUP(REGEXEXTRACT($C192, ""\(([^)]+)\)""), 'First"&amp;" Set MacroA'!B:D, 3, FALSE),
    IF(
      REGEXMATCH($C192, ""^Follow\(&lt;""),
      VLOOKUP(REGEXEXTRACT($C192, ""\(([^)]+)\)""), 'Follow Set Macros'!B:D, 3, FALSE),
      ""{ "" &amp; REGEXEXTRACT($C192, ""\(([^)]+)\)"") &amp; "" }""
    )
  )
)
"),"#REF!")</f>
        <v>#REF!</v>
      </c>
      <c r="E192" s="664"/>
      <c r="F192" s="664"/>
      <c r="G192" s="664"/>
      <c r="H192" s="664"/>
      <c r="I192" s="664"/>
      <c r="J192" s="664"/>
      <c r="K192" s="664"/>
      <c r="L192" s="664"/>
      <c r="M192" s="664"/>
      <c r="N192" s="664"/>
      <c r="O192" s="664"/>
      <c r="P192" s="664"/>
      <c r="Q192" s="664"/>
      <c r="R192" s="664"/>
      <c r="S192" s="664"/>
      <c r="T192" s="664"/>
      <c r="U192" s="664"/>
      <c r="V192" s="664"/>
      <c r="W192" s="664"/>
      <c r="X192" s="664"/>
    </row>
    <row r="193">
      <c r="A193" s="661">
        <f t="shared" si="1"/>
        <v>193</v>
      </c>
      <c r="B193" s="662" t="str">
        <f t="shared" si="2"/>
        <v>#REF!</v>
      </c>
      <c r="C193" s="662" t="str">
        <f>IFERROR(__xludf.DUMMYFUNCTION("IF(
  REGEXMATCH(B193, ""^First\(λ - λ\) ∪ Follow\(""),
  ""Follow("" &amp; REGEXEXTRACT(B193, ""Follow\(([^)]+)\)"") &amp; "") ="",
  IF(
    OR(
      REGEXMATCH(B193, ""^First\([^&lt;]""),
      REGEXMATCH(B193, ""^First\(&lt;[^A-Za-z_]"")
    ),
    """",
    IF(
 "&amp;"     CFG!D193=""λ"",
      ""Follow("" &amp; CFG!B193 &amp; "") ="",
      ""First("" &amp; CFG!D193 &amp; "") =""
    )
  )
)
"),"#REF!")</f>
        <v>#REF!</v>
      </c>
      <c r="D193" s="663" t="str">
        <f>IFERROR(__xludf.DUMMYFUNCTION("IF(
  $C193="""",
  ""{ "" &amp;
    IF(
      REGEXMATCH(B193, ""^First\(\)""),
      "")"",
      REGEXEXTRACT(B193, ""^First\(([^ )]+)"")
    )
  &amp; "" }"",
  IF(
    REGEXMATCH($C193, ""^First\(&lt;""),
    VLOOKUP(REGEXEXTRACT($C193, ""\(([^)]+)\)""), 'First"&amp;" Set MacroA'!B:D, 3, FALSE),
    IF(
      REGEXMATCH($C193, ""^Follow\(&lt;""),
      VLOOKUP(REGEXEXTRACT($C193, ""\(([^)]+)\)""), 'Follow Set Macros'!B:D, 3, FALSE),
      ""{ "" &amp; REGEXEXTRACT($C193, ""\(([^)]+)\)"") &amp; "" }""
    )
  )
)
"),"#REF!")</f>
        <v>#REF!</v>
      </c>
      <c r="E193" s="664"/>
      <c r="F193" s="664"/>
      <c r="G193" s="664"/>
      <c r="H193" s="664"/>
      <c r="I193" s="664"/>
      <c r="J193" s="664"/>
      <c r="K193" s="664"/>
      <c r="L193" s="664"/>
      <c r="M193" s="664"/>
      <c r="N193" s="664"/>
      <c r="O193" s="664"/>
      <c r="P193" s="664"/>
      <c r="Q193" s="664"/>
      <c r="R193" s="664"/>
      <c r="S193" s="664"/>
      <c r="T193" s="664"/>
      <c r="U193" s="664"/>
      <c r="V193" s="664"/>
      <c r="W193" s="664"/>
      <c r="X193" s="664"/>
    </row>
    <row r="194">
      <c r="A194" s="661">
        <f t="shared" si="1"/>
        <v>194</v>
      </c>
      <c r="B194" s="662" t="str">
        <f t="shared" si="2"/>
        <v>#REF!</v>
      </c>
      <c r="C194" s="662" t="str">
        <f>IFERROR(__xludf.DUMMYFUNCTION("IF(
  REGEXMATCH(B194, ""^First\(λ - λ\) ∪ Follow\(""),
  ""Follow("" &amp; REGEXEXTRACT(B194, ""Follow\(([^)]+)\)"") &amp; "") ="",
  IF(
    OR(
      REGEXMATCH(B194, ""^First\([^&lt;]""),
      REGEXMATCH(B194, ""^First\(&lt;[^A-Za-z_]"")
    ),
    """",
    IF(
 "&amp;"     CFG!D194=""λ"",
      ""Follow("" &amp; CFG!B194 &amp; "") ="",
      ""First("" &amp; CFG!D194 &amp; "") =""
    )
  )
)
"),"#REF!")</f>
        <v>#REF!</v>
      </c>
      <c r="D194" s="663" t="str">
        <f>IFERROR(__xludf.DUMMYFUNCTION("IF(
  $C194="""",
  ""{ "" &amp;
    IF(
      REGEXMATCH(B194, ""^First\(\)""),
      "")"",
      REGEXEXTRACT(B194, ""^First\(([^ )]+)"")
    )
  &amp; "" }"",
  IF(
    REGEXMATCH($C194, ""^First\(&lt;""),
    VLOOKUP(REGEXEXTRACT($C194, ""\(([^)]+)\)""), 'First"&amp;" Set MacroA'!B:D, 3, FALSE),
    IF(
      REGEXMATCH($C194, ""^Follow\(&lt;""),
      VLOOKUP(REGEXEXTRACT($C194, ""\(([^)]+)\)""), 'Follow Set Macros'!B:D, 3, FALSE),
      ""{ "" &amp; REGEXEXTRACT($C194, ""\(([^)]+)\)"") &amp; "" }""
    )
  )
)
"),"#REF!")</f>
        <v>#REF!</v>
      </c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</row>
    <row r="195">
      <c r="A195" s="661">
        <f t="shared" si="1"/>
        <v>195</v>
      </c>
      <c r="B195" s="662" t="str">
        <f t="shared" si="2"/>
        <v>#REF!</v>
      </c>
      <c r="C195" s="662" t="str">
        <f>IFERROR(__xludf.DUMMYFUNCTION("IF(
  REGEXMATCH(B195, ""^First\(λ - λ\) ∪ Follow\(""),
  ""Follow("" &amp; REGEXEXTRACT(B195, ""Follow\(([^)]+)\)"") &amp; "") ="",
  IF(
    OR(
      REGEXMATCH(B195, ""^First\([^&lt;]""),
      REGEXMATCH(B195, ""^First\(&lt;[^A-Za-z_]"")
    ),
    """",
    IF(
 "&amp;"     CFG!D195=""λ"",
      ""Follow("" &amp; CFG!B195 &amp; "") ="",
      ""First("" &amp; CFG!D195 &amp; "") =""
    )
  )
)
"),"#REF!")</f>
        <v>#REF!</v>
      </c>
      <c r="D195" s="663" t="str">
        <f>IFERROR(__xludf.DUMMYFUNCTION("IF(
  $C195="""",
  ""{ "" &amp;
    IF(
      REGEXMATCH(B195, ""^First\(\)""),
      "")"",
      REGEXEXTRACT(B195, ""^First\(([^ )]+)"")
    )
  &amp; "" }"",
  IF(
    REGEXMATCH($C195, ""^First\(&lt;""),
    VLOOKUP(REGEXEXTRACT($C195, ""\(([^)]+)\)""), 'First"&amp;" Set MacroA'!B:D, 3, FALSE),
    IF(
      REGEXMATCH($C195, ""^Follow\(&lt;""),
      VLOOKUP(REGEXEXTRACT($C195, ""\(([^)]+)\)""), 'Follow Set Macros'!B:D, 3, FALSE),
      ""{ "" &amp; REGEXEXTRACT($C195, ""\(([^)]+)\)"") &amp; "" }""
    )
  )
)
"),"#REF!")</f>
        <v>#REF!</v>
      </c>
      <c r="E195" s="664"/>
      <c r="F195" s="664"/>
      <c r="G195" s="664"/>
      <c r="H195" s="664"/>
      <c r="I195" s="664"/>
      <c r="J195" s="664"/>
      <c r="K195" s="664"/>
      <c r="L195" s="664"/>
      <c r="M195" s="664"/>
      <c r="N195" s="664"/>
      <c r="O195" s="664"/>
      <c r="P195" s="664"/>
      <c r="Q195" s="664"/>
      <c r="R195" s="664"/>
      <c r="S195" s="664"/>
      <c r="T195" s="664"/>
      <c r="U195" s="664"/>
      <c r="V195" s="664"/>
      <c r="W195" s="664"/>
      <c r="X195" s="664"/>
    </row>
    <row r="196">
      <c r="A196" s="661">
        <f t="shared" si="1"/>
        <v>196</v>
      </c>
      <c r="B196" s="662" t="str">
        <f t="shared" si="2"/>
        <v>#REF!</v>
      </c>
      <c r="C196" s="662" t="str">
        <f>IFERROR(__xludf.DUMMYFUNCTION("IF(
  REGEXMATCH(B196, ""^First\(λ - λ\) ∪ Follow\(""),
  ""Follow("" &amp; REGEXEXTRACT(B196, ""Follow\(([^)]+)\)"") &amp; "") ="",
  IF(
    OR(
      REGEXMATCH(B196, ""^First\([^&lt;]""),
      REGEXMATCH(B196, ""^First\(&lt;[^A-Za-z_]"")
    ),
    """",
    IF(
 "&amp;"     CFG!D196=""λ"",
      ""Follow("" &amp; CFG!B196 &amp; "") ="",
      ""First("" &amp; CFG!D196 &amp; "") =""
    )
  )
)
"),"#REF!")</f>
        <v>#REF!</v>
      </c>
      <c r="D196" s="663" t="str">
        <f>IFERROR(__xludf.DUMMYFUNCTION("IF(
  $C196="""",
  ""{ "" &amp;
    IF(
      REGEXMATCH(B196, ""^First\(\)""),
      "")"",
      REGEXEXTRACT(B196, ""^First\(([^ )]+)"")
    )
  &amp; "" }"",
  IF(
    REGEXMATCH($C196, ""^First\(&lt;""),
    VLOOKUP(REGEXEXTRACT($C196, ""\(([^)]+)\)""), 'First"&amp;" Set MacroA'!B:D, 3, FALSE),
    IF(
      REGEXMATCH($C196, ""^Follow\(&lt;""),
      VLOOKUP(REGEXEXTRACT($C196, ""\(([^)]+)\)""), 'Follow Set Macros'!B:D, 3, FALSE),
      ""{ "" &amp; REGEXEXTRACT($C196, ""\(([^)]+)\)"") &amp; "" }""
    )
  )
)
"),"#REF!")</f>
        <v>#REF!</v>
      </c>
      <c r="E196" s="664"/>
      <c r="F196" s="664"/>
      <c r="G196" s="664"/>
      <c r="H196" s="664"/>
      <c r="I196" s="664"/>
      <c r="J196" s="664"/>
      <c r="K196" s="664"/>
      <c r="L196" s="664"/>
      <c r="M196" s="664"/>
      <c r="N196" s="664"/>
      <c r="O196" s="664"/>
      <c r="P196" s="664"/>
      <c r="Q196" s="664"/>
      <c r="R196" s="664"/>
      <c r="S196" s="664"/>
      <c r="T196" s="664"/>
      <c r="U196" s="664"/>
      <c r="V196" s="664"/>
      <c r="W196" s="664"/>
      <c r="X196" s="664"/>
    </row>
    <row r="197">
      <c r="A197" s="661">
        <f t="shared" si="1"/>
        <v>197</v>
      </c>
      <c r="B197" s="662" t="str">
        <f t="shared" si="2"/>
        <v>#REF!</v>
      </c>
      <c r="C197" s="662" t="str">
        <f>IFERROR(__xludf.DUMMYFUNCTION("IF(
  REGEXMATCH(B197, ""^First\(λ - λ\) ∪ Follow\(""),
  ""Follow("" &amp; REGEXEXTRACT(B197, ""Follow\(([^)]+)\)"") &amp; "") ="",
  IF(
    OR(
      REGEXMATCH(B197, ""^First\([^&lt;]""),
      REGEXMATCH(B197, ""^First\(&lt;[^A-Za-z_]"")
    ),
    """",
    IF(
 "&amp;"     CFG!D197=""λ"",
      ""Follow("" &amp; CFG!B197 &amp; "") ="",
      ""First("" &amp; CFG!D197 &amp; "") =""
    )
  )
)
"),"#REF!")</f>
        <v>#REF!</v>
      </c>
      <c r="D197" s="663" t="str">
        <f>IFERROR(__xludf.DUMMYFUNCTION("IF(
  $C197="""",
  ""{ "" &amp;
    IF(
      REGEXMATCH(B197, ""^First\(\)""),
      "")"",
      REGEXEXTRACT(B197, ""^First\(([^ )]+)"")
    )
  &amp; "" }"",
  IF(
    REGEXMATCH($C197, ""^First\(&lt;""),
    VLOOKUP(REGEXEXTRACT($C197, ""\(([^)]+)\)""), 'First"&amp;" Set MacroA'!B:D, 3, FALSE),
    IF(
      REGEXMATCH($C197, ""^Follow\(&lt;""),
      VLOOKUP(REGEXEXTRACT($C197, ""\(([^)]+)\)""), 'Follow Set Macros'!B:D, 3, FALSE),
      ""{ "" &amp; REGEXEXTRACT($C197, ""\(([^)]+)\)"") &amp; "" }""
    )
  )
)
"),"#REF!")</f>
        <v>#REF!</v>
      </c>
      <c r="E197" s="664"/>
      <c r="F197" s="664"/>
      <c r="G197" s="664"/>
      <c r="H197" s="664"/>
      <c r="I197" s="664"/>
      <c r="J197" s="664"/>
      <c r="K197" s="664"/>
      <c r="L197" s="664"/>
      <c r="M197" s="664"/>
      <c r="N197" s="664"/>
      <c r="O197" s="664"/>
      <c r="P197" s="664"/>
      <c r="Q197" s="664"/>
      <c r="R197" s="664"/>
      <c r="S197" s="664"/>
      <c r="T197" s="664"/>
      <c r="U197" s="664"/>
      <c r="V197" s="664"/>
      <c r="W197" s="664"/>
      <c r="X197" s="664"/>
    </row>
    <row r="198">
      <c r="A198" s="661">
        <f t="shared" si="1"/>
        <v>198</v>
      </c>
      <c r="B198" s="662" t="str">
        <f t="shared" si="2"/>
        <v>#REF!</v>
      </c>
      <c r="C198" s="662" t="str">
        <f>IFERROR(__xludf.DUMMYFUNCTION("IF(
  REGEXMATCH(B198, ""^First\(λ - λ\) ∪ Follow\(""),
  ""Follow("" &amp; REGEXEXTRACT(B198, ""Follow\(([^)]+)\)"") &amp; "") ="",
  IF(
    OR(
      REGEXMATCH(B198, ""^First\([^&lt;]""),
      REGEXMATCH(B198, ""^First\(&lt;[^A-Za-z_]"")
    ),
    """",
    IF(
 "&amp;"     CFG!D198=""λ"",
      ""Follow("" &amp; CFG!B198 &amp; "") ="",
      ""First("" &amp; CFG!D198 &amp; "") =""
    )
  )
)
"),"#REF!")</f>
        <v>#REF!</v>
      </c>
      <c r="D198" s="663" t="str">
        <f>IFERROR(__xludf.DUMMYFUNCTION("IF(
  $C198="""",
  ""{ "" &amp;
    IF(
      REGEXMATCH(B198, ""^First\(\)""),
      "")"",
      REGEXEXTRACT(B198, ""^First\(([^ )]+)"")
    )
  &amp; "" }"",
  IF(
    REGEXMATCH($C198, ""^First\(&lt;""),
    VLOOKUP(REGEXEXTRACT($C198, ""\(([^)]+)\)""), 'First"&amp;" Set MacroA'!B:D, 3, FALSE),
    IF(
      REGEXMATCH($C198, ""^Follow\(&lt;""),
      VLOOKUP(REGEXEXTRACT($C198, ""\(([^)]+)\)""), 'Follow Set Macros'!B:D, 3, FALSE),
      ""{ "" &amp; REGEXEXTRACT($C198, ""\(([^)]+)\)"") &amp; "" }""
    )
  )
)
"),"#REF!")</f>
        <v>#REF!</v>
      </c>
      <c r="E198" s="664"/>
      <c r="F198" s="664"/>
      <c r="G198" s="664"/>
      <c r="H198" s="664"/>
      <c r="I198" s="664"/>
      <c r="J198" s="664"/>
      <c r="K198" s="664"/>
      <c r="L198" s="664"/>
      <c r="M198" s="664"/>
      <c r="N198" s="664"/>
      <c r="O198" s="664"/>
      <c r="P198" s="664"/>
      <c r="Q198" s="664"/>
      <c r="R198" s="664"/>
      <c r="S198" s="664"/>
      <c r="T198" s="664"/>
      <c r="U198" s="664"/>
      <c r="V198" s="664"/>
      <c r="W198" s="664"/>
      <c r="X198" s="664"/>
    </row>
    <row r="199">
      <c r="A199" s="661">
        <f t="shared" si="1"/>
        <v>199</v>
      </c>
      <c r="B199" s="662" t="str">
        <f t="shared" si="2"/>
        <v>#REF!</v>
      </c>
      <c r="C199" s="662" t="str">
        <f>IFERROR(__xludf.DUMMYFUNCTION("IF(
  REGEXMATCH(B199, ""^First\(λ - λ\) ∪ Follow\(""),
  ""Follow("" &amp; REGEXEXTRACT(B199, ""Follow\(([^)]+)\)"") &amp; "") ="",
  IF(
    OR(
      REGEXMATCH(B199, ""^First\([^&lt;]""),
      REGEXMATCH(B199, ""^First\(&lt;[^A-Za-z_]"")
    ),
    """",
    IF(
 "&amp;"     CFG!D199=""λ"",
      ""Follow("" &amp; CFG!B199 &amp; "") ="",
      ""First("" &amp; CFG!D199 &amp; "") =""
    )
  )
)
"),"#REF!")</f>
        <v>#REF!</v>
      </c>
      <c r="D199" s="663" t="str">
        <f>IFERROR(__xludf.DUMMYFUNCTION("IF(
  $C199="""",
  ""{ "" &amp;
    IF(
      REGEXMATCH(B199, ""^First\(\)""),
      "")"",
      REGEXEXTRACT(B199, ""^First\(([^ )]+)"")
    )
  &amp; "" }"",
  IF(
    REGEXMATCH($C199, ""^First\(&lt;""),
    VLOOKUP(REGEXEXTRACT($C199, ""\(([^)]+)\)""), 'First"&amp;" Set MacroA'!B:D, 3, FALSE),
    IF(
      REGEXMATCH($C199, ""^Follow\(&lt;""),
      VLOOKUP(REGEXEXTRACT($C199, ""\(([^)]+)\)""), 'Follow Set Macros'!B:D, 3, FALSE),
      ""{ "" &amp; REGEXEXTRACT($C199, ""\(([^)]+)\)"") &amp; "" }""
    )
  )
)
"),"#REF!")</f>
        <v>#REF!</v>
      </c>
      <c r="E199" s="664"/>
      <c r="F199" s="664"/>
      <c r="G199" s="664"/>
      <c r="H199" s="664"/>
      <c r="I199" s="664"/>
      <c r="J199" s="664"/>
      <c r="K199" s="664"/>
      <c r="L199" s="664"/>
      <c r="M199" s="664"/>
      <c r="N199" s="664"/>
      <c r="O199" s="664"/>
      <c r="P199" s="664"/>
      <c r="Q199" s="664"/>
      <c r="R199" s="664"/>
      <c r="S199" s="664"/>
      <c r="T199" s="664"/>
      <c r="U199" s="664"/>
      <c r="V199" s="664"/>
      <c r="W199" s="664"/>
      <c r="X199" s="664"/>
    </row>
    <row r="200">
      <c r="A200" s="661">
        <f t="shared" si="1"/>
        <v>200</v>
      </c>
      <c r="B200" s="662" t="str">
        <f t="shared" si="2"/>
        <v>#REF!</v>
      </c>
      <c r="C200" s="662" t="str">
        <f>IFERROR(__xludf.DUMMYFUNCTION("IF(
  REGEXMATCH(B200, ""^First\(λ - λ\) ∪ Follow\(""),
  ""Follow("" &amp; REGEXEXTRACT(B200, ""Follow\(([^)]+)\)"") &amp; "") ="",
  IF(
    OR(
      REGEXMATCH(B200, ""^First\([^&lt;]""),
      REGEXMATCH(B200, ""^First\(&lt;[^A-Za-z_]"")
    ),
    """",
    IF(
 "&amp;"     CFG!D200=""λ"",
      ""Follow("" &amp; CFG!B200 &amp; "") ="",
      ""First("" &amp; CFG!D200 &amp; "") =""
    )
  )
)
"),"#REF!")</f>
        <v>#REF!</v>
      </c>
      <c r="D200" s="663" t="str">
        <f>IFERROR(__xludf.DUMMYFUNCTION("IF(
  $C200="""",
  ""{ "" &amp;
    IF(
      REGEXMATCH(B200, ""^First\(\)""),
      "")"",
      REGEXEXTRACT(B200, ""^First\(([^ )]+)"")
    )
  &amp; "" }"",
  IF(
    REGEXMATCH($C200, ""^First\(&lt;""),
    VLOOKUP(REGEXEXTRACT($C200, ""\(([^)]+)\)""), 'First"&amp;" Set MacroA'!B:D, 3, FALSE),
    IF(
      REGEXMATCH($C200, ""^Follow\(&lt;""),
      VLOOKUP(REGEXEXTRACT($C200, ""\(([^)]+)\)""), 'Follow Set Macros'!B:D, 3, FALSE),
      ""{ "" &amp; REGEXEXTRACT($C200, ""\(([^)]+)\)"") &amp; "" }""
    )
  )
)
"),"#REF!")</f>
        <v>#REF!</v>
      </c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</row>
    <row r="201">
      <c r="A201" s="661">
        <f t="shared" si="1"/>
        <v>201</v>
      </c>
      <c r="B201" s="662" t="str">
        <f t="shared" si="2"/>
        <v>#REF!</v>
      </c>
      <c r="C201" s="662" t="str">
        <f>IFERROR(__xludf.DUMMYFUNCTION("IF(
  REGEXMATCH(B201, ""^First\(λ - λ\) ∪ Follow\(""),
  ""Follow("" &amp; REGEXEXTRACT(B201, ""Follow\(([^)]+)\)"") &amp; "") ="",
  IF(
    OR(
      REGEXMATCH(B201, ""^First\([^&lt;]""),
      REGEXMATCH(B201, ""^First\(&lt;[^A-Za-z_]"")
    ),
    """",
    IF(
 "&amp;"     CFG!D201=""λ"",
      ""Follow("" &amp; CFG!B201 &amp; "") ="",
      ""First("" &amp; CFG!D201 &amp; "") =""
    )
  )
)
"),"#REF!")</f>
        <v>#REF!</v>
      </c>
      <c r="D201" s="663" t="str">
        <f>IFERROR(__xludf.DUMMYFUNCTION("IF(
  $C201="""",
  ""{ "" &amp;
    IF(
      REGEXMATCH(B201, ""^First\(\)""),
      "")"",
      REGEXEXTRACT(B201, ""^First\(([^ )]+)"")
    )
  &amp; "" }"",
  IF(
    REGEXMATCH($C201, ""^First\(&lt;""),
    VLOOKUP(REGEXEXTRACT($C201, ""\(([^)]+)\)""), 'First"&amp;" Set MacroA'!B:D, 3, FALSE),
    IF(
      REGEXMATCH($C201, ""^Follow\(&lt;""),
      VLOOKUP(REGEXEXTRACT($C201, ""\(([^)]+)\)""), 'Follow Set Macros'!B:D, 3, FALSE),
      ""{ "" &amp; REGEXEXTRACT($C201, ""\(([^)]+)\)"") &amp; "" }""
    )
  )
)
"),"#REF!")</f>
        <v>#REF!</v>
      </c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</row>
    <row r="202">
      <c r="A202" s="661">
        <f t="shared" si="1"/>
        <v>202</v>
      </c>
      <c r="B202" s="662" t="str">
        <f t="shared" si="2"/>
        <v>#REF!</v>
      </c>
      <c r="C202" s="662" t="str">
        <f>IFERROR(__xludf.DUMMYFUNCTION("IF(
  REGEXMATCH(B202, ""^First\(λ - λ\) ∪ Follow\(""),
  ""Follow("" &amp; REGEXEXTRACT(B202, ""Follow\(([^)]+)\)"") &amp; "") ="",
  IF(
    OR(
      REGEXMATCH(B202, ""^First\([^&lt;]""),
      REGEXMATCH(B202, ""^First\(&lt;[^A-Za-z_]"")
    ),
    """",
    IF(
 "&amp;"     CFG!D202=""λ"",
      ""Follow("" &amp; CFG!B202 &amp; "") ="",
      ""First("" &amp; CFG!D202 &amp; "") =""
    )
  )
)
"),"#REF!")</f>
        <v>#REF!</v>
      </c>
      <c r="D202" s="663" t="str">
        <f>IFERROR(__xludf.DUMMYFUNCTION("IF(
  $C202="""",
  ""{ "" &amp;
    IF(
      REGEXMATCH(B202, ""^First\(\)""),
      "")"",
      REGEXEXTRACT(B202, ""^First\(([^ )]+)"")
    )
  &amp; "" }"",
  IF(
    REGEXMATCH($C202, ""^First\(&lt;""),
    VLOOKUP(REGEXEXTRACT($C202, ""\(([^)]+)\)""), 'First"&amp;" Set MacroA'!B:D, 3, FALSE),
    IF(
      REGEXMATCH($C202, ""^Follow\(&lt;""),
      VLOOKUP(REGEXEXTRACT($C202, ""\(([^)]+)\)""), 'Follow Set Macros'!B:D, 3, FALSE),
      ""{ "" &amp; REGEXEXTRACT($C202, ""\(([^)]+)\)"") &amp; "" }""
    )
  )
)
"),"#REF!")</f>
        <v>#REF!</v>
      </c>
      <c r="E202" s="664"/>
      <c r="F202" s="664"/>
      <c r="G202" s="664"/>
      <c r="H202" s="664"/>
      <c r="I202" s="664"/>
      <c r="J202" s="664"/>
      <c r="K202" s="664"/>
      <c r="L202" s="664"/>
      <c r="M202" s="664"/>
      <c r="N202" s="664"/>
      <c r="O202" s="664"/>
      <c r="P202" s="664"/>
      <c r="Q202" s="664"/>
      <c r="R202" s="664"/>
      <c r="S202" s="664"/>
      <c r="T202" s="664"/>
      <c r="U202" s="664"/>
      <c r="V202" s="664"/>
      <c r="W202" s="664"/>
      <c r="X202" s="664"/>
    </row>
    <row r="203">
      <c r="A203" s="661">
        <f t="shared" si="1"/>
        <v>203</v>
      </c>
      <c r="B203" s="662" t="str">
        <f t="shared" si="2"/>
        <v>#REF!</v>
      </c>
      <c r="C203" s="662" t="str">
        <f>IFERROR(__xludf.DUMMYFUNCTION("IF(
  REGEXMATCH(B203, ""^First\(λ - λ\) ∪ Follow\(""),
  ""Follow("" &amp; REGEXEXTRACT(B203, ""Follow\(([^)]+)\)"") &amp; "") ="",
  IF(
    OR(
      REGEXMATCH(B203, ""^First\([^&lt;]""),
      REGEXMATCH(B203, ""^First\(&lt;[^A-Za-z_]"")
    ),
    """",
    IF(
 "&amp;"     CFG!D203=""λ"",
      ""Follow("" &amp; CFG!B203 &amp; "") ="",
      ""First("" &amp; CFG!D203 &amp; "") =""
    )
  )
)
"),"#REF!")</f>
        <v>#REF!</v>
      </c>
      <c r="D203" s="663" t="str">
        <f>IFERROR(__xludf.DUMMYFUNCTION("IF(
  $C203="""",
  ""{ "" &amp;
    IF(
      REGEXMATCH(B203, ""^First\(\)""),
      "")"",
      REGEXEXTRACT(B203, ""^First\(([^ )]+)"")
    )
  &amp; "" }"",
  IF(
    REGEXMATCH($C203, ""^First\(&lt;""),
    VLOOKUP(REGEXEXTRACT($C203, ""\(([^)]+)\)""), 'First"&amp;" Set MacroA'!B:D, 3, FALSE),
    IF(
      REGEXMATCH($C203, ""^Follow\(&lt;""),
      VLOOKUP(REGEXEXTRACT($C203, ""\(([^)]+)\)""), 'Follow Set Macros'!B:D, 3, FALSE),
      ""{ "" &amp; REGEXEXTRACT($C203, ""\(([^)]+)\)"") &amp; "" }""
    )
  )
)
"),"#REF!")</f>
        <v>#REF!</v>
      </c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</row>
    <row r="204">
      <c r="A204" s="661">
        <f t="shared" si="1"/>
        <v>204</v>
      </c>
      <c r="B204" s="662" t="str">
        <f t="shared" si="2"/>
        <v>#REF!</v>
      </c>
      <c r="C204" s="662" t="str">
        <f>IFERROR(__xludf.DUMMYFUNCTION("IF(
  REGEXMATCH(B204, ""^First\(λ - λ\) ∪ Follow\(""),
  ""Follow("" &amp; REGEXEXTRACT(B204, ""Follow\(([^)]+)\)"") &amp; "") ="",
  IF(
    OR(
      REGEXMATCH(B204, ""^First\([^&lt;]""),
      REGEXMATCH(B204, ""^First\(&lt;[^A-Za-z_]"")
    ),
    """",
    IF(
 "&amp;"     CFG!D204=""λ"",
      ""Follow("" &amp; CFG!B204 &amp; "") ="",
      ""First("" &amp; CFG!D204 &amp; "") =""
    )
  )
)
"),"#REF!")</f>
        <v>#REF!</v>
      </c>
      <c r="D204" s="663" t="str">
        <f>IFERROR(__xludf.DUMMYFUNCTION("IF(
  $C204="""",
  ""{ "" &amp;
    IF(
      REGEXMATCH(B204, ""^First\(\)""),
      "")"",
      REGEXEXTRACT(B204, ""^First\(([^ )]+)"")
    )
  &amp; "" }"",
  IF(
    REGEXMATCH($C204, ""^First\(&lt;""),
    VLOOKUP(REGEXEXTRACT($C204, ""\(([^)]+)\)""), 'First"&amp;" Set MacroA'!B:D, 3, FALSE),
    IF(
      REGEXMATCH($C204, ""^Follow\(&lt;""),
      VLOOKUP(REGEXEXTRACT($C204, ""\(([^)]+)\)""), 'Follow Set Macros'!B:D, 3, FALSE),
      ""{ "" &amp; REGEXEXTRACT($C204, ""\(([^)]+)\)"") &amp; "" }""
    )
  )
)
"),"#REF!")</f>
        <v>#REF!</v>
      </c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</row>
    <row r="205">
      <c r="A205" s="661">
        <f t="shared" si="1"/>
        <v>205</v>
      </c>
      <c r="B205" s="662" t="str">
        <f t="shared" si="2"/>
        <v>#REF!</v>
      </c>
      <c r="C205" s="662" t="str">
        <f>IFERROR(__xludf.DUMMYFUNCTION("IF(
  REGEXMATCH(B205, ""^First\(λ - λ\) ∪ Follow\(""),
  ""Follow("" &amp; REGEXEXTRACT(B205, ""Follow\(([^)]+)\)"") &amp; "") ="",
  IF(
    OR(
      REGEXMATCH(B205, ""^First\([^&lt;]""),
      REGEXMATCH(B205, ""^First\(&lt;[^A-Za-z_]"")
    ),
    """",
    IF(
 "&amp;"     CFG!D205=""λ"",
      ""Follow("" &amp; CFG!B205 &amp; "") ="",
      ""First("" &amp; CFG!D205 &amp; "") =""
    )
  )
)
"),"#REF!")</f>
        <v>#REF!</v>
      </c>
      <c r="D205" s="663" t="str">
        <f>IFERROR(__xludf.DUMMYFUNCTION("IF(
  $C205="""",
  ""{ "" &amp;
    IF(
      REGEXMATCH(B205, ""^First\(\)""),
      "")"",
      REGEXEXTRACT(B205, ""^First\(([^ )]+)"")
    )
  &amp; "" }"",
  IF(
    REGEXMATCH($C205, ""^First\(&lt;""),
    VLOOKUP(REGEXEXTRACT($C205, ""\(([^)]+)\)""), 'First"&amp;" Set MacroA'!B:D, 3, FALSE),
    IF(
      REGEXMATCH($C205, ""^Follow\(&lt;""),
      VLOOKUP(REGEXEXTRACT($C205, ""\(([^)]+)\)""), 'Follow Set Macros'!B:D, 3, FALSE),
      ""{ "" &amp; REGEXEXTRACT($C205, ""\(([^)]+)\)"") &amp; "" }""
    )
  )
)
"),"#REF!")</f>
        <v>#REF!</v>
      </c>
      <c r="E205" s="664"/>
      <c r="F205" s="664"/>
      <c r="G205" s="664"/>
      <c r="H205" s="664"/>
      <c r="I205" s="664"/>
      <c r="J205" s="664"/>
      <c r="K205" s="664"/>
      <c r="L205" s="664"/>
      <c r="M205" s="664"/>
      <c r="N205" s="664"/>
      <c r="O205" s="664"/>
      <c r="P205" s="664"/>
      <c r="Q205" s="664"/>
      <c r="R205" s="664"/>
      <c r="S205" s="664"/>
      <c r="T205" s="664"/>
      <c r="U205" s="664"/>
      <c r="V205" s="664"/>
      <c r="W205" s="664"/>
      <c r="X205" s="664"/>
    </row>
    <row r="206">
      <c r="A206" s="661">
        <f t="shared" si="1"/>
        <v>206</v>
      </c>
      <c r="B206" s="662" t="str">
        <f t="shared" si="2"/>
        <v>#REF!</v>
      </c>
      <c r="C206" s="662" t="str">
        <f>IFERROR(__xludf.DUMMYFUNCTION("IF(
  REGEXMATCH(B206, ""^First\(λ - λ\) ∪ Follow\(""),
  ""Follow("" &amp; REGEXEXTRACT(B206, ""Follow\(([^)]+)\)"") &amp; "") ="",
  IF(
    OR(
      REGEXMATCH(B206, ""^First\([^&lt;]""),
      REGEXMATCH(B206, ""^First\(&lt;[^A-Za-z_]"")
    ),
    """",
    IF(
 "&amp;"     CFG!D206=""λ"",
      ""Follow("" &amp; CFG!B206 &amp; "") ="",
      ""First("" &amp; CFG!D206 &amp; "") =""
    )
  )
)
"),"#REF!")</f>
        <v>#REF!</v>
      </c>
      <c r="D206" s="663" t="str">
        <f>IFERROR(__xludf.DUMMYFUNCTION("IF(
  $C206="""",
  ""{ "" &amp;
    IF(
      REGEXMATCH(B206, ""^First\(\)""),
      "")"",
      REGEXEXTRACT(B206, ""^First\(([^ )]+)"")
    )
  &amp; "" }"",
  IF(
    REGEXMATCH($C206, ""^First\(&lt;""),
    VLOOKUP(REGEXEXTRACT($C206, ""\(([^)]+)\)""), 'First"&amp;" Set MacroA'!B:D, 3, FALSE),
    IF(
      REGEXMATCH($C206, ""^Follow\(&lt;""),
      VLOOKUP(REGEXEXTRACT($C206, ""\(([^)]+)\)""), 'Follow Set Macros'!B:D, 3, FALSE),
      ""{ "" &amp; REGEXEXTRACT($C206, ""\(([^)]+)\)"") &amp; "" }""
    )
  )
)
"),"#REF!")</f>
        <v>#REF!</v>
      </c>
      <c r="E206" s="664"/>
      <c r="F206" s="664"/>
      <c r="G206" s="664"/>
      <c r="H206" s="664"/>
      <c r="I206" s="664"/>
      <c r="J206" s="664"/>
      <c r="K206" s="664"/>
      <c r="L206" s="664"/>
      <c r="M206" s="664"/>
      <c r="N206" s="664"/>
      <c r="O206" s="664"/>
      <c r="P206" s="664"/>
      <c r="Q206" s="664"/>
      <c r="R206" s="664"/>
      <c r="S206" s="664"/>
      <c r="T206" s="664"/>
      <c r="U206" s="664"/>
      <c r="V206" s="664"/>
      <c r="W206" s="664"/>
      <c r="X206" s="664"/>
    </row>
    <row r="207">
      <c r="A207" s="661">
        <f t="shared" si="1"/>
        <v>207</v>
      </c>
      <c r="B207" s="662" t="str">
        <f t="shared" si="2"/>
        <v>#REF!</v>
      </c>
      <c r="C207" s="662" t="str">
        <f>IFERROR(__xludf.DUMMYFUNCTION("IF(
  REGEXMATCH(B207, ""^First\(λ - λ\) ∪ Follow\(""),
  ""Follow("" &amp; REGEXEXTRACT(B207, ""Follow\(([^)]+)\)"") &amp; "") ="",
  IF(
    OR(
      REGEXMATCH(B207, ""^First\([^&lt;]""),
      REGEXMATCH(B207, ""^First\(&lt;[^A-Za-z_]"")
    ),
    """",
    IF(
 "&amp;"     CFG!D207=""λ"",
      ""Follow("" &amp; CFG!B207 &amp; "") ="",
      ""First("" &amp; CFG!D207 &amp; "") =""
    )
  )
)
"),"#REF!")</f>
        <v>#REF!</v>
      </c>
      <c r="D207" s="663" t="str">
        <f>IFERROR(__xludf.DUMMYFUNCTION("IF(
  $C207="""",
  ""{ "" &amp;
    IF(
      REGEXMATCH(B207, ""^First\(\)""),
      "")"",
      REGEXEXTRACT(B207, ""^First\(([^ )]+)"")
    )
  &amp; "" }"",
  IF(
    REGEXMATCH($C207, ""^First\(&lt;""),
    VLOOKUP(REGEXEXTRACT($C207, ""\(([^)]+)\)""), 'First"&amp;" Set MacroA'!B:D, 3, FALSE),
    IF(
      REGEXMATCH($C207, ""^Follow\(&lt;""),
      VLOOKUP(REGEXEXTRACT($C207, ""\(([^)]+)\)""), 'Follow Set Macros'!B:D, 3, FALSE),
      ""{ "" &amp; REGEXEXTRACT($C207, ""\(([^)]+)\)"") &amp; "" }""
    )
  )
)
"),"#REF!")</f>
        <v>#REF!</v>
      </c>
      <c r="E207" s="664"/>
      <c r="F207" s="664"/>
      <c r="G207" s="664"/>
      <c r="H207" s="664"/>
      <c r="I207" s="664"/>
      <c r="J207" s="664"/>
      <c r="K207" s="664"/>
      <c r="L207" s="664"/>
      <c r="M207" s="664"/>
      <c r="N207" s="664"/>
      <c r="O207" s="664"/>
      <c r="P207" s="664"/>
      <c r="Q207" s="664"/>
      <c r="R207" s="664"/>
      <c r="S207" s="664"/>
      <c r="T207" s="664"/>
      <c r="U207" s="664"/>
      <c r="V207" s="664"/>
      <c r="W207" s="664"/>
      <c r="X207" s="664"/>
    </row>
    <row r="208">
      <c r="A208" s="661">
        <f t="shared" si="1"/>
        <v>208</v>
      </c>
      <c r="B208" s="662" t="str">
        <f t="shared" si="2"/>
        <v>#REF!</v>
      </c>
      <c r="C208" s="662" t="str">
        <f>IFERROR(__xludf.DUMMYFUNCTION("IF(
  REGEXMATCH(B208, ""^First\(λ - λ\) ∪ Follow\(""),
  ""Follow("" &amp; REGEXEXTRACT(B208, ""Follow\(([^)]+)\)"") &amp; "") ="",
  IF(
    OR(
      REGEXMATCH(B208, ""^First\([^&lt;]""),
      REGEXMATCH(B208, ""^First\(&lt;[^A-Za-z_]"")
    ),
    """",
    IF(
 "&amp;"     CFG!D208=""λ"",
      ""Follow("" &amp; CFG!B208 &amp; "") ="",
      ""First("" &amp; CFG!D208 &amp; "") =""
    )
  )
)
"),"#REF!")</f>
        <v>#REF!</v>
      </c>
      <c r="D208" s="663" t="str">
        <f>IFERROR(__xludf.DUMMYFUNCTION("IF(
  $C208="""",
  ""{ "" &amp;
    IF(
      REGEXMATCH(B208, ""^First\(\)""),
      "")"",
      REGEXEXTRACT(B208, ""^First\(([^ )]+)"")
    )
  &amp; "" }"",
  IF(
    REGEXMATCH($C208, ""^First\(&lt;""),
    VLOOKUP(REGEXEXTRACT($C208, ""\(([^)]+)\)""), 'First"&amp;" Set MacroA'!B:D, 3, FALSE),
    IF(
      REGEXMATCH($C208, ""^Follow\(&lt;""),
      VLOOKUP(REGEXEXTRACT($C208, ""\(([^)]+)\)""), 'Follow Set Macros'!B:D, 3, FALSE),
      ""{ "" &amp; REGEXEXTRACT($C208, ""\(([^)]+)\)"") &amp; "" }""
    )
  )
)
"),"#REF!")</f>
        <v>#REF!</v>
      </c>
      <c r="E208" s="664"/>
      <c r="F208" s="664"/>
      <c r="G208" s="664"/>
      <c r="H208" s="664"/>
      <c r="I208" s="664"/>
      <c r="J208" s="664"/>
      <c r="K208" s="664"/>
      <c r="L208" s="664"/>
      <c r="M208" s="664"/>
      <c r="N208" s="664"/>
      <c r="O208" s="664"/>
      <c r="P208" s="664"/>
      <c r="Q208" s="664"/>
      <c r="R208" s="664"/>
      <c r="S208" s="664"/>
      <c r="T208" s="664"/>
      <c r="U208" s="664"/>
      <c r="V208" s="664"/>
      <c r="W208" s="664"/>
      <c r="X208" s="664"/>
    </row>
    <row r="209">
      <c r="A209" s="661">
        <f t="shared" si="1"/>
        <v>209</v>
      </c>
      <c r="B209" s="662" t="str">
        <f t="shared" si="2"/>
        <v>#REF!</v>
      </c>
      <c r="C209" s="662" t="str">
        <f>IFERROR(__xludf.DUMMYFUNCTION("IF(
  REGEXMATCH(B209, ""^First\(λ - λ\) ∪ Follow\(""),
  ""Follow("" &amp; REGEXEXTRACT(B209, ""Follow\(([^)]+)\)"") &amp; "") ="",
  IF(
    OR(
      REGEXMATCH(B209, ""^First\([^&lt;]""),
      REGEXMATCH(B209, ""^First\(&lt;[^A-Za-z_]"")
    ),
    """",
    IF(
 "&amp;"     CFG!D209=""λ"",
      ""Follow("" &amp; CFG!B209 &amp; "") ="",
      ""First("" &amp; CFG!D209 &amp; "") =""
    )
  )
)
"),"#REF!")</f>
        <v>#REF!</v>
      </c>
      <c r="D209" s="663" t="str">
        <f>IFERROR(__xludf.DUMMYFUNCTION("IF(
  $C209="""",
  ""{ "" &amp;
    IF(
      REGEXMATCH(B209, ""^First\(\)""),
      "")"",
      REGEXEXTRACT(B209, ""^First\(([^ )]+)"")
    )
  &amp; "" }"",
  IF(
    REGEXMATCH($C209, ""^First\(&lt;""),
    VLOOKUP(REGEXEXTRACT($C209, ""\(([^)]+)\)""), 'First"&amp;" Set MacroA'!B:D, 3, FALSE),
    IF(
      REGEXMATCH($C209, ""^Follow\(&lt;""),
      VLOOKUP(REGEXEXTRACT($C209, ""\(([^)]+)\)""), 'Follow Set Macros'!B:D, 3, FALSE),
      ""{ "" &amp; REGEXEXTRACT($C209, ""\(([^)]+)\)"") &amp; "" }""
    )
  )
)
"),"#REF!")</f>
        <v>#REF!</v>
      </c>
      <c r="E209" s="664"/>
      <c r="F209" s="664"/>
      <c r="G209" s="664"/>
      <c r="H209" s="664"/>
      <c r="I209" s="664"/>
      <c r="J209" s="664"/>
      <c r="K209" s="664"/>
      <c r="L209" s="664"/>
      <c r="M209" s="664"/>
      <c r="N209" s="664"/>
      <c r="O209" s="664"/>
      <c r="P209" s="664"/>
      <c r="Q209" s="664"/>
      <c r="R209" s="664"/>
      <c r="S209" s="664"/>
      <c r="T209" s="664"/>
      <c r="U209" s="664"/>
      <c r="V209" s="664"/>
      <c r="W209" s="664"/>
      <c r="X209" s="664"/>
    </row>
    <row r="210">
      <c r="A210" s="661">
        <f t="shared" si="1"/>
        <v>210</v>
      </c>
      <c r="B210" s="662" t="str">
        <f t="shared" si="2"/>
        <v>#REF!</v>
      </c>
      <c r="C210" s="662" t="str">
        <f>IFERROR(__xludf.DUMMYFUNCTION("IF(
  REGEXMATCH(B210, ""^First\(λ - λ\) ∪ Follow\(""),
  ""Follow("" &amp; REGEXEXTRACT(B210, ""Follow\(([^)]+)\)"") &amp; "") ="",
  IF(
    OR(
      REGEXMATCH(B210, ""^First\([^&lt;]""),
      REGEXMATCH(B210, ""^First\(&lt;[^A-Za-z_]"")
    ),
    """",
    IF(
 "&amp;"     CFG!D210=""λ"",
      ""Follow("" &amp; CFG!B210 &amp; "") ="",
      ""First("" &amp; CFG!D210 &amp; "") =""
    )
  )
)
"),"#REF!")</f>
        <v>#REF!</v>
      </c>
      <c r="D210" s="663" t="str">
        <f>IFERROR(__xludf.DUMMYFUNCTION("IF(
  $C210="""",
  ""{ "" &amp;
    IF(
      REGEXMATCH(B210, ""^First\(\)""),
      "")"",
      REGEXEXTRACT(B210, ""^First\(([^ )]+)"")
    )
  &amp; "" }"",
  IF(
    REGEXMATCH($C210, ""^First\(&lt;""),
    VLOOKUP(REGEXEXTRACT($C210, ""\(([^)]+)\)""), 'First"&amp;" Set MacroA'!B:D, 3, FALSE),
    IF(
      REGEXMATCH($C210, ""^Follow\(&lt;""),
      VLOOKUP(REGEXEXTRACT($C210, ""\(([^)]+)\)""), 'Follow Set Macros'!B:D, 3, FALSE),
      ""{ "" &amp; REGEXEXTRACT($C210, ""\(([^)]+)\)"") &amp; "" }""
    )
  )
)
"),"#REF!")</f>
        <v>#REF!</v>
      </c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</row>
    <row r="211">
      <c r="A211" s="661">
        <f t="shared" si="1"/>
        <v>211</v>
      </c>
      <c r="B211" s="662" t="str">
        <f t="shared" si="2"/>
        <v>#REF!</v>
      </c>
      <c r="C211" s="662" t="str">
        <f>IFERROR(__xludf.DUMMYFUNCTION("IF(
  REGEXMATCH(B211, ""^First\(λ - λ\) ∪ Follow\(""),
  ""Follow("" &amp; REGEXEXTRACT(B211, ""Follow\(([^)]+)\)"") &amp; "") ="",
  IF(
    OR(
      REGEXMATCH(B211, ""^First\([^&lt;]""),
      REGEXMATCH(B211, ""^First\(&lt;[^A-Za-z_]"")
    ),
    """",
    IF(
 "&amp;"     CFG!D211=""λ"",
      ""Follow("" &amp; CFG!B211 &amp; "") ="",
      ""First("" &amp; CFG!D211 &amp; "") =""
    )
  )
)
"),"#REF!")</f>
        <v>#REF!</v>
      </c>
      <c r="D211" s="663" t="str">
        <f>IFERROR(__xludf.DUMMYFUNCTION("IF(
  $C211="""",
  ""{ "" &amp;
    IF(
      REGEXMATCH(B211, ""^First\(\)""),
      "")"",
      REGEXEXTRACT(B211, ""^First\(([^ )]+)"")
    )
  &amp; "" }"",
  IF(
    REGEXMATCH($C211, ""^First\(&lt;""),
    VLOOKUP(REGEXEXTRACT($C211, ""\(([^)]+)\)""), 'First"&amp;" Set MacroA'!B:D, 3, FALSE),
    IF(
      REGEXMATCH($C211, ""^Follow\(&lt;""),
      VLOOKUP(REGEXEXTRACT($C211, ""\(([^)]+)\)""), 'Follow Set Macros'!B:D, 3, FALSE),
      ""{ "" &amp; REGEXEXTRACT($C211, ""\(([^)]+)\)"") &amp; "" }""
    )
  )
)
"),"#REF!")</f>
        <v>#REF!</v>
      </c>
      <c r="E211" s="664"/>
      <c r="F211" s="664"/>
      <c r="G211" s="664"/>
      <c r="H211" s="664"/>
      <c r="I211" s="664"/>
      <c r="J211" s="664"/>
      <c r="K211" s="664"/>
      <c r="L211" s="664"/>
      <c r="M211" s="664"/>
      <c r="N211" s="664"/>
      <c r="O211" s="664"/>
      <c r="P211" s="664"/>
      <c r="Q211" s="664"/>
      <c r="R211" s="664"/>
      <c r="S211" s="664"/>
      <c r="T211" s="664"/>
      <c r="U211" s="664"/>
      <c r="V211" s="664"/>
      <c r="W211" s="664"/>
      <c r="X211" s="664"/>
    </row>
    <row r="212">
      <c r="A212" s="661">
        <f t="shared" si="1"/>
        <v>212</v>
      </c>
      <c r="B212" s="662" t="str">
        <f t="shared" si="2"/>
        <v>#REF!</v>
      </c>
      <c r="C212" s="662" t="str">
        <f>IFERROR(__xludf.DUMMYFUNCTION("IF(
  REGEXMATCH(B212, ""^First\(λ - λ\) ∪ Follow\(""),
  ""Follow("" &amp; REGEXEXTRACT(B212, ""Follow\(([^)]+)\)"") &amp; "") ="",
  IF(
    OR(
      REGEXMATCH(B212, ""^First\([^&lt;]""),
      REGEXMATCH(B212, ""^First\(&lt;[^A-Za-z_]"")
    ),
    """",
    IF(
 "&amp;"     CFG!D212=""λ"",
      ""Follow("" &amp; CFG!B212 &amp; "") ="",
      ""First("" &amp; CFG!D212 &amp; "") =""
    )
  )
)
"),"#REF!")</f>
        <v>#REF!</v>
      </c>
      <c r="D212" s="663" t="str">
        <f>IFERROR(__xludf.DUMMYFUNCTION("IF(
  $C212="""",
  ""{ "" &amp;
    IF(
      REGEXMATCH(B212, ""^First\(\)""),
      "")"",
      REGEXEXTRACT(B212, ""^First\(([^ )]+)"")
    )
  &amp; "" }"",
  IF(
    REGEXMATCH($C212, ""^First\(&lt;""),
    VLOOKUP(REGEXEXTRACT($C212, ""\(([^)]+)\)""), 'First"&amp;" Set MacroA'!B:D, 3, FALSE),
    IF(
      REGEXMATCH($C212, ""^Follow\(&lt;""),
      VLOOKUP(REGEXEXTRACT($C212, ""\(([^)]+)\)""), 'Follow Set Macros'!B:D, 3, FALSE),
      ""{ "" &amp; REGEXEXTRACT($C212, ""\(([^)]+)\)"") &amp; "" }""
    )
  )
)
"),"#REF!")</f>
        <v>#REF!</v>
      </c>
      <c r="E212" s="664"/>
      <c r="F212" s="664"/>
      <c r="G212" s="664"/>
      <c r="H212" s="664"/>
      <c r="I212" s="664"/>
      <c r="J212" s="664"/>
      <c r="K212" s="664"/>
      <c r="L212" s="664"/>
      <c r="M212" s="664"/>
      <c r="N212" s="664"/>
      <c r="O212" s="664"/>
      <c r="P212" s="664"/>
      <c r="Q212" s="664"/>
      <c r="R212" s="664"/>
      <c r="S212" s="664"/>
      <c r="T212" s="664"/>
      <c r="U212" s="664"/>
      <c r="V212" s="664"/>
      <c r="W212" s="664"/>
      <c r="X212" s="664"/>
    </row>
    <row r="213">
      <c r="A213" s="661">
        <f t="shared" si="1"/>
        <v>213</v>
      </c>
      <c r="B213" s="662" t="str">
        <f t="shared" si="2"/>
        <v>#REF!</v>
      </c>
      <c r="C213" s="662" t="str">
        <f>IFERROR(__xludf.DUMMYFUNCTION("IF(
  REGEXMATCH(B213, ""^First\(λ - λ\) ∪ Follow\(""),
  ""Follow("" &amp; REGEXEXTRACT(B213, ""Follow\(([^)]+)\)"") &amp; "") ="",
  IF(
    OR(
      REGEXMATCH(B213, ""^First\([^&lt;]""),
      REGEXMATCH(B213, ""^First\(&lt;[^A-Za-z_]"")
    ),
    """",
    IF(
 "&amp;"     CFG!D213=""λ"",
      ""Follow("" &amp; CFG!B213 &amp; "") ="",
      ""First("" &amp; CFG!D213 &amp; "") =""
    )
  )
)
"),"#REF!")</f>
        <v>#REF!</v>
      </c>
      <c r="D213" s="663" t="str">
        <f>IFERROR(__xludf.DUMMYFUNCTION("IF(
  $C213="""",
  ""{ "" &amp;
    IF(
      REGEXMATCH(B213, ""^First\(\)""),
      "")"",
      REGEXEXTRACT(B213, ""^First\(([^ )]+)"")
    )
  &amp; "" }"",
  IF(
    REGEXMATCH($C213, ""^First\(&lt;""),
    VLOOKUP(REGEXEXTRACT($C213, ""\(([^)]+)\)""), 'First"&amp;" Set MacroA'!B:D, 3, FALSE),
    IF(
      REGEXMATCH($C213, ""^Follow\(&lt;""),
      VLOOKUP(REGEXEXTRACT($C213, ""\(([^)]+)\)""), 'Follow Set Macros'!B:D, 3, FALSE),
      ""{ "" &amp; REGEXEXTRACT($C213, ""\(([^)]+)\)"") &amp; "" }""
    )
  )
)
"),"#REF!")</f>
        <v>#REF!</v>
      </c>
      <c r="E213" s="664"/>
      <c r="F213" s="664"/>
      <c r="G213" s="664"/>
      <c r="H213" s="664"/>
      <c r="I213" s="664"/>
      <c r="J213" s="664"/>
      <c r="K213" s="664"/>
      <c r="L213" s="664"/>
      <c r="M213" s="664"/>
      <c r="N213" s="664"/>
      <c r="O213" s="664"/>
      <c r="P213" s="664"/>
      <c r="Q213" s="664"/>
      <c r="R213" s="664"/>
      <c r="S213" s="664"/>
      <c r="T213" s="664"/>
      <c r="U213" s="664"/>
      <c r="V213" s="664"/>
      <c r="W213" s="664"/>
      <c r="X213" s="664"/>
    </row>
    <row r="214">
      <c r="A214" s="661">
        <f t="shared" si="1"/>
        <v>214</v>
      </c>
      <c r="B214" s="662" t="str">
        <f t="shared" si="2"/>
        <v>#REF!</v>
      </c>
      <c r="C214" s="662" t="str">
        <f>IFERROR(__xludf.DUMMYFUNCTION("IF(
  REGEXMATCH(B214, ""^First\(λ - λ\) ∪ Follow\(""),
  ""Follow("" &amp; REGEXEXTRACT(B214, ""Follow\(([^)]+)\)"") &amp; "") ="",
  IF(
    OR(
      REGEXMATCH(B214, ""^First\([^&lt;]""),
      REGEXMATCH(B214, ""^First\(&lt;[^A-Za-z_]"")
    ),
    """",
    IF(
 "&amp;"     CFG!D214=""λ"",
      ""Follow("" &amp; CFG!B214 &amp; "") ="",
      ""First("" &amp; CFG!D214 &amp; "") =""
    )
  )
)
"),"#REF!")</f>
        <v>#REF!</v>
      </c>
      <c r="D214" s="663" t="str">
        <f>IFERROR(__xludf.DUMMYFUNCTION("IF(
  $C214="""",
  ""{ "" &amp;
    IF(
      REGEXMATCH(B214, ""^First\(\)""),
      "")"",
      REGEXEXTRACT(B214, ""^First\(([^ )]+)"")
    )
  &amp; "" }"",
  IF(
    REGEXMATCH($C214, ""^First\(&lt;""),
    VLOOKUP(REGEXEXTRACT($C214, ""\(([^)]+)\)""), 'First"&amp;" Set MacroA'!B:D, 3, FALSE),
    IF(
      REGEXMATCH($C214, ""^Follow\(&lt;""),
      VLOOKUP(REGEXEXTRACT($C214, ""\(([^)]+)\)""), 'Follow Set Macros'!B:D, 3, FALSE),
      ""{ "" &amp; REGEXEXTRACT($C214, ""\(([^)]+)\)"") &amp; "" }""
    )
  )
)
"),"#REF!")</f>
        <v>#REF!</v>
      </c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</row>
    <row r="215">
      <c r="A215" s="661">
        <f t="shared" si="1"/>
        <v>215</v>
      </c>
      <c r="B215" s="662" t="str">
        <f t="shared" si="2"/>
        <v>#REF!</v>
      </c>
      <c r="C215" s="662" t="str">
        <f>IFERROR(__xludf.DUMMYFUNCTION("IF(
  REGEXMATCH(B215, ""^First\(λ - λ\) ∪ Follow\(""),
  ""Follow("" &amp; REGEXEXTRACT(B215, ""Follow\(([^)]+)\)"") &amp; "") ="",
  IF(
    OR(
      REGEXMATCH(B215, ""^First\([^&lt;]""),
      REGEXMATCH(B215, ""^First\(&lt;[^A-Za-z_]"")
    ),
    """",
    IF(
 "&amp;"     CFG!D215=""λ"",
      ""Follow("" &amp; CFG!B215 &amp; "") ="",
      ""First("" &amp; CFG!D215 &amp; "") =""
    )
  )
)
"),"#REF!")</f>
        <v>#REF!</v>
      </c>
      <c r="D215" s="663" t="str">
        <f>IFERROR(__xludf.DUMMYFUNCTION("IF(
  $C215="""",
  ""{ "" &amp;
    IF(
      REGEXMATCH(B215, ""^First\(\)""),
      "")"",
      REGEXEXTRACT(B215, ""^First\(([^ )]+)"")
    )
  &amp; "" }"",
  IF(
    REGEXMATCH($C215, ""^First\(&lt;""),
    VLOOKUP(REGEXEXTRACT($C215, ""\(([^)]+)\)""), 'First"&amp;" Set MacroA'!B:D, 3, FALSE),
    IF(
      REGEXMATCH($C215, ""^Follow\(&lt;""),
      VLOOKUP(REGEXEXTRACT($C215, ""\(([^)]+)\)""), 'Follow Set Macros'!B:D, 3, FALSE),
      ""{ "" &amp; REGEXEXTRACT($C215, ""\(([^)]+)\)"") &amp; "" }""
    )
  )
)
"),"#REF!")</f>
        <v>#REF!</v>
      </c>
      <c r="E215" s="664"/>
      <c r="F215" s="664"/>
      <c r="G215" s="664"/>
      <c r="H215" s="664"/>
      <c r="I215" s="664"/>
      <c r="J215" s="664"/>
      <c r="K215" s="664"/>
      <c r="L215" s="664"/>
      <c r="M215" s="664"/>
      <c r="N215" s="664"/>
      <c r="O215" s="664"/>
      <c r="P215" s="664"/>
      <c r="Q215" s="664"/>
      <c r="R215" s="664"/>
      <c r="S215" s="664"/>
      <c r="T215" s="664"/>
      <c r="U215" s="664"/>
      <c r="V215" s="664"/>
      <c r="W215" s="664"/>
      <c r="X215" s="664"/>
    </row>
    <row r="216">
      <c r="A216" s="661">
        <f t="shared" si="1"/>
        <v>216</v>
      </c>
      <c r="B216" s="662" t="str">
        <f t="shared" si="2"/>
        <v>#REF!</v>
      </c>
      <c r="C216" s="662" t="str">
        <f>IFERROR(__xludf.DUMMYFUNCTION("IF(
  REGEXMATCH(B216, ""^First\(λ - λ\) ∪ Follow\(""),
  ""Follow("" &amp; REGEXEXTRACT(B216, ""Follow\(([^)]+)\)"") &amp; "") ="",
  IF(
    OR(
      REGEXMATCH(B216, ""^First\([^&lt;]""),
      REGEXMATCH(B216, ""^First\(&lt;[^A-Za-z_]"")
    ),
    """",
    IF(
 "&amp;"     CFG!D216=""λ"",
      ""Follow("" &amp; CFG!B216 &amp; "") ="",
      ""First("" &amp; CFG!D216 &amp; "") =""
    )
  )
)
"),"#REF!")</f>
        <v>#REF!</v>
      </c>
      <c r="D216" s="663" t="str">
        <f>IFERROR(__xludf.DUMMYFUNCTION("IF(
  $C216="""",
  ""{ "" &amp;
    IF(
      REGEXMATCH(B216, ""^First\(\)""),
      "")"",
      REGEXEXTRACT(B216, ""^First\(([^ )]+)"")
    )
  &amp; "" }"",
  IF(
    REGEXMATCH($C216, ""^First\(&lt;""),
    VLOOKUP(REGEXEXTRACT($C216, ""\(([^)]+)\)""), 'First"&amp;" Set MacroA'!B:D, 3, FALSE),
    IF(
      REGEXMATCH($C216, ""^Follow\(&lt;""),
      VLOOKUP(REGEXEXTRACT($C216, ""\(([^)]+)\)""), 'Follow Set Macros'!B:D, 3, FALSE),
      ""{ "" &amp; REGEXEXTRACT($C216, ""\(([^)]+)\)"") &amp; "" }""
    )
  )
)
"),"#REF!")</f>
        <v>#REF!</v>
      </c>
      <c r="E216" s="664"/>
      <c r="F216" s="664"/>
      <c r="G216" s="664"/>
      <c r="H216" s="664"/>
      <c r="I216" s="664"/>
      <c r="J216" s="664"/>
      <c r="K216" s="664"/>
      <c r="L216" s="664"/>
      <c r="M216" s="664"/>
      <c r="N216" s="664"/>
      <c r="O216" s="664"/>
      <c r="P216" s="664"/>
      <c r="Q216" s="664"/>
      <c r="R216" s="664"/>
      <c r="S216" s="664"/>
      <c r="T216" s="664"/>
      <c r="U216" s="664"/>
      <c r="V216" s="664"/>
      <c r="W216" s="664"/>
      <c r="X216" s="664"/>
    </row>
    <row r="217">
      <c r="A217" s="661">
        <f t="shared" si="1"/>
        <v>217</v>
      </c>
      <c r="B217" s="662" t="str">
        <f t="shared" si="2"/>
        <v>#REF!</v>
      </c>
      <c r="C217" s="662" t="str">
        <f>IFERROR(__xludf.DUMMYFUNCTION("IF(
  REGEXMATCH(B217, ""^First\(λ - λ\) ∪ Follow\(""),
  ""Follow("" &amp; REGEXEXTRACT(B217, ""Follow\(([^)]+)\)"") &amp; "") ="",
  IF(
    OR(
      REGEXMATCH(B217, ""^First\([^&lt;]""),
      REGEXMATCH(B217, ""^First\(&lt;[^A-Za-z_]"")
    ),
    """",
    IF(
 "&amp;"     CFG!D217=""λ"",
      ""Follow("" &amp; CFG!B217 &amp; "") ="",
      ""First("" &amp; CFG!D217 &amp; "") =""
    )
  )
)
"),"#REF!")</f>
        <v>#REF!</v>
      </c>
      <c r="D217" s="663" t="str">
        <f>IFERROR(__xludf.DUMMYFUNCTION("IF(
  $C217="""",
  ""{ "" &amp;
    IF(
      REGEXMATCH(B217, ""^First\(\)""),
      "")"",
      REGEXEXTRACT(B217, ""^First\(([^ )]+)"")
    )
  &amp; "" }"",
  IF(
    REGEXMATCH($C217, ""^First\(&lt;""),
    VLOOKUP(REGEXEXTRACT($C217, ""\(([^)]+)\)""), 'First"&amp;" Set MacroA'!B:D, 3, FALSE),
    IF(
      REGEXMATCH($C217, ""^Follow\(&lt;""),
      VLOOKUP(REGEXEXTRACT($C217, ""\(([^)]+)\)""), 'Follow Set Macros'!B:D, 3, FALSE),
      ""{ "" &amp; REGEXEXTRACT($C217, ""\(([^)]+)\)"") &amp; "" }""
    )
  )
)
"),"#REF!")</f>
        <v>#REF!</v>
      </c>
      <c r="E217" s="664"/>
      <c r="F217" s="664"/>
      <c r="G217" s="664"/>
      <c r="H217" s="664"/>
      <c r="I217" s="664"/>
      <c r="J217" s="664"/>
      <c r="K217" s="664"/>
      <c r="L217" s="664"/>
      <c r="M217" s="664"/>
      <c r="N217" s="664"/>
      <c r="O217" s="664"/>
      <c r="P217" s="664"/>
      <c r="Q217" s="664"/>
      <c r="R217" s="664"/>
      <c r="S217" s="664"/>
      <c r="T217" s="664"/>
      <c r="U217" s="664"/>
      <c r="V217" s="664"/>
      <c r="W217" s="664"/>
      <c r="X217" s="664"/>
    </row>
    <row r="218">
      <c r="A218" s="661">
        <f t="shared" si="1"/>
        <v>218</v>
      </c>
      <c r="B218" s="662" t="str">
        <f t="shared" si="2"/>
        <v>#REF!</v>
      </c>
      <c r="C218" s="662" t="str">
        <f>IFERROR(__xludf.DUMMYFUNCTION("IF(
  REGEXMATCH(B218, ""^First\(λ - λ\) ∪ Follow\(""),
  ""Follow("" &amp; REGEXEXTRACT(B218, ""Follow\(([^)]+)\)"") &amp; "") ="",
  IF(
    OR(
      REGEXMATCH(B218, ""^First\([^&lt;]""),
      REGEXMATCH(B218, ""^First\(&lt;[^A-Za-z_]"")
    ),
    """",
    IF(
 "&amp;"     CFG!D218=""λ"",
      ""Follow("" &amp; CFG!B218 &amp; "") ="",
      ""First("" &amp; CFG!D218 &amp; "") =""
    )
  )
)
"),"#REF!")</f>
        <v>#REF!</v>
      </c>
      <c r="D218" s="663" t="str">
        <f>IFERROR(__xludf.DUMMYFUNCTION("IF(
  $C218="""",
  ""{ "" &amp;
    IF(
      REGEXMATCH(B218, ""^First\(\)""),
      "")"",
      REGEXEXTRACT(B218, ""^First\(([^ )]+)"")
    )
  &amp; "" }"",
  IF(
    REGEXMATCH($C218, ""^First\(&lt;""),
    VLOOKUP(REGEXEXTRACT($C218, ""\(([^)]+)\)""), 'First"&amp;" Set MacroA'!B:D, 3, FALSE),
    IF(
      REGEXMATCH($C218, ""^Follow\(&lt;""),
      VLOOKUP(REGEXEXTRACT($C218, ""\(([^)]+)\)""), 'Follow Set Macros'!B:D, 3, FALSE),
      ""{ "" &amp; REGEXEXTRACT($C218, ""\(([^)]+)\)"") &amp; "" }""
    )
  )
)
"),"#REF!")</f>
        <v>#REF!</v>
      </c>
      <c r="E218" s="664"/>
      <c r="F218" s="664"/>
      <c r="G218" s="664"/>
      <c r="H218" s="664"/>
      <c r="I218" s="664"/>
      <c r="J218" s="664"/>
      <c r="K218" s="664"/>
      <c r="L218" s="664"/>
      <c r="M218" s="664"/>
      <c r="N218" s="664"/>
      <c r="O218" s="664"/>
      <c r="P218" s="664"/>
      <c r="Q218" s="664"/>
      <c r="R218" s="664"/>
      <c r="S218" s="664"/>
      <c r="T218" s="664"/>
      <c r="U218" s="664"/>
      <c r="V218" s="664"/>
      <c r="W218" s="664"/>
      <c r="X218" s="664"/>
    </row>
    <row r="219">
      <c r="A219" s="661">
        <f t="shared" si="1"/>
        <v>219</v>
      </c>
      <c r="B219" s="662" t="str">
        <f t="shared" si="2"/>
        <v>#REF!</v>
      </c>
      <c r="C219" s="662" t="str">
        <f>IFERROR(__xludf.DUMMYFUNCTION("IF(
  REGEXMATCH(B219, ""^First\(λ - λ\) ∪ Follow\(""),
  ""Follow("" &amp; REGEXEXTRACT(B219, ""Follow\(([^)]+)\)"") &amp; "") ="",
  IF(
    OR(
      REGEXMATCH(B219, ""^First\([^&lt;]""),
      REGEXMATCH(B219, ""^First\(&lt;[^A-Za-z_]"")
    ),
    """",
    IF(
 "&amp;"     CFG!D219=""λ"",
      ""Follow("" &amp; CFG!B219 &amp; "") ="",
      ""First("" &amp; CFG!D219 &amp; "") =""
    )
  )
)
"),"#REF!")</f>
        <v>#REF!</v>
      </c>
      <c r="D219" s="663" t="str">
        <f>IFERROR(__xludf.DUMMYFUNCTION("IF(
  $C219="""",
  ""{ "" &amp;
    IF(
      REGEXMATCH(B219, ""^First\(\)""),
      "")"",
      REGEXEXTRACT(B219, ""^First\(([^ )]+)"")
    )
  &amp; "" }"",
  IF(
    REGEXMATCH($C219, ""^First\(&lt;""),
    VLOOKUP(REGEXEXTRACT($C219, ""\(([^)]+)\)""), 'First"&amp;" Set MacroA'!B:D, 3, FALSE),
    IF(
      REGEXMATCH($C219, ""^Follow\(&lt;""),
      VLOOKUP(REGEXEXTRACT($C219, ""\(([^)]+)\)""), 'Follow Set Macros'!B:D, 3, FALSE),
      ""{ "" &amp; REGEXEXTRACT($C219, ""\(([^)]+)\)"") &amp; "" }""
    )
  )
)
"),"#REF!")</f>
        <v>#REF!</v>
      </c>
      <c r="E219" s="664"/>
      <c r="F219" s="664"/>
      <c r="G219" s="664"/>
      <c r="H219" s="664"/>
      <c r="I219" s="664"/>
      <c r="J219" s="664"/>
      <c r="K219" s="664"/>
      <c r="L219" s="664"/>
      <c r="M219" s="664"/>
      <c r="N219" s="664"/>
      <c r="O219" s="664"/>
      <c r="P219" s="664"/>
      <c r="Q219" s="664"/>
      <c r="R219" s="664"/>
      <c r="S219" s="664"/>
      <c r="T219" s="664"/>
      <c r="U219" s="664"/>
      <c r="V219" s="664"/>
      <c r="W219" s="664"/>
      <c r="X219" s="664"/>
    </row>
    <row r="220">
      <c r="A220" s="661">
        <f t="shared" si="1"/>
        <v>220</v>
      </c>
      <c r="B220" s="662" t="str">
        <f t="shared" si="2"/>
        <v>#REF!</v>
      </c>
      <c r="C220" s="662" t="str">
        <f>IFERROR(__xludf.DUMMYFUNCTION("IF(
  REGEXMATCH(B220, ""^First\(λ - λ\) ∪ Follow\(""),
  ""Follow("" &amp; REGEXEXTRACT(B220, ""Follow\(([^)]+)\)"") &amp; "") ="",
  IF(
    OR(
      REGEXMATCH(B220, ""^First\([^&lt;]""),
      REGEXMATCH(B220, ""^First\(&lt;[^A-Za-z_]"")
    ),
    """",
    IF(
 "&amp;"     CFG!D220=""λ"",
      ""Follow("" &amp; CFG!B220 &amp; "") ="",
      ""First("" &amp; CFG!D220 &amp; "") =""
    )
  )
)
"),"#REF!")</f>
        <v>#REF!</v>
      </c>
      <c r="D220" s="663" t="str">
        <f>IFERROR(__xludf.DUMMYFUNCTION("IF(
  $C220="""",
  ""{ "" &amp;
    IF(
      REGEXMATCH(B220, ""^First\(\)""),
      "")"",
      REGEXEXTRACT(B220, ""^First\(([^ )]+)"")
    )
  &amp; "" }"",
  IF(
    REGEXMATCH($C220, ""^First\(&lt;""),
    VLOOKUP(REGEXEXTRACT($C220, ""\(([^)]+)\)""), 'First"&amp;" Set MacroA'!B:D, 3, FALSE),
    IF(
      REGEXMATCH($C220, ""^Follow\(&lt;""),
      VLOOKUP(REGEXEXTRACT($C220, ""\(([^)]+)\)""), 'Follow Set Macros'!B:D, 3, FALSE),
      ""{ "" &amp; REGEXEXTRACT($C220, ""\(([^)]+)\)"") &amp; "" }""
    )
  )
)
"),"#REF!")</f>
        <v>#REF!</v>
      </c>
      <c r="E220" s="664"/>
      <c r="F220" s="664"/>
      <c r="G220" s="664"/>
      <c r="H220" s="664"/>
      <c r="I220" s="664"/>
      <c r="J220" s="664"/>
      <c r="K220" s="664"/>
      <c r="L220" s="664"/>
      <c r="M220" s="664"/>
      <c r="N220" s="664"/>
      <c r="O220" s="664"/>
      <c r="P220" s="664"/>
      <c r="Q220" s="664"/>
      <c r="R220" s="664"/>
      <c r="S220" s="664"/>
      <c r="T220" s="664"/>
      <c r="U220" s="664"/>
      <c r="V220" s="664"/>
      <c r="W220" s="664"/>
      <c r="X220" s="664"/>
    </row>
    <row r="221">
      <c r="A221" s="661">
        <f t="shared" si="1"/>
        <v>221</v>
      </c>
      <c r="B221" s="662" t="str">
        <f t="shared" si="2"/>
        <v>#REF!</v>
      </c>
      <c r="C221" s="662" t="str">
        <f>IFERROR(__xludf.DUMMYFUNCTION("IF(
  REGEXMATCH(B221, ""^First\(λ - λ\) ∪ Follow\(""),
  ""Follow("" &amp; REGEXEXTRACT(B221, ""Follow\(([^)]+)\)"") &amp; "") ="",
  IF(
    OR(
      REGEXMATCH(B221, ""^First\([^&lt;]""),
      REGEXMATCH(B221, ""^First\(&lt;[^A-Za-z_]"")
    ),
    """",
    IF(
 "&amp;"     CFG!D221=""λ"",
      ""Follow("" &amp; CFG!B221 &amp; "") ="",
      ""First("" &amp; CFG!D221 &amp; "") =""
    )
  )
)
"),"#REF!")</f>
        <v>#REF!</v>
      </c>
      <c r="D221" s="663" t="str">
        <f>IFERROR(__xludf.DUMMYFUNCTION("IF(
  $C221="""",
  ""{ "" &amp;
    IF(
      REGEXMATCH(B221, ""^First\(\)""),
      "")"",
      REGEXEXTRACT(B221, ""^First\(([^ )]+)"")
    )
  &amp; "" }"",
  IF(
    REGEXMATCH($C221, ""^First\(&lt;""),
    VLOOKUP(REGEXEXTRACT($C221, ""\(([^)]+)\)""), 'First"&amp;" Set MacroA'!B:D, 3, FALSE),
    IF(
      REGEXMATCH($C221, ""^Follow\(&lt;""),
      VLOOKUP(REGEXEXTRACT($C221, ""\(([^)]+)\)""), 'Follow Set Macros'!B:D, 3, FALSE),
      ""{ "" &amp; REGEXEXTRACT($C221, ""\(([^)]+)\)"") &amp; "" }""
    )
  )
)
"),"#REF!")</f>
        <v>#REF!</v>
      </c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</row>
    <row r="222">
      <c r="A222" s="661">
        <f t="shared" si="1"/>
        <v>222</v>
      </c>
      <c r="B222" s="662" t="str">
        <f t="shared" si="2"/>
        <v>#REF!</v>
      </c>
      <c r="C222" s="662" t="str">
        <f>IFERROR(__xludf.DUMMYFUNCTION("IF(
  REGEXMATCH(B222, ""^First\(λ - λ\) ∪ Follow\(""),
  ""Follow("" &amp; REGEXEXTRACT(B222, ""Follow\(([^)]+)\)"") &amp; "") ="",
  IF(
    OR(
      REGEXMATCH(B222, ""^First\([^&lt;]""),
      REGEXMATCH(B222, ""^First\(&lt;[^A-Za-z_]"")
    ),
    """",
    IF(
 "&amp;"     CFG!D222=""λ"",
      ""Follow("" &amp; CFG!B222 &amp; "") ="",
      ""First("" &amp; CFG!D222 &amp; "") =""
    )
  )
)
"),"#REF!")</f>
        <v>#REF!</v>
      </c>
      <c r="D222" s="663" t="str">
        <f>IFERROR(__xludf.DUMMYFUNCTION("IF(
  $C222="""",
  ""{ "" &amp;
    IF(
      REGEXMATCH(B222, ""^First\(\)""),
      "")"",
      REGEXEXTRACT(B222, ""^First\(([^ )]+)"")
    )
  &amp; "" }"",
  IF(
    REGEXMATCH($C222, ""^First\(&lt;""),
    VLOOKUP(REGEXEXTRACT($C222, ""\(([^)]+)\)""), 'First"&amp;" Set MacroA'!B:D, 3, FALSE),
    IF(
      REGEXMATCH($C222, ""^Follow\(&lt;""),
      VLOOKUP(REGEXEXTRACT($C222, ""\(([^)]+)\)""), 'Follow Set Macros'!B:D, 3, FALSE),
      ""{ "" &amp; REGEXEXTRACT($C222, ""\(([^)]+)\)"") &amp; "" }""
    )
  )
)
"),"#REF!")</f>
        <v>#REF!</v>
      </c>
      <c r="E222" s="664"/>
      <c r="F222" s="664"/>
      <c r="G222" s="664"/>
      <c r="H222" s="664"/>
      <c r="I222" s="664"/>
      <c r="J222" s="664"/>
      <c r="K222" s="664"/>
      <c r="L222" s="664"/>
      <c r="M222" s="664"/>
      <c r="N222" s="664"/>
      <c r="O222" s="664"/>
      <c r="P222" s="664"/>
      <c r="Q222" s="664"/>
      <c r="R222" s="664"/>
      <c r="S222" s="664"/>
      <c r="T222" s="664"/>
      <c r="U222" s="664"/>
      <c r="V222" s="664"/>
      <c r="W222" s="664"/>
      <c r="X222" s="664"/>
    </row>
    <row r="223">
      <c r="A223" s="661">
        <f t="shared" si="1"/>
        <v>223</v>
      </c>
      <c r="B223" s="662" t="str">
        <f t="shared" si="2"/>
        <v>#REF!</v>
      </c>
      <c r="C223" s="662" t="str">
        <f>IFERROR(__xludf.DUMMYFUNCTION("IF(
  REGEXMATCH(B223, ""^First\(λ - λ\) ∪ Follow\(""),
  ""Follow("" &amp; REGEXEXTRACT(B223, ""Follow\(([^)]+)\)"") &amp; "") ="",
  IF(
    OR(
      REGEXMATCH(B223, ""^First\([^&lt;]""),
      REGEXMATCH(B223, ""^First\(&lt;[^A-Za-z_]"")
    ),
    """",
    IF(
 "&amp;"     CFG!D223=""λ"",
      ""Follow("" &amp; CFG!B223 &amp; "") ="",
      ""First("" &amp; CFG!D223 &amp; "") =""
    )
  )
)
"),"#REF!")</f>
        <v>#REF!</v>
      </c>
      <c r="D223" s="663" t="str">
        <f>IFERROR(__xludf.DUMMYFUNCTION("IF(
  $C223="""",
  ""{ "" &amp;
    IF(
      REGEXMATCH(B223, ""^First\(\)""),
      "")"",
      REGEXEXTRACT(B223, ""^First\(([^ )]+)"")
    )
  &amp; "" }"",
  IF(
    REGEXMATCH($C223, ""^First\(&lt;""),
    VLOOKUP(REGEXEXTRACT($C223, ""\(([^)]+)\)""), 'First"&amp;" Set MacroA'!B:D, 3, FALSE),
    IF(
      REGEXMATCH($C223, ""^Follow\(&lt;""),
      VLOOKUP(REGEXEXTRACT($C223, ""\(([^)]+)\)""), 'Follow Set Macros'!B:D, 3, FALSE),
      ""{ "" &amp; REGEXEXTRACT($C223, ""\(([^)]+)\)"") &amp; "" }""
    )
  )
)
"),"#REF!")</f>
        <v>#REF!</v>
      </c>
      <c r="E223" s="664"/>
      <c r="F223" s="664"/>
      <c r="G223" s="664"/>
      <c r="H223" s="664"/>
      <c r="I223" s="664"/>
      <c r="J223" s="664"/>
      <c r="K223" s="664"/>
      <c r="L223" s="664"/>
      <c r="M223" s="664"/>
      <c r="N223" s="664"/>
      <c r="O223" s="664"/>
      <c r="P223" s="664"/>
      <c r="Q223" s="664"/>
      <c r="R223" s="664"/>
      <c r="S223" s="664"/>
      <c r="T223" s="664"/>
      <c r="U223" s="664"/>
      <c r="V223" s="664"/>
      <c r="W223" s="664"/>
      <c r="X223" s="664"/>
    </row>
    <row r="224">
      <c r="A224" s="661">
        <f t="shared" si="1"/>
        <v>224</v>
      </c>
      <c r="B224" s="662" t="str">
        <f t="shared" si="2"/>
        <v>#REF!</v>
      </c>
      <c r="C224" s="662" t="str">
        <f>IFERROR(__xludf.DUMMYFUNCTION("IF(
  REGEXMATCH(B224, ""^First\(λ - λ\) ∪ Follow\(""),
  ""Follow("" &amp; REGEXEXTRACT(B224, ""Follow\(([^)]+)\)"") &amp; "") ="",
  IF(
    OR(
      REGEXMATCH(B224, ""^First\([^&lt;]""),
      REGEXMATCH(B224, ""^First\(&lt;[^A-Za-z_]"")
    ),
    """",
    IF(
 "&amp;"     CFG!D224=""λ"",
      ""Follow("" &amp; CFG!B224 &amp; "") ="",
      ""First("" &amp; CFG!D224 &amp; "") =""
    )
  )
)
"),"#REF!")</f>
        <v>#REF!</v>
      </c>
      <c r="D224" s="663" t="str">
        <f>IFERROR(__xludf.DUMMYFUNCTION("IF(
  $C224="""",
  ""{ "" &amp;
    IF(
      REGEXMATCH(B224, ""^First\(\)""),
      "")"",
      REGEXEXTRACT(B224, ""^First\(([^ )]+)"")
    )
  &amp; "" }"",
  IF(
    REGEXMATCH($C224, ""^First\(&lt;""),
    VLOOKUP(REGEXEXTRACT($C224, ""\(([^)]+)\)""), 'First"&amp;" Set MacroA'!B:D, 3, FALSE),
    IF(
      REGEXMATCH($C224, ""^Follow\(&lt;""),
      VLOOKUP(REGEXEXTRACT($C224, ""\(([^)]+)\)""), 'Follow Set Macros'!B:D, 3, FALSE),
      ""{ "" &amp; REGEXEXTRACT($C224, ""\(([^)]+)\)"") &amp; "" }""
    )
  )
)
"),"#REF!")</f>
        <v>#REF!</v>
      </c>
      <c r="E224" s="664"/>
      <c r="F224" s="664"/>
      <c r="G224" s="664"/>
      <c r="H224" s="664"/>
      <c r="I224" s="664"/>
      <c r="J224" s="664"/>
      <c r="K224" s="664"/>
      <c r="L224" s="664"/>
      <c r="M224" s="664"/>
      <c r="N224" s="664"/>
      <c r="O224" s="664"/>
      <c r="P224" s="664"/>
      <c r="Q224" s="664"/>
      <c r="R224" s="664"/>
      <c r="S224" s="664"/>
      <c r="T224" s="664"/>
      <c r="U224" s="664"/>
      <c r="V224" s="664"/>
      <c r="W224" s="664"/>
      <c r="X224" s="664"/>
    </row>
    <row r="225">
      <c r="A225" s="661">
        <f t="shared" si="1"/>
        <v>225</v>
      </c>
      <c r="B225" s="662" t="str">
        <f t="shared" si="2"/>
        <v>#REF!</v>
      </c>
      <c r="C225" s="662" t="str">
        <f>IFERROR(__xludf.DUMMYFUNCTION("IF(
  REGEXMATCH(B225, ""^First\(λ - λ\) ∪ Follow\(""),
  ""Follow("" &amp; REGEXEXTRACT(B225, ""Follow\(([^)]+)\)"") &amp; "") ="",
  IF(
    OR(
      REGEXMATCH(B225, ""^First\([^&lt;]""),
      REGEXMATCH(B225, ""^First\(&lt;[^A-Za-z_]"")
    ),
    """",
    IF(
 "&amp;"     CFG!D225=""λ"",
      ""Follow("" &amp; CFG!B225 &amp; "") ="",
      ""First("" &amp; CFG!D225 &amp; "") =""
    )
  )
)
"),"#REF!")</f>
        <v>#REF!</v>
      </c>
      <c r="D225" s="663" t="str">
        <f>IFERROR(__xludf.DUMMYFUNCTION("IF(
  $C225="""",
  ""{ "" &amp;
    IF(
      REGEXMATCH(B225, ""^First\(\)""),
      "")"",
      REGEXEXTRACT(B225, ""^First\(([^ )]+)"")
    )
  &amp; "" }"",
  IF(
    REGEXMATCH($C225, ""^First\(&lt;""),
    VLOOKUP(REGEXEXTRACT($C225, ""\(([^)]+)\)""), 'First"&amp;" Set MacroA'!B:D, 3, FALSE),
    IF(
      REGEXMATCH($C225, ""^Follow\(&lt;""),
      VLOOKUP(REGEXEXTRACT($C225, ""\(([^)]+)\)""), 'Follow Set Macros'!B:D, 3, FALSE),
      ""{ "" &amp; REGEXEXTRACT($C225, ""\(([^)]+)\)"") &amp; "" }""
    )
  )
)
"),"#REF!")</f>
        <v>#REF!</v>
      </c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</row>
    <row r="226">
      <c r="A226" s="661">
        <f t="shared" si="1"/>
        <v>226</v>
      </c>
      <c r="B226" s="662" t="str">
        <f t="shared" si="2"/>
        <v>#REF!</v>
      </c>
      <c r="C226" s="662" t="str">
        <f>IFERROR(__xludf.DUMMYFUNCTION("IF(
  REGEXMATCH(B226, ""^First\(λ - λ\) ∪ Follow\(""),
  ""Follow("" &amp; REGEXEXTRACT(B226, ""Follow\(([^)]+)\)"") &amp; "") ="",
  IF(
    OR(
      REGEXMATCH(B226, ""^First\([^&lt;]""),
      REGEXMATCH(B226, ""^First\(&lt;[^A-Za-z_]"")
    ),
    """",
    IF(
 "&amp;"     CFG!D226=""λ"",
      ""Follow("" &amp; CFG!B226 &amp; "") ="",
      ""First("" &amp; CFG!D226 &amp; "") =""
    )
  )
)
"),"#REF!")</f>
        <v>#REF!</v>
      </c>
      <c r="D226" s="663" t="str">
        <f>IFERROR(__xludf.DUMMYFUNCTION("IF(
  $C226="""",
  ""{ "" &amp;
    IF(
      REGEXMATCH(B226, ""^First\(\)""),
      "")"",
      REGEXEXTRACT(B226, ""^First\(([^ )]+)"")
    )
  &amp; "" }"",
  IF(
    REGEXMATCH($C226, ""^First\(&lt;""),
    VLOOKUP(REGEXEXTRACT($C226, ""\(([^)]+)\)""), 'First"&amp;" Set MacroA'!B:D, 3, FALSE),
    IF(
      REGEXMATCH($C226, ""^Follow\(&lt;""),
      VLOOKUP(REGEXEXTRACT($C226, ""\(([^)]+)\)""), 'Follow Set Macros'!B:D, 3, FALSE),
      ""{ "" &amp; REGEXEXTRACT($C226, ""\(([^)]+)\)"") &amp; "" }""
    )
  )
)
"),"#REF!")</f>
        <v>#REF!</v>
      </c>
      <c r="E226" s="664"/>
      <c r="F226" s="664"/>
      <c r="G226" s="664"/>
      <c r="H226" s="664"/>
      <c r="I226" s="664"/>
      <c r="J226" s="664"/>
      <c r="K226" s="664"/>
      <c r="L226" s="664"/>
      <c r="M226" s="664"/>
      <c r="N226" s="664"/>
      <c r="O226" s="664"/>
      <c r="P226" s="664"/>
      <c r="Q226" s="664"/>
      <c r="R226" s="664"/>
      <c r="S226" s="664"/>
      <c r="T226" s="664"/>
      <c r="U226" s="664"/>
      <c r="V226" s="664"/>
      <c r="W226" s="664"/>
      <c r="X226" s="664"/>
    </row>
    <row r="227">
      <c r="A227" s="661">
        <f t="shared" si="1"/>
        <v>227</v>
      </c>
      <c r="B227" s="662" t="str">
        <f t="shared" si="2"/>
        <v>#REF!</v>
      </c>
      <c r="C227" s="662" t="str">
        <f>IFERROR(__xludf.DUMMYFUNCTION("IF(
  REGEXMATCH(B227, ""^First\(λ - λ\) ∪ Follow\(""),
  ""Follow("" &amp; REGEXEXTRACT(B227, ""Follow\(([^)]+)\)"") &amp; "") ="",
  IF(
    OR(
      REGEXMATCH(B227, ""^First\([^&lt;]""),
      REGEXMATCH(B227, ""^First\(&lt;[^A-Za-z_]"")
    ),
    """",
    IF(
 "&amp;"     CFG!D227=""λ"",
      ""Follow("" &amp; CFG!B227 &amp; "") ="",
      ""First("" &amp; CFG!D227 &amp; "") =""
    )
  )
)
"),"#REF!")</f>
        <v>#REF!</v>
      </c>
      <c r="D227" s="663" t="str">
        <f>IFERROR(__xludf.DUMMYFUNCTION("IF(
  $C227="""",
  ""{ "" &amp;
    IF(
      REGEXMATCH(B227, ""^First\(\)""),
      "")"",
      REGEXEXTRACT(B227, ""^First\(([^ )]+)"")
    )
  &amp; "" }"",
  IF(
    REGEXMATCH($C227, ""^First\(&lt;""),
    VLOOKUP(REGEXEXTRACT($C227, ""\(([^)]+)\)""), 'First"&amp;" Set MacroA'!B:D, 3, FALSE),
    IF(
      REGEXMATCH($C227, ""^Follow\(&lt;""),
      VLOOKUP(REGEXEXTRACT($C227, ""\(([^)]+)\)""), 'Follow Set Macros'!B:D, 3, FALSE),
      ""{ "" &amp; REGEXEXTRACT($C227, ""\(([^)]+)\)"") &amp; "" }""
    )
  )
)
"),"#REF!")</f>
        <v>#REF!</v>
      </c>
      <c r="E227" s="664"/>
      <c r="F227" s="664"/>
      <c r="G227" s="664"/>
      <c r="H227" s="664"/>
      <c r="I227" s="664"/>
      <c r="J227" s="664"/>
      <c r="K227" s="664"/>
      <c r="L227" s="664"/>
      <c r="M227" s="664"/>
      <c r="N227" s="664"/>
      <c r="O227" s="664"/>
      <c r="P227" s="664"/>
      <c r="Q227" s="664"/>
      <c r="R227" s="664"/>
      <c r="S227" s="664"/>
      <c r="T227" s="664"/>
      <c r="U227" s="664"/>
      <c r="V227" s="664"/>
      <c r="W227" s="664"/>
      <c r="X227" s="664"/>
    </row>
    <row r="228">
      <c r="A228" s="661">
        <f t="shared" si="1"/>
        <v>228</v>
      </c>
      <c r="B228" s="662" t="str">
        <f t="shared" si="2"/>
        <v>#REF!</v>
      </c>
      <c r="C228" s="662" t="str">
        <f>IFERROR(__xludf.DUMMYFUNCTION("IF(
  REGEXMATCH(B228, ""^First\(λ - λ\) ∪ Follow\(""),
  ""Follow("" &amp; REGEXEXTRACT(B228, ""Follow\(([^)]+)\)"") &amp; "") ="",
  IF(
    OR(
      REGEXMATCH(B228, ""^First\([^&lt;]""),
      REGEXMATCH(B228, ""^First\(&lt;[^A-Za-z_]"")
    ),
    """",
    IF(
 "&amp;"     CFG!D228=""λ"",
      ""Follow("" &amp; CFG!B228 &amp; "") ="",
      ""First("" &amp; CFG!D228 &amp; "") =""
    )
  )
)
"),"#REF!")</f>
        <v>#REF!</v>
      </c>
      <c r="D228" s="663" t="str">
        <f>IFERROR(__xludf.DUMMYFUNCTION("IF(
  $C228="""",
  ""{ "" &amp;
    IF(
      REGEXMATCH(B228, ""^First\(\)""),
      "")"",
      REGEXEXTRACT(B228, ""^First\(([^ )]+)"")
    )
  &amp; "" }"",
  IF(
    REGEXMATCH($C228, ""^First\(&lt;""),
    VLOOKUP(REGEXEXTRACT($C228, ""\(([^)]+)\)""), 'First"&amp;" Set MacroA'!B:D, 3, FALSE),
    IF(
      REGEXMATCH($C228, ""^Follow\(&lt;""),
      VLOOKUP(REGEXEXTRACT($C228, ""\(([^)]+)\)""), 'Follow Set Macros'!B:D, 3, FALSE),
      ""{ "" &amp; REGEXEXTRACT($C228, ""\(([^)]+)\)"") &amp; "" }""
    )
  )
)
"),"#REF!")</f>
        <v>#REF!</v>
      </c>
      <c r="E228" s="664"/>
      <c r="F228" s="664"/>
      <c r="G228" s="664"/>
      <c r="H228" s="664"/>
      <c r="I228" s="664"/>
      <c r="J228" s="664"/>
      <c r="K228" s="664"/>
      <c r="L228" s="664"/>
      <c r="M228" s="664"/>
      <c r="N228" s="664"/>
      <c r="O228" s="664"/>
      <c r="P228" s="664"/>
      <c r="Q228" s="664"/>
      <c r="R228" s="664"/>
      <c r="S228" s="664"/>
      <c r="T228" s="664"/>
      <c r="U228" s="664"/>
      <c r="V228" s="664"/>
      <c r="W228" s="664"/>
      <c r="X228" s="664"/>
    </row>
    <row r="229">
      <c r="A229" s="661">
        <f t="shared" si="1"/>
        <v>229</v>
      </c>
      <c r="B229" s="662" t="str">
        <f t="shared" si="2"/>
        <v>#REF!</v>
      </c>
      <c r="C229" s="662" t="str">
        <f>IFERROR(__xludf.DUMMYFUNCTION("IF(
  REGEXMATCH(B229, ""^First\(λ - λ\) ∪ Follow\(""),
  ""Follow("" &amp; REGEXEXTRACT(B229, ""Follow\(([^)]+)\)"") &amp; "") ="",
  IF(
    OR(
      REGEXMATCH(B229, ""^First\([^&lt;]""),
      REGEXMATCH(B229, ""^First\(&lt;[^A-Za-z_]"")
    ),
    """",
    IF(
 "&amp;"     CFG!D229=""λ"",
      ""Follow("" &amp; CFG!B229 &amp; "") ="",
      ""First("" &amp; CFG!D229 &amp; "") =""
    )
  )
)
"),"#REF!")</f>
        <v>#REF!</v>
      </c>
      <c r="D229" s="663" t="str">
        <f>IFERROR(__xludf.DUMMYFUNCTION("IF(
  $C229="""",
  ""{ "" &amp;
    IF(
      REGEXMATCH(B229, ""^First\(\)""),
      "")"",
      REGEXEXTRACT(B229, ""^First\(([^ )]+)"")
    )
  &amp; "" }"",
  IF(
    REGEXMATCH($C229, ""^First\(&lt;""),
    VLOOKUP(REGEXEXTRACT($C229, ""\(([^)]+)\)""), 'First"&amp;" Set MacroA'!B:D, 3, FALSE),
    IF(
      REGEXMATCH($C229, ""^Follow\(&lt;""),
      VLOOKUP(REGEXEXTRACT($C229, ""\(([^)]+)\)""), 'Follow Set Macros'!B:D, 3, FALSE),
      ""{ "" &amp; REGEXEXTRACT($C229, ""\(([^)]+)\)"") &amp; "" }""
    )
  )
)
"),"#REF!")</f>
        <v>#REF!</v>
      </c>
      <c r="E229" s="664"/>
      <c r="F229" s="664"/>
      <c r="G229" s="664"/>
      <c r="H229" s="664"/>
      <c r="I229" s="664"/>
      <c r="J229" s="664"/>
      <c r="K229" s="664"/>
      <c r="L229" s="664"/>
      <c r="M229" s="664"/>
      <c r="N229" s="664"/>
      <c r="O229" s="664"/>
      <c r="P229" s="664"/>
      <c r="Q229" s="664"/>
      <c r="R229" s="664"/>
      <c r="S229" s="664"/>
      <c r="T229" s="664"/>
      <c r="U229" s="664"/>
      <c r="V229" s="664"/>
      <c r="W229" s="664"/>
      <c r="X229" s="664"/>
    </row>
    <row r="230">
      <c r="A230" s="661">
        <f t="shared" si="1"/>
        <v>230</v>
      </c>
      <c r="B230" s="662" t="str">
        <f t="shared" si="2"/>
        <v>#REF!</v>
      </c>
      <c r="C230" s="662" t="str">
        <f>IFERROR(__xludf.DUMMYFUNCTION("IF(
  REGEXMATCH(B230, ""^First\(λ - λ\) ∪ Follow\(""),
  ""Follow("" &amp; REGEXEXTRACT(B230, ""Follow\(([^)]+)\)"") &amp; "") ="",
  IF(
    OR(
      REGEXMATCH(B230, ""^First\([^&lt;]""),
      REGEXMATCH(B230, ""^First\(&lt;[^A-Za-z_]"")
    ),
    """",
    IF(
 "&amp;"     CFG!D230=""λ"",
      ""Follow("" &amp; CFG!B230 &amp; "") ="",
      ""First("" &amp; CFG!D230 &amp; "") =""
    )
  )
)
"),"#REF!")</f>
        <v>#REF!</v>
      </c>
      <c r="D230" s="663" t="str">
        <f>IFERROR(__xludf.DUMMYFUNCTION("IF(
  $C230="""",
  ""{ "" &amp;
    IF(
      REGEXMATCH(B230, ""^First\(\)""),
      "")"",
      REGEXEXTRACT(B230, ""^First\(([^ )]+)"")
    )
  &amp; "" }"",
  IF(
    REGEXMATCH($C230, ""^First\(&lt;""),
    VLOOKUP(REGEXEXTRACT($C230, ""\(([^)]+)\)""), 'First"&amp;" Set MacroA'!B:D, 3, FALSE),
    IF(
      REGEXMATCH($C230, ""^Follow\(&lt;""),
      VLOOKUP(REGEXEXTRACT($C230, ""\(([^)]+)\)""), 'Follow Set Macros'!B:D, 3, FALSE),
      ""{ "" &amp; REGEXEXTRACT($C230, ""\(([^)]+)\)"") &amp; "" }""
    )
  )
)
"),"#REF!")</f>
        <v>#REF!</v>
      </c>
      <c r="E230" s="664"/>
      <c r="F230" s="664"/>
      <c r="G230" s="664"/>
      <c r="H230" s="664"/>
      <c r="I230" s="664"/>
      <c r="J230" s="664"/>
      <c r="K230" s="664"/>
      <c r="L230" s="664"/>
      <c r="M230" s="664"/>
      <c r="N230" s="664"/>
      <c r="O230" s="664"/>
      <c r="P230" s="664"/>
      <c r="Q230" s="664"/>
      <c r="R230" s="664"/>
      <c r="S230" s="664"/>
      <c r="T230" s="664"/>
      <c r="U230" s="664"/>
      <c r="V230" s="664"/>
      <c r="W230" s="664"/>
      <c r="X230" s="664"/>
    </row>
    <row r="231">
      <c r="A231" s="661">
        <f t="shared" si="1"/>
        <v>231</v>
      </c>
      <c r="B231" s="662" t="str">
        <f t="shared" si="2"/>
        <v>#REF!</v>
      </c>
      <c r="C231" s="662" t="str">
        <f>IFERROR(__xludf.DUMMYFUNCTION("IF(
  REGEXMATCH(B231, ""^First\(λ - λ\) ∪ Follow\(""),
  ""Follow("" &amp; REGEXEXTRACT(B231, ""Follow\(([^)]+)\)"") &amp; "") ="",
  IF(
    OR(
      REGEXMATCH(B231, ""^First\([^&lt;]""),
      REGEXMATCH(B231, ""^First\(&lt;[^A-Za-z_]"")
    ),
    """",
    IF(
 "&amp;"     CFG!D231=""λ"",
      ""Follow("" &amp; CFG!B231 &amp; "") ="",
      ""First("" &amp; CFG!D231 &amp; "") =""
    )
  )
)
"),"#REF!")</f>
        <v>#REF!</v>
      </c>
      <c r="D231" s="663" t="str">
        <f>IFERROR(__xludf.DUMMYFUNCTION("IF(
  $C231="""",
  ""{ "" &amp;
    IF(
      REGEXMATCH(B231, ""^First\(\)""),
      "")"",
      REGEXEXTRACT(B231, ""^First\(([^ )]+)"")
    )
  &amp; "" }"",
  IF(
    REGEXMATCH($C231, ""^First\(&lt;""),
    VLOOKUP(REGEXEXTRACT($C231, ""\(([^)]+)\)""), 'First"&amp;" Set MacroA'!B:D, 3, FALSE),
    IF(
      REGEXMATCH($C231, ""^Follow\(&lt;""),
      VLOOKUP(REGEXEXTRACT($C231, ""\(([^)]+)\)""), 'Follow Set Macros'!B:D, 3, FALSE),
      ""{ "" &amp; REGEXEXTRACT($C231, ""\(([^)]+)\)"") &amp; "" }""
    )
  )
)
"),"#REF!")</f>
        <v>#REF!</v>
      </c>
      <c r="E231" s="664"/>
      <c r="F231" s="664"/>
      <c r="G231" s="664"/>
      <c r="H231" s="664"/>
      <c r="I231" s="664"/>
      <c r="J231" s="664"/>
      <c r="K231" s="664"/>
      <c r="L231" s="664"/>
      <c r="M231" s="664"/>
      <c r="N231" s="664"/>
      <c r="O231" s="664"/>
      <c r="P231" s="664"/>
      <c r="Q231" s="664"/>
      <c r="R231" s="664"/>
      <c r="S231" s="664"/>
      <c r="T231" s="664"/>
      <c r="U231" s="664"/>
      <c r="V231" s="664"/>
      <c r="W231" s="664"/>
      <c r="X231" s="664"/>
    </row>
    <row r="232">
      <c r="A232" s="661">
        <f t="shared" si="1"/>
        <v>232</v>
      </c>
      <c r="B232" s="662" t="str">
        <f t="shared" si="2"/>
        <v>#REF!</v>
      </c>
      <c r="C232" s="662" t="str">
        <f>IFERROR(__xludf.DUMMYFUNCTION("IF(
  REGEXMATCH(B232, ""^First\(λ - λ\) ∪ Follow\(""),
  ""Follow("" &amp; REGEXEXTRACT(B232, ""Follow\(([^)]+)\)"") &amp; "") ="",
  IF(
    OR(
      REGEXMATCH(B232, ""^First\([^&lt;]""),
      REGEXMATCH(B232, ""^First\(&lt;[^A-Za-z_]"")
    ),
    """",
    IF(
 "&amp;"     CFG!D232=""λ"",
      ""Follow("" &amp; CFG!B232 &amp; "") ="",
      ""First("" &amp; CFG!D232 &amp; "") =""
    )
  )
)
"),"#REF!")</f>
        <v>#REF!</v>
      </c>
      <c r="D232" s="663" t="str">
        <f>IFERROR(__xludf.DUMMYFUNCTION("IF(
  $C232="""",
  ""{ "" &amp;
    IF(
      REGEXMATCH(B232, ""^First\(\)""),
      "")"",
      REGEXEXTRACT(B232, ""^First\(([^ )]+)"")
    )
  &amp; "" }"",
  IF(
    REGEXMATCH($C232, ""^First\(&lt;""),
    VLOOKUP(REGEXEXTRACT($C232, ""\(([^)]+)\)""), 'First"&amp;" Set MacroA'!B:D, 3, FALSE),
    IF(
      REGEXMATCH($C232, ""^Follow\(&lt;""),
      VLOOKUP(REGEXEXTRACT($C232, ""\(([^)]+)\)""), 'Follow Set Macros'!B:D, 3, FALSE),
      ""{ "" &amp; REGEXEXTRACT($C232, ""\(([^)]+)\)"") &amp; "" }""
    )
  )
)
"),"#REF!")</f>
        <v>#REF!</v>
      </c>
      <c r="E232" s="664"/>
      <c r="F232" s="664"/>
      <c r="G232" s="664"/>
      <c r="H232" s="664"/>
      <c r="I232" s="664"/>
      <c r="J232" s="664"/>
      <c r="K232" s="664"/>
      <c r="L232" s="664"/>
      <c r="M232" s="664"/>
      <c r="N232" s="664"/>
      <c r="O232" s="664"/>
      <c r="P232" s="664"/>
      <c r="Q232" s="664"/>
      <c r="R232" s="664"/>
      <c r="S232" s="664"/>
      <c r="T232" s="664"/>
      <c r="U232" s="664"/>
      <c r="V232" s="664"/>
      <c r="W232" s="664"/>
      <c r="X232" s="664"/>
    </row>
    <row r="233">
      <c r="A233" s="661">
        <f t="shared" si="1"/>
        <v>233</v>
      </c>
      <c r="B233" s="662" t="str">
        <f t="shared" si="2"/>
        <v>#REF!</v>
      </c>
      <c r="C233" s="662" t="str">
        <f>IFERROR(__xludf.DUMMYFUNCTION("IF(
  REGEXMATCH(B233, ""^First\(λ - λ\) ∪ Follow\(""),
  ""Follow("" &amp; REGEXEXTRACT(B233, ""Follow\(([^)]+)\)"") &amp; "") ="",
  IF(
    OR(
      REGEXMATCH(B233, ""^First\([^&lt;]""),
      REGEXMATCH(B233, ""^First\(&lt;[^A-Za-z_]"")
    ),
    """",
    IF(
 "&amp;"     CFG!D233=""λ"",
      ""Follow("" &amp; CFG!B233 &amp; "") ="",
      ""First("" &amp; CFG!D233 &amp; "") =""
    )
  )
)
"),"#REF!")</f>
        <v>#REF!</v>
      </c>
      <c r="D233" s="663" t="str">
        <f>IFERROR(__xludf.DUMMYFUNCTION("IF(
  $C233="""",
  ""{ "" &amp;
    IF(
      REGEXMATCH(B233, ""^First\(\)""),
      "")"",
      REGEXEXTRACT(B233, ""^First\(([^ )]+)"")
    )
  &amp; "" }"",
  IF(
    REGEXMATCH($C233, ""^First\(&lt;""),
    VLOOKUP(REGEXEXTRACT($C233, ""\(([^)]+)\)""), 'First"&amp;" Set MacroA'!B:D, 3, FALSE),
    IF(
      REGEXMATCH($C233, ""^Follow\(&lt;""),
      VLOOKUP(REGEXEXTRACT($C233, ""\(([^)]+)\)""), 'Follow Set Macros'!B:D, 3, FALSE),
      ""{ "" &amp; REGEXEXTRACT($C233, ""\(([^)]+)\)"") &amp; "" }""
    )
  )
)
"),"#REF!")</f>
        <v>#REF!</v>
      </c>
      <c r="E233" s="664"/>
      <c r="F233" s="664"/>
      <c r="G233" s="664"/>
      <c r="H233" s="664"/>
      <c r="I233" s="664"/>
      <c r="J233" s="664"/>
      <c r="K233" s="664"/>
      <c r="L233" s="664"/>
      <c r="M233" s="664"/>
      <c r="N233" s="664"/>
      <c r="O233" s="664"/>
      <c r="P233" s="664"/>
      <c r="Q233" s="664"/>
      <c r="R233" s="664"/>
      <c r="S233" s="664"/>
      <c r="T233" s="664"/>
      <c r="U233" s="664"/>
      <c r="V233" s="664"/>
      <c r="W233" s="664"/>
      <c r="X233" s="664"/>
    </row>
    <row r="234">
      <c r="A234" s="661">
        <f t="shared" si="1"/>
        <v>234</v>
      </c>
      <c r="B234" s="662" t="str">
        <f t="shared" si="2"/>
        <v>#REF!</v>
      </c>
      <c r="C234" s="662" t="str">
        <f>IFERROR(__xludf.DUMMYFUNCTION("IF(
  REGEXMATCH(B234, ""^First\(λ - λ\) ∪ Follow\(""),
  ""Follow("" &amp; REGEXEXTRACT(B234, ""Follow\(([^)]+)\)"") &amp; "") ="",
  IF(
    OR(
      REGEXMATCH(B234, ""^First\([^&lt;]""),
      REGEXMATCH(B234, ""^First\(&lt;[^A-Za-z_]"")
    ),
    """",
    IF(
 "&amp;"     CFG!D234=""λ"",
      ""Follow("" &amp; CFG!B234 &amp; "") ="",
      ""First("" &amp; CFG!D234 &amp; "") =""
    )
  )
)
"),"#REF!")</f>
        <v>#REF!</v>
      </c>
      <c r="D234" s="663" t="str">
        <f>IFERROR(__xludf.DUMMYFUNCTION("IF(
  $C234="""",
  ""{ "" &amp;
    IF(
      REGEXMATCH(B234, ""^First\(\)""),
      "")"",
      REGEXEXTRACT(B234, ""^First\(([^ )]+)"")
    )
  &amp; "" }"",
  IF(
    REGEXMATCH($C234, ""^First\(&lt;""),
    VLOOKUP(REGEXEXTRACT($C234, ""\(([^)]+)\)""), 'First"&amp;" Set MacroA'!B:D, 3, FALSE),
    IF(
      REGEXMATCH($C234, ""^Follow\(&lt;""),
      VLOOKUP(REGEXEXTRACT($C234, ""\(([^)]+)\)""), 'Follow Set Macros'!B:D, 3, FALSE),
      ""{ "" &amp; REGEXEXTRACT($C234, ""\(([^)]+)\)"") &amp; "" }""
    )
  )
)
"),"#REF!")</f>
        <v>#REF!</v>
      </c>
      <c r="E234" s="664"/>
      <c r="F234" s="664"/>
      <c r="G234" s="664"/>
      <c r="H234" s="664"/>
      <c r="I234" s="664"/>
      <c r="J234" s="664"/>
      <c r="K234" s="664"/>
      <c r="L234" s="664"/>
      <c r="M234" s="664"/>
      <c r="N234" s="664"/>
      <c r="O234" s="664"/>
      <c r="P234" s="664"/>
      <c r="Q234" s="664"/>
      <c r="R234" s="664"/>
      <c r="S234" s="664"/>
      <c r="T234" s="664"/>
      <c r="U234" s="664"/>
      <c r="V234" s="664"/>
      <c r="W234" s="664"/>
      <c r="X234" s="664"/>
    </row>
    <row r="235">
      <c r="A235" s="661">
        <f t="shared" si="1"/>
        <v>235</v>
      </c>
      <c r="B235" s="662" t="str">
        <f t="shared" si="2"/>
        <v>#REF!</v>
      </c>
      <c r="C235" s="662" t="str">
        <f>IFERROR(__xludf.DUMMYFUNCTION("IF(
  REGEXMATCH(B235, ""^First\(λ - λ\) ∪ Follow\(""),
  ""Follow("" &amp; REGEXEXTRACT(B235, ""Follow\(([^)]+)\)"") &amp; "") ="",
  IF(
    OR(
      REGEXMATCH(B235, ""^First\([^&lt;]""),
      REGEXMATCH(B235, ""^First\(&lt;[^A-Za-z_]"")
    ),
    """",
    IF(
 "&amp;"     CFG!D235=""λ"",
      ""Follow("" &amp; CFG!B235 &amp; "") ="",
      ""First("" &amp; CFG!D235 &amp; "") =""
    )
  )
)
"),"#REF!")</f>
        <v>#REF!</v>
      </c>
      <c r="D235" s="663" t="str">
        <f>IFERROR(__xludf.DUMMYFUNCTION("IF(
  $C235="""",
  ""{ "" &amp;
    IF(
      REGEXMATCH(B235, ""^First\(\)""),
      "")"",
      REGEXEXTRACT(B235, ""^First\(([^ )]+)"")
    )
  &amp; "" }"",
  IF(
    REGEXMATCH($C235, ""^First\(&lt;""),
    VLOOKUP(REGEXEXTRACT($C235, ""\(([^)]+)\)""), 'First"&amp;" Set MacroA'!B:D, 3, FALSE),
    IF(
      REGEXMATCH($C235, ""^Follow\(&lt;""),
      VLOOKUP(REGEXEXTRACT($C235, ""\(([^)]+)\)""), 'Follow Set Macros'!B:D, 3, FALSE),
      ""{ "" &amp; REGEXEXTRACT($C235, ""\(([^)]+)\)"") &amp; "" }""
    )
  )
)
"),"#REF!")</f>
        <v>#REF!</v>
      </c>
      <c r="E235" s="664"/>
      <c r="F235" s="664"/>
      <c r="G235" s="664"/>
      <c r="H235" s="664"/>
      <c r="I235" s="664"/>
      <c r="J235" s="664"/>
      <c r="K235" s="664"/>
      <c r="L235" s="664"/>
      <c r="M235" s="664"/>
      <c r="N235" s="664"/>
      <c r="O235" s="664"/>
      <c r="P235" s="664"/>
      <c r="Q235" s="664"/>
      <c r="R235" s="664"/>
      <c r="S235" s="664"/>
      <c r="T235" s="664"/>
      <c r="U235" s="664"/>
      <c r="V235" s="664"/>
      <c r="W235" s="664"/>
      <c r="X235" s="664"/>
    </row>
    <row r="236">
      <c r="A236" s="661">
        <f t="shared" si="1"/>
        <v>236</v>
      </c>
      <c r="B236" s="662" t="str">
        <f t="shared" si="2"/>
        <v>#REF!</v>
      </c>
      <c r="C236" s="662" t="str">
        <f>IFERROR(__xludf.DUMMYFUNCTION("IF(
  REGEXMATCH(B236, ""^First\(λ - λ\) ∪ Follow\(""),
  ""Follow("" &amp; REGEXEXTRACT(B236, ""Follow\(([^)]+)\)"") &amp; "") ="",
  IF(
    OR(
      REGEXMATCH(B236, ""^First\([^&lt;]""),
      REGEXMATCH(B236, ""^First\(&lt;[^A-Za-z_]"")
    ),
    """",
    IF(
 "&amp;"     CFG!D236=""λ"",
      ""Follow("" &amp; CFG!B236 &amp; "") ="",
      ""First("" &amp; CFG!D236 &amp; "") =""
    )
  )
)
"),"#REF!")</f>
        <v>#REF!</v>
      </c>
      <c r="D236" s="663" t="str">
        <f>IFERROR(__xludf.DUMMYFUNCTION("IF(
  $C236="""",
  ""{ "" &amp;
    IF(
      REGEXMATCH(B236, ""^First\(\)""),
      "")"",
      REGEXEXTRACT(B236, ""^First\(([^ )]+)"")
    )
  &amp; "" }"",
  IF(
    REGEXMATCH($C236, ""^First\(&lt;""),
    VLOOKUP(REGEXEXTRACT($C236, ""\(([^)]+)\)""), 'First"&amp;" Set MacroA'!B:D, 3, FALSE),
    IF(
      REGEXMATCH($C236, ""^Follow\(&lt;""),
      VLOOKUP(REGEXEXTRACT($C236, ""\(([^)]+)\)""), 'Follow Set Macros'!B:D, 3, FALSE),
      ""{ "" &amp; REGEXEXTRACT($C236, ""\(([^)]+)\)"") &amp; "" }""
    )
  )
)
"),"#REF!")</f>
        <v>#REF!</v>
      </c>
      <c r="E236" s="664"/>
      <c r="F236" s="664"/>
      <c r="G236" s="664"/>
      <c r="H236" s="664"/>
      <c r="I236" s="664"/>
      <c r="J236" s="664"/>
      <c r="K236" s="664"/>
      <c r="L236" s="664"/>
      <c r="M236" s="664"/>
      <c r="N236" s="664"/>
      <c r="O236" s="664"/>
      <c r="P236" s="664"/>
      <c r="Q236" s="664"/>
      <c r="R236" s="664"/>
      <c r="S236" s="664"/>
      <c r="T236" s="664"/>
      <c r="U236" s="664"/>
      <c r="V236" s="664"/>
      <c r="W236" s="664"/>
      <c r="X236" s="664"/>
    </row>
    <row r="237">
      <c r="A237" s="661">
        <f t="shared" si="1"/>
        <v>237</v>
      </c>
      <c r="B237" s="662" t="str">
        <f t="shared" si="2"/>
        <v>#REF!</v>
      </c>
      <c r="C237" s="662" t="str">
        <f>IFERROR(__xludf.DUMMYFUNCTION("IF(
  REGEXMATCH(B237, ""^First\(λ - λ\) ∪ Follow\(""),
  ""Follow("" &amp; REGEXEXTRACT(B237, ""Follow\(([^)]+)\)"") &amp; "") ="",
  IF(
    OR(
      REGEXMATCH(B237, ""^First\([^&lt;]""),
      REGEXMATCH(B237, ""^First\(&lt;[^A-Za-z_]"")
    ),
    """",
    IF(
 "&amp;"     CFG!D237=""λ"",
      ""Follow("" &amp; CFG!B237 &amp; "") ="",
      ""First("" &amp; CFG!D237 &amp; "") =""
    )
  )
)
"),"#REF!")</f>
        <v>#REF!</v>
      </c>
      <c r="D237" s="663" t="str">
        <f>IFERROR(__xludf.DUMMYFUNCTION("IF(
  $C237="""",
  ""{ "" &amp;
    IF(
      REGEXMATCH(B237, ""^First\(\)""),
      "")"",
      REGEXEXTRACT(B237, ""^First\(([^ )]+)"")
    )
  &amp; "" }"",
  IF(
    REGEXMATCH($C237, ""^First\(&lt;""),
    VLOOKUP(REGEXEXTRACT($C237, ""\(([^)]+)\)""), 'First"&amp;" Set MacroA'!B:D, 3, FALSE),
    IF(
      REGEXMATCH($C237, ""^Follow\(&lt;""),
      VLOOKUP(REGEXEXTRACT($C237, ""\(([^)]+)\)""), 'Follow Set Macros'!B:D, 3, FALSE),
      ""{ "" &amp; REGEXEXTRACT($C237, ""\(([^)]+)\)"") &amp; "" }""
    )
  )
)
"),"#REF!")</f>
        <v>#REF!</v>
      </c>
      <c r="E237" s="664"/>
      <c r="F237" s="664"/>
      <c r="G237" s="664"/>
      <c r="H237" s="664"/>
      <c r="I237" s="664"/>
      <c r="J237" s="664"/>
      <c r="K237" s="664"/>
      <c r="L237" s="664"/>
      <c r="M237" s="664"/>
      <c r="N237" s="664"/>
      <c r="O237" s="664"/>
      <c r="P237" s="664"/>
      <c r="Q237" s="664"/>
      <c r="R237" s="664"/>
      <c r="S237" s="664"/>
      <c r="T237" s="664"/>
      <c r="U237" s="664"/>
      <c r="V237" s="664"/>
      <c r="W237" s="664"/>
      <c r="X237" s="664"/>
    </row>
    <row r="238">
      <c r="A238" s="661">
        <f t="shared" si="1"/>
        <v>238</v>
      </c>
      <c r="B238" s="662" t="str">
        <f t="shared" si="2"/>
        <v>#REF!</v>
      </c>
      <c r="C238" s="662" t="str">
        <f>IFERROR(__xludf.DUMMYFUNCTION("IF(
  REGEXMATCH(B238, ""^First\(λ - λ\) ∪ Follow\(""),
  ""Follow("" &amp; REGEXEXTRACT(B238, ""Follow\(([^)]+)\)"") &amp; "") ="",
  IF(
    OR(
      REGEXMATCH(B238, ""^First\([^&lt;]""),
      REGEXMATCH(B238, ""^First\(&lt;[^A-Za-z_]"")
    ),
    """",
    IF(
 "&amp;"     CFG!D238=""λ"",
      ""Follow("" &amp; CFG!B238 &amp; "") ="",
      ""First("" &amp; CFG!D238 &amp; "") =""
    )
  )
)
"),"#REF!")</f>
        <v>#REF!</v>
      </c>
      <c r="D238" s="663" t="str">
        <f>IFERROR(__xludf.DUMMYFUNCTION("IF(
  $C238="""",
  ""{ "" &amp;
    IF(
      REGEXMATCH(B238, ""^First\(\)""),
      "")"",
      REGEXEXTRACT(B238, ""^First\(([^ )]+)"")
    )
  &amp; "" }"",
  IF(
    REGEXMATCH($C238, ""^First\(&lt;""),
    VLOOKUP(REGEXEXTRACT($C238, ""\(([^)]+)\)""), 'First"&amp;" Set MacroA'!B:D, 3, FALSE),
    IF(
      REGEXMATCH($C238, ""^Follow\(&lt;""),
      VLOOKUP(REGEXEXTRACT($C238, ""\(([^)]+)\)""), 'Follow Set Macros'!B:D, 3, FALSE),
      ""{ "" &amp; REGEXEXTRACT($C238, ""\(([^)]+)\)"") &amp; "" }""
    )
  )
)
"),"#REF!")</f>
        <v>#REF!</v>
      </c>
      <c r="E238" s="664"/>
      <c r="F238" s="664"/>
      <c r="G238" s="664"/>
      <c r="H238" s="664"/>
      <c r="I238" s="664"/>
      <c r="J238" s="664"/>
      <c r="K238" s="664"/>
      <c r="L238" s="664"/>
      <c r="M238" s="664"/>
      <c r="N238" s="664"/>
      <c r="O238" s="664"/>
      <c r="P238" s="664"/>
      <c r="Q238" s="664"/>
      <c r="R238" s="664"/>
      <c r="S238" s="664"/>
      <c r="T238" s="664"/>
      <c r="U238" s="664"/>
      <c r="V238" s="664"/>
      <c r="W238" s="664"/>
      <c r="X238" s="664"/>
    </row>
    <row r="239">
      <c r="A239" s="661">
        <f t="shared" si="1"/>
        <v>239</v>
      </c>
      <c r="B239" s="662" t="str">
        <f t="shared" si="2"/>
        <v>#REF!</v>
      </c>
      <c r="C239" s="662" t="str">
        <f>IFERROR(__xludf.DUMMYFUNCTION("IF(
  REGEXMATCH(B239, ""^First\(λ - λ\) ∪ Follow\(""),
  ""Follow("" &amp; REGEXEXTRACT(B239, ""Follow\(([^)]+)\)"") &amp; "") ="",
  IF(
    OR(
      REGEXMATCH(B239, ""^First\([^&lt;]""),
      REGEXMATCH(B239, ""^First\(&lt;[^A-Za-z_]"")
    ),
    """",
    IF(
 "&amp;"     CFG!D239=""λ"",
      ""Follow("" &amp; CFG!B239 &amp; "") ="",
      ""First("" &amp; CFG!D239 &amp; "") =""
    )
  )
)
"),"#REF!")</f>
        <v>#REF!</v>
      </c>
      <c r="D239" s="663" t="str">
        <f>IFERROR(__xludf.DUMMYFUNCTION("IF(
  $C239="""",
  ""{ "" &amp;
    IF(
      REGEXMATCH(B239, ""^First\(\)""),
      "")"",
      REGEXEXTRACT(B239, ""^First\(([^ )]+)"")
    )
  &amp; "" }"",
  IF(
    REGEXMATCH($C239, ""^First\(&lt;""),
    VLOOKUP(REGEXEXTRACT($C239, ""\(([^)]+)\)""), 'First"&amp;" Set MacroA'!B:D, 3, FALSE),
    IF(
      REGEXMATCH($C239, ""^Follow\(&lt;""),
      VLOOKUP(REGEXEXTRACT($C239, ""\(([^)]+)\)""), 'Follow Set Macros'!B:D, 3, FALSE),
      ""{ "" &amp; REGEXEXTRACT($C239, ""\(([^)]+)\)"") &amp; "" }""
    )
  )
)
"),"#REF!")</f>
        <v>#REF!</v>
      </c>
      <c r="E239" s="664"/>
      <c r="F239" s="664"/>
      <c r="G239" s="664"/>
      <c r="H239" s="664"/>
      <c r="I239" s="664"/>
      <c r="J239" s="664"/>
      <c r="K239" s="664"/>
      <c r="L239" s="664"/>
      <c r="M239" s="664"/>
      <c r="N239" s="664"/>
      <c r="O239" s="664"/>
      <c r="P239" s="664"/>
      <c r="Q239" s="664"/>
      <c r="R239" s="664"/>
      <c r="S239" s="664"/>
      <c r="T239" s="664"/>
      <c r="U239" s="664"/>
      <c r="V239" s="664"/>
      <c r="W239" s="664"/>
      <c r="X239" s="664"/>
    </row>
    <row r="240">
      <c r="A240" s="661">
        <f t="shared" si="1"/>
        <v>240</v>
      </c>
      <c r="B240" s="662" t="str">
        <f t="shared" si="2"/>
        <v>#REF!</v>
      </c>
      <c r="C240" s="662" t="str">
        <f>IFERROR(__xludf.DUMMYFUNCTION("IF(
  REGEXMATCH(B240, ""^First\(λ - λ\) ∪ Follow\(""),
  ""Follow("" &amp; REGEXEXTRACT(B240, ""Follow\(([^)]+)\)"") &amp; "") ="",
  IF(
    OR(
      REGEXMATCH(B240, ""^First\([^&lt;]""),
      REGEXMATCH(B240, ""^First\(&lt;[^A-Za-z_]"")
    ),
    """",
    IF(
 "&amp;"     CFG!D240=""λ"",
      ""Follow("" &amp; CFG!B240 &amp; "") ="",
      ""First("" &amp; CFG!D240 &amp; "") =""
    )
  )
)
"),"#REF!")</f>
        <v>#REF!</v>
      </c>
      <c r="D240" s="663" t="str">
        <f>IFERROR(__xludf.DUMMYFUNCTION("IF(
  $C240="""",
  ""{ "" &amp;
    IF(
      REGEXMATCH(B240, ""^First\(\)""),
      "")"",
      REGEXEXTRACT(B240, ""^First\(([^ )]+)"")
    )
  &amp; "" }"",
  IF(
    REGEXMATCH($C240, ""^First\(&lt;""),
    VLOOKUP(REGEXEXTRACT($C240, ""\(([^)]+)\)""), 'First"&amp;" Set MacroA'!B:D, 3, FALSE),
    IF(
      REGEXMATCH($C240, ""^Follow\(&lt;""),
      VLOOKUP(REGEXEXTRACT($C240, ""\(([^)]+)\)""), 'Follow Set Macros'!B:D, 3, FALSE),
      ""{ "" &amp; REGEXEXTRACT($C240, ""\(([^)]+)\)"") &amp; "" }""
    )
  )
)
"),"#REF!")</f>
        <v>#REF!</v>
      </c>
      <c r="E240" s="664"/>
      <c r="F240" s="664"/>
      <c r="G240" s="664"/>
      <c r="H240" s="664"/>
      <c r="I240" s="664"/>
      <c r="J240" s="664"/>
      <c r="K240" s="664"/>
      <c r="L240" s="664"/>
      <c r="M240" s="664"/>
      <c r="N240" s="664"/>
      <c r="O240" s="664"/>
      <c r="P240" s="664"/>
      <c r="Q240" s="664"/>
      <c r="R240" s="664"/>
      <c r="S240" s="664"/>
      <c r="T240" s="664"/>
      <c r="U240" s="664"/>
      <c r="V240" s="664"/>
      <c r="W240" s="664"/>
      <c r="X240" s="664"/>
    </row>
    <row r="241">
      <c r="A241" s="661">
        <f t="shared" si="1"/>
        <v>241</v>
      </c>
      <c r="B241" s="662" t="str">
        <f t="shared" si="2"/>
        <v>#REF!</v>
      </c>
      <c r="C241" s="662" t="str">
        <f>IFERROR(__xludf.DUMMYFUNCTION("IF(
  REGEXMATCH(B241, ""^First\(λ - λ\) ∪ Follow\(""),
  ""Follow("" &amp; REGEXEXTRACT(B241, ""Follow\(([^)]+)\)"") &amp; "") ="",
  IF(
    OR(
      REGEXMATCH(B241, ""^First\([^&lt;]""),
      REGEXMATCH(B241, ""^First\(&lt;[^A-Za-z_]"")
    ),
    """",
    IF(
 "&amp;"     CFG!D241=""λ"",
      ""Follow("" &amp; CFG!B241 &amp; "") ="",
      ""First("" &amp; CFG!D241 &amp; "") =""
    )
  )
)
"),"#REF!")</f>
        <v>#REF!</v>
      </c>
      <c r="D241" s="663" t="str">
        <f>IFERROR(__xludf.DUMMYFUNCTION("IF(
  $C241="""",
  ""{ "" &amp;
    IF(
      REGEXMATCH(B241, ""^First\(\)""),
      "")"",
      REGEXEXTRACT(B241, ""^First\(([^ )]+)"")
    )
  &amp; "" }"",
  IF(
    REGEXMATCH($C241, ""^First\(&lt;""),
    VLOOKUP(REGEXEXTRACT($C241, ""\(([^)]+)\)""), 'First"&amp;" Set MacroA'!B:D, 3, FALSE),
    IF(
      REGEXMATCH($C241, ""^Follow\(&lt;""),
      VLOOKUP(REGEXEXTRACT($C241, ""\(([^)]+)\)""), 'Follow Set Macros'!B:D, 3, FALSE),
      ""{ "" &amp; REGEXEXTRACT($C241, ""\(([^)]+)\)"") &amp; "" }""
    )
  )
)
"),"#REF!")</f>
        <v>#REF!</v>
      </c>
      <c r="E241" s="664"/>
      <c r="F241" s="664"/>
      <c r="G241" s="664"/>
      <c r="H241" s="664"/>
      <c r="I241" s="664"/>
      <c r="J241" s="664"/>
      <c r="K241" s="664"/>
      <c r="L241" s="664"/>
      <c r="M241" s="664"/>
      <c r="N241" s="664"/>
      <c r="O241" s="664"/>
      <c r="P241" s="664"/>
      <c r="Q241" s="664"/>
      <c r="R241" s="664"/>
      <c r="S241" s="664"/>
      <c r="T241" s="664"/>
      <c r="U241" s="664"/>
      <c r="V241" s="664"/>
      <c r="W241" s="664"/>
      <c r="X241" s="664"/>
    </row>
    <row r="242">
      <c r="A242" s="661">
        <f t="shared" si="1"/>
        <v>242</v>
      </c>
      <c r="B242" s="662" t="str">
        <f t="shared" si="2"/>
        <v>#REF!</v>
      </c>
      <c r="C242" s="662" t="str">
        <f>IFERROR(__xludf.DUMMYFUNCTION("IF(
  REGEXMATCH(B242, ""^First\(λ - λ\) ∪ Follow\(""),
  ""Follow("" &amp; REGEXEXTRACT(B242, ""Follow\(([^)]+)\)"") &amp; "") ="",
  IF(
    OR(
      REGEXMATCH(B242, ""^First\([^&lt;]""),
      REGEXMATCH(B242, ""^First\(&lt;[^A-Za-z_]"")
    ),
    """",
    IF(
 "&amp;"     CFG!D242=""λ"",
      ""Follow("" &amp; CFG!B242 &amp; "") ="",
      ""First("" &amp; CFG!D242 &amp; "") =""
    )
  )
)
"),"#REF!")</f>
        <v>#REF!</v>
      </c>
      <c r="D242" s="663" t="str">
        <f>IFERROR(__xludf.DUMMYFUNCTION("IF(
  $C242="""",
  ""{ "" &amp;
    IF(
      REGEXMATCH(B242, ""^First\(\)""),
      "")"",
      REGEXEXTRACT(B242, ""^First\(([^ )]+)"")
    )
  &amp; "" }"",
  IF(
    REGEXMATCH($C242, ""^First\(&lt;""),
    VLOOKUP(REGEXEXTRACT($C242, ""\(([^)]+)\)""), 'First"&amp;" Set MacroA'!B:D, 3, FALSE),
    IF(
      REGEXMATCH($C242, ""^Follow\(&lt;""),
      VLOOKUP(REGEXEXTRACT($C242, ""\(([^)]+)\)""), 'Follow Set Macros'!B:D, 3, FALSE),
      ""{ "" &amp; REGEXEXTRACT($C242, ""\(([^)]+)\)"") &amp; "" }""
    )
  )
)
"),"#REF!")</f>
        <v>#REF!</v>
      </c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</row>
    <row r="243">
      <c r="A243" s="661">
        <f t="shared" si="1"/>
        <v>243</v>
      </c>
      <c r="B243" s="662" t="str">
        <f t="shared" si="2"/>
        <v>#REF!</v>
      </c>
      <c r="C243" s="662" t="str">
        <f>IFERROR(__xludf.DUMMYFUNCTION("IF(
  REGEXMATCH(B243, ""^First\(λ - λ\) ∪ Follow\(""),
  ""Follow("" &amp; REGEXEXTRACT(B243, ""Follow\(([^)]+)\)"") &amp; "") ="",
  IF(
    OR(
      REGEXMATCH(B243, ""^First\([^&lt;]""),
      REGEXMATCH(B243, ""^First\(&lt;[^A-Za-z_]"")
    ),
    """",
    IF(
 "&amp;"     CFG!D243=""λ"",
      ""Follow("" &amp; CFG!B243 &amp; "") ="",
      ""First("" &amp; CFG!D243 &amp; "") =""
    )
  )
)
"),"#REF!")</f>
        <v>#REF!</v>
      </c>
      <c r="D243" s="663" t="str">
        <f>IFERROR(__xludf.DUMMYFUNCTION("IF(
  $C243="""",
  ""{ "" &amp;
    IF(
      REGEXMATCH(B243, ""^First\(\)""),
      "")"",
      REGEXEXTRACT(B243, ""^First\(([^ )]+)"")
    )
  &amp; "" }"",
  IF(
    REGEXMATCH($C243, ""^First\(&lt;""),
    VLOOKUP(REGEXEXTRACT($C243, ""\(([^)]+)\)""), 'First"&amp;" Set MacroA'!B:D, 3, FALSE),
    IF(
      REGEXMATCH($C243, ""^Follow\(&lt;""),
      VLOOKUP(REGEXEXTRACT($C243, ""\(([^)]+)\)""), 'Follow Set Macros'!B:D, 3, FALSE),
      ""{ "" &amp; REGEXEXTRACT($C243, ""\(([^)]+)\)"") &amp; "" }""
    )
  )
)
"),"#REF!")</f>
        <v>#REF!</v>
      </c>
      <c r="E243" s="664"/>
      <c r="F243" s="664"/>
      <c r="G243" s="664"/>
      <c r="H243" s="664"/>
      <c r="I243" s="664"/>
      <c r="J243" s="664"/>
      <c r="K243" s="664"/>
      <c r="L243" s="664"/>
      <c r="M243" s="664"/>
      <c r="N243" s="664"/>
      <c r="O243" s="664"/>
      <c r="P243" s="664"/>
      <c r="Q243" s="664"/>
      <c r="R243" s="664"/>
      <c r="S243" s="664"/>
      <c r="T243" s="664"/>
      <c r="U243" s="664"/>
      <c r="V243" s="664"/>
      <c r="W243" s="664"/>
      <c r="X243" s="664"/>
    </row>
    <row r="244">
      <c r="A244" s="661">
        <f t="shared" si="1"/>
        <v>244</v>
      </c>
      <c r="B244" s="662" t="str">
        <f t="shared" si="2"/>
        <v>#REF!</v>
      </c>
      <c r="C244" s="662" t="str">
        <f>IFERROR(__xludf.DUMMYFUNCTION("IF(
  REGEXMATCH(B244, ""^First\(λ - λ\) ∪ Follow\(""),
  ""Follow("" &amp; REGEXEXTRACT(B244, ""Follow\(([^)]+)\)"") &amp; "") ="",
  IF(
    OR(
      REGEXMATCH(B244, ""^First\([^&lt;]""),
      REGEXMATCH(B244, ""^First\(&lt;[^A-Za-z_]"")
    ),
    """",
    IF(
 "&amp;"     CFG!D244=""λ"",
      ""Follow("" &amp; CFG!B244 &amp; "") ="",
      ""First("" &amp; CFG!D244 &amp; "") =""
    )
  )
)
"),"#REF!")</f>
        <v>#REF!</v>
      </c>
      <c r="D244" s="663" t="str">
        <f>IFERROR(__xludf.DUMMYFUNCTION("IF(
  $C244="""",
  ""{ "" &amp;
    IF(
      REGEXMATCH(B244, ""^First\(\)""),
      "")"",
      REGEXEXTRACT(B244, ""^First\(([^ )]+)"")
    )
  &amp; "" }"",
  IF(
    REGEXMATCH($C244, ""^First\(&lt;""),
    VLOOKUP(REGEXEXTRACT($C244, ""\(([^)]+)\)""), 'First"&amp;" Set MacroA'!B:D, 3, FALSE),
    IF(
      REGEXMATCH($C244, ""^Follow\(&lt;""),
      VLOOKUP(REGEXEXTRACT($C244, ""\(([^)]+)\)""), 'Follow Set Macros'!B:D, 3, FALSE),
      ""{ "" &amp; REGEXEXTRACT($C244, ""\(([^)]+)\)"") &amp; "" }""
    )
  )
)
"),"#REF!")</f>
        <v>#REF!</v>
      </c>
      <c r="E244" s="664"/>
      <c r="F244" s="664"/>
      <c r="G244" s="664"/>
      <c r="H244" s="664"/>
      <c r="I244" s="664"/>
      <c r="J244" s="664"/>
      <c r="K244" s="664"/>
      <c r="L244" s="664"/>
      <c r="M244" s="664"/>
      <c r="N244" s="664"/>
      <c r="O244" s="664"/>
      <c r="P244" s="664"/>
      <c r="Q244" s="664"/>
      <c r="R244" s="664"/>
      <c r="S244" s="664"/>
      <c r="T244" s="664"/>
      <c r="U244" s="664"/>
      <c r="V244" s="664"/>
      <c r="W244" s="664"/>
      <c r="X244" s="664"/>
    </row>
    <row r="245">
      <c r="A245" s="661">
        <f t="shared" si="1"/>
        <v>245</v>
      </c>
      <c r="B245" s="662" t="str">
        <f t="shared" si="2"/>
        <v>#REF!</v>
      </c>
      <c r="C245" s="662" t="str">
        <f>IFERROR(__xludf.DUMMYFUNCTION("IF(
  REGEXMATCH(B245, ""^First\(λ - λ\) ∪ Follow\(""),
  ""Follow("" &amp; REGEXEXTRACT(B245, ""Follow\(([^)]+)\)"") &amp; "") ="",
  IF(
    OR(
      REGEXMATCH(B245, ""^First\([^&lt;]""),
      REGEXMATCH(B245, ""^First\(&lt;[^A-Za-z_]"")
    ),
    """",
    IF(
 "&amp;"     CFG!D245=""λ"",
      ""Follow("" &amp; CFG!B245 &amp; "") ="",
      ""First("" &amp; CFG!D245 &amp; "") =""
    )
  )
)
"),"#REF!")</f>
        <v>#REF!</v>
      </c>
      <c r="D245" s="663" t="str">
        <f>IFERROR(__xludf.DUMMYFUNCTION("IF(
  $C245="""",
  ""{ "" &amp;
    IF(
      REGEXMATCH(B245, ""^First\(\)""),
      "")"",
      REGEXEXTRACT(B245, ""^First\(([^ )]+)"")
    )
  &amp; "" }"",
  IF(
    REGEXMATCH($C245, ""^First\(&lt;""),
    VLOOKUP(REGEXEXTRACT($C245, ""\(([^)]+)\)""), 'First"&amp;" Set MacroA'!B:D, 3, FALSE),
    IF(
      REGEXMATCH($C245, ""^Follow\(&lt;""),
      VLOOKUP(REGEXEXTRACT($C245, ""\(([^)]+)\)""), 'Follow Set Macros'!B:D, 3, FALSE),
      ""{ "" &amp; REGEXEXTRACT($C245, ""\(([^)]+)\)"") &amp; "" }""
    )
  )
)
"),"#REF!")</f>
        <v>#REF!</v>
      </c>
      <c r="E245" s="664"/>
      <c r="F245" s="664"/>
      <c r="G245" s="664"/>
      <c r="H245" s="664"/>
      <c r="I245" s="664"/>
      <c r="J245" s="664"/>
      <c r="K245" s="664"/>
      <c r="L245" s="664"/>
      <c r="M245" s="664"/>
      <c r="N245" s="664"/>
      <c r="O245" s="664"/>
      <c r="P245" s="664"/>
      <c r="Q245" s="664"/>
      <c r="R245" s="664"/>
      <c r="S245" s="664"/>
      <c r="T245" s="664"/>
      <c r="U245" s="664"/>
      <c r="V245" s="664"/>
      <c r="W245" s="664"/>
      <c r="X245" s="664"/>
    </row>
    <row r="246">
      <c r="A246" s="661">
        <f t="shared" si="1"/>
        <v>246</v>
      </c>
      <c r="B246" s="662" t="str">
        <f t="shared" si="2"/>
        <v>#REF!</v>
      </c>
      <c r="C246" s="662" t="str">
        <f>IFERROR(__xludf.DUMMYFUNCTION("IF(
  REGEXMATCH(B246, ""^First\(λ - λ\) ∪ Follow\(""),
  ""Follow("" &amp; REGEXEXTRACT(B246, ""Follow\(([^)]+)\)"") &amp; "") ="",
  IF(
    OR(
      REGEXMATCH(B246, ""^First\([^&lt;]""),
      REGEXMATCH(B246, ""^First\(&lt;[^A-Za-z_]"")
    ),
    """",
    IF(
 "&amp;"     CFG!D246=""λ"",
      ""Follow("" &amp; CFG!B246 &amp; "") ="",
      ""First("" &amp; CFG!D246 &amp; "") =""
    )
  )
)
"),"#REF!")</f>
        <v>#REF!</v>
      </c>
      <c r="D246" s="663" t="str">
        <f>IFERROR(__xludf.DUMMYFUNCTION("IF(
  $C246="""",
  ""{ "" &amp;
    IF(
      REGEXMATCH(B246, ""^First\(\)""),
      "")"",
      REGEXEXTRACT(B246, ""^First\(([^ )]+)"")
    )
  &amp; "" }"",
  IF(
    REGEXMATCH($C246, ""^First\(&lt;""),
    VLOOKUP(REGEXEXTRACT($C246, ""\(([^)]+)\)""), 'First"&amp;" Set MacroA'!B:D, 3, FALSE),
    IF(
      REGEXMATCH($C246, ""^Follow\(&lt;""),
      VLOOKUP(REGEXEXTRACT($C246, ""\(([^)]+)\)""), 'Follow Set Macros'!B:D, 3, FALSE),
      ""{ "" &amp; REGEXEXTRACT($C246, ""\(([^)]+)\)"") &amp; "" }""
    )
  )
)
"),"#REF!")</f>
        <v>#REF!</v>
      </c>
      <c r="E246" s="664"/>
      <c r="F246" s="664"/>
      <c r="G246" s="664"/>
      <c r="H246" s="664"/>
      <c r="I246" s="664"/>
      <c r="J246" s="664"/>
      <c r="K246" s="664"/>
      <c r="L246" s="664"/>
      <c r="M246" s="664"/>
      <c r="N246" s="664"/>
      <c r="O246" s="664"/>
      <c r="P246" s="664"/>
      <c r="Q246" s="664"/>
      <c r="R246" s="664"/>
      <c r="S246" s="664"/>
      <c r="T246" s="664"/>
      <c r="U246" s="664"/>
      <c r="V246" s="664"/>
      <c r="W246" s="664"/>
      <c r="X246" s="664"/>
    </row>
    <row r="247">
      <c r="A247" s="661">
        <f t="shared" si="1"/>
        <v>247</v>
      </c>
      <c r="B247" s="662" t="str">
        <f t="shared" si="2"/>
        <v>#REF!</v>
      </c>
      <c r="C247" s="662" t="str">
        <f>IFERROR(__xludf.DUMMYFUNCTION("IF(
  REGEXMATCH(B247, ""^First\(λ - λ\) ∪ Follow\(""),
  ""Follow("" &amp; REGEXEXTRACT(B247, ""Follow\(([^)]+)\)"") &amp; "") ="",
  IF(
    OR(
      REGEXMATCH(B247, ""^First\([^&lt;]""),
      REGEXMATCH(B247, ""^First\(&lt;[^A-Za-z_]"")
    ),
    """",
    IF(
 "&amp;"     CFG!D247=""λ"",
      ""Follow("" &amp; CFG!B247 &amp; "") ="",
      ""First("" &amp; CFG!D247 &amp; "") =""
    )
  )
)
"),"#REF!")</f>
        <v>#REF!</v>
      </c>
      <c r="D247" s="663" t="str">
        <f>IFERROR(__xludf.DUMMYFUNCTION("IF(
  $C247="""",
  ""{ "" &amp;
    IF(
      REGEXMATCH(B247, ""^First\(\)""),
      "")"",
      REGEXEXTRACT(B247, ""^First\(([^ )]+)"")
    )
  &amp; "" }"",
  IF(
    REGEXMATCH($C247, ""^First\(&lt;""),
    VLOOKUP(REGEXEXTRACT($C247, ""\(([^)]+)\)""), 'First"&amp;" Set MacroA'!B:D, 3, FALSE),
    IF(
      REGEXMATCH($C247, ""^Follow\(&lt;""),
      VLOOKUP(REGEXEXTRACT($C247, ""\(([^)]+)\)""), 'Follow Set Macros'!B:D, 3, FALSE),
      ""{ "" &amp; REGEXEXTRACT($C247, ""\(([^)]+)\)"") &amp; "" }""
    )
  )
)
"),"#REF!")</f>
        <v>#REF!</v>
      </c>
      <c r="E247" s="664"/>
      <c r="F247" s="664"/>
      <c r="G247" s="664"/>
      <c r="H247" s="664"/>
      <c r="I247" s="664"/>
      <c r="J247" s="664"/>
      <c r="K247" s="664"/>
      <c r="L247" s="664"/>
      <c r="M247" s="664"/>
      <c r="N247" s="664"/>
      <c r="O247" s="664"/>
      <c r="P247" s="664"/>
      <c r="Q247" s="664"/>
      <c r="R247" s="664"/>
      <c r="S247" s="664"/>
      <c r="T247" s="664"/>
      <c r="U247" s="664"/>
      <c r="V247" s="664"/>
      <c r="W247" s="664"/>
      <c r="X247" s="664"/>
    </row>
    <row r="248">
      <c r="A248" s="661">
        <f t="shared" si="1"/>
        <v>248</v>
      </c>
      <c r="B248" s="662" t="str">
        <f t="shared" si="2"/>
        <v>#REF!</v>
      </c>
      <c r="C248" s="662" t="str">
        <f>IFERROR(__xludf.DUMMYFUNCTION("IF(
  REGEXMATCH(B248, ""^First\(λ - λ\) ∪ Follow\(""),
  ""Follow("" &amp; REGEXEXTRACT(B248, ""Follow\(([^)]+)\)"") &amp; "") ="",
  IF(
    OR(
      REGEXMATCH(B248, ""^First\([^&lt;]""),
      REGEXMATCH(B248, ""^First\(&lt;[^A-Za-z_]"")
    ),
    """",
    IF(
 "&amp;"     CFG!D248=""λ"",
      ""Follow("" &amp; CFG!B248 &amp; "") ="",
      ""First("" &amp; CFG!D248 &amp; "") =""
    )
  )
)
"),"#REF!")</f>
        <v>#REF!</v>
      </c>
      <c r="D248" s="663" t="str">
        <f>IFERROR(__xludf.DUMMYFUNCTION("IF(
  $C248="""",
  ""{ "" &amp;
    IF(
      REGEXMATCH(B248, ""^First\(\)""),
      "")"",
      REGEXEXTRACT(B248, ""^First\(([^ )]+)"")
    )
  &amp; "" }"",
  IF(
    REGEXMATCH($C248, ""^First\(&lt;""),
    VLOOKUP(REGEXEXTRACT($C248, ""\(([^)]+)\)""), 'First"&amp;" Set MacroA'!B:D, 3, FALSE),
    IF(
      REGEXMATCH($C248, ""^Follow\(&lt;""),
      VLOOKUP(REGEXEXTRACT($C248, ""\(([^)]+)\)""), 'Follow Set Macros'!B:D, 3, FALSE),
      ""{ "" &amp; REGEXEXTRACT($C248, ""\(([^)]+)\)"") &amp; "" }""
    )
  )
)
"),"#REF!")</f>
        <v>#REF!</v>
      </c>
      <c r="E248" s="664"/>
      <c r="F248" s="664"/>
      <c r="G248" s="664"/>
      <c r="H248" s="664"/>
      <c r="I248" s="664"/>
      <c r="J248" s="664"/>
      <c r="K248" s="664"/>
      <c r="L248" s="664"/>
      <c r="M248" s="664"/>
      <c r="N248" s="664"/>
      <c r="O248" s="664"/>
      <c r="P248" s="664"/>
      <c r="Q248" s="664"/>
      <c r="R248" s="664"/>
      <c r="S248" s="664"/>
      <c r="T248" s="664"/>
      <c r="U248" s="664"/>
      <c r="V248" s="664"/>
      <c r="W248" s="664"/>
      <c r="X248" s="664"/>
    </row>
    <row r="249">
      <c r="A249" s="661">
        <f t="shared" si="1"/>
        <v>249</v>
      </c>
      <c r="B249" s="662" t="str">
        <f t="shared" si="2"/>
        <v>#REF!</v>
      </c>
      <c r="C249" s="662" t="str">
        <f>IFERROR(__xludf.DUMMYFUNCTION("IF(
  REGEXMATCH(B249, ""^First\(λ - λ\) ∪ Follow\(""),
  ""Follow("" &amp; REGEXEXTRACT(B249, ""Follow\(([^)]+)\)"") &amp; "") ="",
  IF(
    OR(
      REGEXMATCH(B249, ""^First\([^&lt;]""),
      REGEXMATCH(B249, ""^First\(&lt;[^A-Za-z_]"")
    ),
    """",
    IF(
 "&amp;"     CFG!D249=""λ"",
      ""Follow("" &amp; CFG!B249 &amp; "") ="",
      ""First("" &amp; CFG!D249 &amp; "") =""
    )
  )
)
"),"#REF!")</f>
        <v>#REF!</v>
      </c>
      <c r="D249" s="663" t="str">
        <f>IFERROR(__xludf.DUMMYFUNCTION("IF(
  $C249="""",
  ""{ "" &amp;
    IF(
      REGEXMATCH(B249, ""^First\(\)""),
      "")"",
      REGEXEXTRACT(B249, ""^First\(([^ )]+)"")
    )
  &amp; "" }"",
  IF(
    REGEXMATCH($C249, ""^First\(&lt;""),
    VLOOKUP(REGEXEXTRACT($C249, ""\(([^)]+)\)""), 'First"&amp;" Set MacroA'!B:D, 3, FALSE),
    IF(
      REGEXMATCH($C249, ""^Follow\(&lt;""),
      VLOOKUP(REGEXEXTRACT($C249, ""\(([^)]+)\)""), 'Follow Set Macros'!B:D, 3, FALSE),
      ""{ "" &amp; REGEXEXTRACT($C249, ""\(([^)]+)\)"") &amp; "" }""
    )
  )
)
"),"#REF!")</f>
        <v>#REF!</v>
      </c>
      <c r="E249" s="664"/>
      <c r="F249" s="664"/>
      <c r="G249" s="664"/>
      <c r="H249" s="664"/>
      <c r="I249" s="664"/>
      <c r="J249" s="664"/>
      <c r="K249" s="664"/>
      <c r="L249" s="664"/>
      <c r="M249" s="664"/>
      <c r="N249" s="664"/>
      <c r="O249" s="664"/>
      <c r="P249" s="664"/>
      <c r="Q249" s="664"/>
      <c r="R249" s="664"/>
      <c r="S249" s="664"/>
      <c r="T249" s="664"/>
      <c r="U249" s="664"/>
      <c r="V249" s="664"/>
      <c r="W249" s="664"/>
      <c r="X249" s="664"/>
    </row>
    <row r="250">
      <c r="A250" s="661">
        <f t="shared" si="1"/>
        <v>250</v>
      </c>
      <c r="B250" s="662" t="str">
        <f t="shared" si="2"/>
        <v>#REF!</v>
      </c>
      <c r="C250" s="662" t="str">
        <f>IFERROR(__xludf.DUMMYFUNCTION("IF(
  REGEXMATCH(B250, ""^First\(λ - λ\) ∪ Follow\(""),
  ""Follow("" &amp; REGEXEXTRACT(B250, ""Follow\(([^)]+)\)"") &amp; "") ="",
  IF(
    OR(
      REGEXMATCH(B250, ""^First\([^&lt;]""),
      REGEXMATCH(B250, ""^First\(&lt;[^A-Za-z_]"")
    ),
    """",
    IF(
 "&amp;"     CFG!D250=""λ"",
      ""Follow("" &amp; CFG!B250 &amp; "") ="",
      ""First("" &amp; CFG!D250 &amp; "") =""
    )
  )
)
"),"#REF!")</f>
        <v>#REF!</v>
      </c>
      <c r="D250" s="663" t="str">
        <f>IFERROR(__xludf.DUMMYFUNCTION("IF(
  $C250="""",
  ""{ "" &amp;
    IF(
      REGEXMATCH(B250, ""^First\(\)""),
      "")"",
      REGEXEXTRACT(B250, ""^First\(([^ )]+)"")
    )
  &amp; "" }"",
  IF(
    REGEXMATCH($C250, ""^First\(&lt;""),
    VLOOKUP(REGEXEXTRACT($C250, ""\(([^)]+)\)""), 'First"&amp;" Set MacroA'!B:D, 3, FALSE),
    IF(
      REGEXMATCH($C250, ""^Follow\(&lt;""),
      VLOOKUP(REGEXEXTRACT($C250, ""\(([^)]+)\)""), 'Follow Set Macros'!B:D, 3, FALSE),
      ""{ "" &amp; REGEXEXTRACT($C250, ""\(([^)]+)\)"") &amp; "" }""
    )
  )
)
"),"#REF!")</f>
        <v>#REF!</v>
      </c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</row>
    <row r="251">
      <c r="A251" s="661">
        <f t="shared" si="1"/>
        <v>251</v>
      </c>
      <c r="B251" s="662" t="str">
        <f t="shared" si="2"/>
        <v>#REF!</v>
      </c>
      <c r="C251" s="662" t="str">
        <f>IFERROR(__xludf.DUMMYFUNCTION("IF(
  REGEXMATCH(B251, ""^First\(λ - λ\) ∪ Follow\(""),
  ""Follow("" &amp; REGEXEXTRACT(B251, ""Follow\(([^)]+)\)"") &amp; "") ="",
  IF(
    OR(
      REGEXMATCH(B251, ""^First\([^&lt;]""),
      REGEXMATCH(B251, ""^First\(&lt;[^A-Za-z_]"")
    ),
    """",
    IF(
 "&amp;"     CFG!D251=""λ"",
      ""Follow("" &amp; CFG!B251 &amp; "") ="",
      ""First("" &amp; CFG!D251 &amp; "") =""
    )
  )
)
"),"#REF!")</f>
        <v>#REF!</v>
      </c>
      <c r="D251" s="663" t="str">
        <f>IFERROR(__xludf.DUMMYFUNCTION("IF(
  $C251="""",
  ""{ "" &amp;
    IF(
      REGEXMATCH(B251, ""^First\(\)""),
      "")"",
      REGEXEXTRACT(B251, ""^First\(([^ )]+)"")
    )
  &amp; "" }"",
  IF(
    REGEXMATCH($C251, ""^First\(&lt;""),
    VLOOKUP(REGEXEXTRACT($C251, ""\(([^)]+)\)""), 'First"&amp;" Set MacroA'!B:D, 3, FALSE),
    IF(
      REGEXMATCH($C251, ""^Follow\(&lt;""),
      VLOOKUP(REGEXEXTRACT($C251, ""\(([^)]+)\)""), 'Follow Set Macros'!B:D, 3, FALSE),
      ""{ "" &amp; REGEXEXTRACT($C251, ""\(([^)]+)\)"") &amp; "" }""
    )
  )
)
"),"#REF!")</f>
        <v>#REF!</v>
      </c>
      <c r="E251" s="664"/>
      <c r="F251" s="664"/>
      <c r="G251" s="664"/>
      <c r="H251" s="664"/>
      <c r="I251" s="664"/>
      <c r="J251" s="664"/>
      <c r="K251" s="664"/>
      <c r="L251" s="664"/>
      <c r="M251" s="664"/>
      <c r="N251" s="664"/>
      <c r="O251" s="664"/>
      <c r="P251" s="664"/>
      <c r="Q251" s="664"/>
      <c r="R251" s="664"/>
      <c r="S251" s="664"/>
      <c r="T251" s="664"/>
      <c r="U251" s="664"/>
      <c r="V251" s="664"/>
      <c r="W251" s="664"/>
      <c r="X251" s="664"/>
    </row>
    <row r="252">
      <c r="A252" s="661">
        <f t="shared" si="1"/>
        <v>252</v>
      </c>
      <c r="B252" s="662" t="str">
        <f t="shared" si="2"/>
        <v>#REF!</v>
      </c>
      <c r="C252" s="662" t="str">
        <f>IFERROR(__xludf.DUMMYFUNCTION("IF(
  REGEXMATCH(B252, ""^First\(λ - λ\) ∪ Follow\(""),
  ""Follow("" &amp; REGEXEXTRACT(B252, ""Follow\(([^)]+)\)"") &amp; "") ="",
  IF(
    OR(
      REGEXMATCH(B252, ""^First\([^&lt;]""),
      REGEXMATCH(B252, ""^First\(&lt;[^A-Za-z_]"")
    ),
    """",
    IF(
 "&amp;"     CFG!D252=""λ"",
      ""Follow("" &amp; CFG!B252 &amp; "") ="",
      ""First("" &amp; CFG!D252 &amp; "") =""
    )
  )
)
"),"#REF!")</f>
        <v>#REF!</v>
      </c>
      <c r="D252" s="663" t="str">
        <f>IFERROR(__xludf.DUMMYFUNCTION("IF(
  $C252="""",
  ""{ "" &amp;
    IF(
      REGEXMATCH(B252, ""^First\(\)""),
      "")"",
      REGEXEXTRACT(B252, ""^First\(([^ )]+)"")
    )
  &amp; "" }"",
  IF(
    REGEXMATCH($C252, ""^First\(&lt;""),
    VLOOKUP(REGEXEXTRACT($C252, ""\(([^)]+)\)""), 'First"&amp;" Set MacroA'!B:D, 3, FALSE),
    IF(
      REGEXMATCH($C252, ""^Follow\(&lt;""),
      VLOOKUP(REGEXEXTRACT($C252, ""\(([^)]+)\)""), 'Follow Set Macros'!B:D, 3, FALSE),
      ""{ "" &amp; REGEXEXTRACT($C252, ""\(([^)]+)\)"") &amp; "" }""
    )
  )
)
"),"#REF!")</f>
        <v>#REF!</v>
      </c>
      <c r="E252" s="664"/>
      <c r="F252" s="664"/>
      <c r="G252" s="664"/>
      <c r="H252" s="664"/>
      <c r="I252" s="664"/>
      <c r="J252" s="664"/>
      <c r="K252" s="664"/>
      <c r="L252" s="664"/>
      <c r="M252" s="664"/>
      <c r="N252" s="664"/>
      <c r="O252" s="664"/>
      <c r="P252" s="664"/>
      <c r="Q252" s="664"/>
      <c r="R252" s="664"/>
      <c r="S252" s="664"/>
      <c r="T252" s="664"/>
      <c r="U252" s="664"/>
      <c r="V252" s="664"/>
      <c r="W252" s="664"/>
      <c r="X252" s="664"/>
    </row>
    <row r="253">
      <c r="A253" s="661">
        <f t="shared" si="1"/>
        <v>253</v>
      </c>
      <c r="B253" s="662" t="str">
        <f t="shared" si="2"/>
        <v>#REF!</v>
      </c>
      <c r="C253" s="662" t="str">
        <f>IFERROR(__xludf.DUMMYFUNCTION("IF(
  REGEXMATCH(B253, ""^First\(λ - λ\) ∪ Follow\(""),
  ""Follow("" &amp; REGEXEXTRACT(B253, ""Follow\(([^)]+)\)"") &amp; "") ="",
  IF(
    OR(
      REGEXMATCH(B253, ""^First\([^&lt;]""),
      REGEXMATCH(B253, ""^First\(&lt;[^A-Za-z_]"")
    ),
    """",
    IF(
 "&amp;"     CFG!D253=""λ"",
      ""Follow("" &amp; CFG!B253 &amp; "") ="",
      ""First("" &amp; CFG!D253 &amp; "") =""
    )
  )
)
"),"#REF!")</f>
        <v>#REF!</v>
      </c>
      <c r="D253" s="663" t="str">
        <f>IFERROR(__xludf.DUMMYFUNCTION("IF(
  $C253="""",
  ""{ "" &amp;
    IF(
      REGEXMATCH(B253, ""^First\(\)""),
      "")"",
      REGEXEXTRACT(B253, ""^First\(([^ )]+)"")
    )
  &amp; "" }"",
  IF(
    REGEXMATCH($C253, ""^First\(&lt;""),
    VLOOKUP(REGEXEXTRACT($C253, ""\(([^)]+)\)""), 'First"&amp;" Set MacroA'!B:D, 3, FALSE),
    IF(
      REGEXMATCH($C253, ""^Follow\(&lt;""),
      VLOOKUP(REGEXEXTRACT($C253, ""\(([^)]+)\)""), 'Follow Set Macros'!B:D, 3, FALSE),
      ""{ "" &amp; REGEXEXTRACT($C253, ""\(([^)]+)\)"") &amp; "" }""
    )
  )
)
"),"#REF!")</f>
        <v>#REF!</v>
      </c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</row>
    <row r="254">
      <c r="A254" s="661">
        <f t="shared" si="1"/>
        <v>254</v>
      </c>
      <c r="B254" s="662" t="str">
        <f t="shared" si="2"/>
        <v>#REF!</v>
      </c>
      <c r="C254" s="662" t="str">
        <f>IFERROR(__xludf.DUMMYFUNCTION("IF(
  REGEXMATCH(B254, ""^First\(λ - λ\) ∪ Follow\(""),
  ""Follow("" &amp; REGEXEXTRACT(B254, ""Follow\(([^)]+)\)"") &amp; "") ="",
  IF(
    OR(
      REGEXMATCH(B254, ""^First\([^&lt;]""),
      REGEXMATCH(B254, ""^First\(&lt;[^A-Za-z_]"")
    ),
    """",
    IF(
 "&amp;"     CFG!D254=""λ"",
      ""Follow("" &amp; CFG!B254 &amp; "") ="",
      ""First("" &amp; CFG!D254 &amp; "") =""
    )
  )
)
"),"#REF!")</f>
        <v>#REF!</v>
      </c>
      <c r="D254" s="663" t="str">
        <f>IFERROR(__xludf.DUMMYFUNCTION("IF(
  $C254="""",
  ""{ "" &amp;
    IF(
      REGEXMATCH(B254, ""^First\(\)""),
      "")"",
      REGEXEXTRACT(B254, ""^First\(([^ )]+)"")
    )
  &amp; "" }"",
  IF(
    REGEXMATCH($C254, ""^First\(&lt;""),
    VLOOKUP(REGEXEXTRACT($C254, ""\(([^)]+)\)""), 'First"&amp;" Set MacroA'!B:D, 3, FALSE),
    IF(
      REGEXMATCH($C254, ""^Follow\(&lt;""),
      VLOOKUP(REGEXEXTRACT($C254, ""\(([^)]+)\)""), 'Follow Set Macros'!B:D, 3, FALSE),
      ""{ "" &amp; REGEXEXTRACT($C254, ""\(([^)]+)\)"") &amp; "" }""
    )
  )
)
"),"#REF!")</f>
        <v>#REF!</v>
      </c>
      <c r="E254" s="664"/>
      <c r="F254" s="664"/>
      <c r="G254" s="664"/>
      <c r="H254" s="664"/>
      <c r="I254" s="664"/>
      <c r="J254" s="664"/>
      <c r="K254" s="664"/>
      <c r="L254" s="664"/>
      <c r="M254" s="664"/>
      <c r="N254" s="664"/>
      <c r="O254" s="664"/>
      <c r="P254" s="664"/>
      <c r="Q254" s="664"/>
      <c r="R254" s="664"/>
      <c r="S254" s="664"/>
      <c r="T254" s="664"/>
      <c r="U254" s="664"/>
      <c r="V254" s="664"/>
      <c r="W254" s="664"/>
      <c r="X254" s="664"/>
    </row>
    <row r="255">
      <c r="A255" s="661">
        <f t="shared" si="1"/>
        <v>255</v>
      </c>
      <c r="B255" s="662" t="str">
        <f t="shared" si="2"/>
        <v>#REF!</v>
      </c>
      <c r="C255" s="662" t="str">
        <f>IFERROR(__xludf.DUMMYFUNCTION("IF(
  REGEXMATCH(B255, ""^First\(λ - λ\) ∪ Follow\(""),
  ""Follow("" &amp; REGEXEXTRACT(B255, ""Follow\(([^)]+)\)"") &amp; "") ="",
  IF(
    OR(
      REGEXMATCH(B255, ""^First\([^&lt;]""),
      REGEXMATCH(B255, ""^First\(&lt;[^A-Za-z_]"")
    ),
    """",
    IF(
 "&amp;"     CFG!D255=""λ"",
      ""Follow("" &amp; CFG!B255 &amp; "") ="",
      ""First("" &amp; CFG!D255 &amp; "") =""
    )
  )
)
"),"#REF!")</f>
        <v>#REF!</v>
      </c>
      <c r="D255" s="663" t="str">
        <f>IFERROR(__xludf.DUMMYFUNCTION("IF(
  $C255="""",
  ""{ "" &amp;
    IF(
      REGEXMATCH(B255, ""^First\(\)""),
      "")"",
      REGEXEXTRACT(B255, ""^First\(([^ )]+)"")
    )
  &amp; "" }"",
  IF(
    REGEXMATCH($C255, ""^First\(&lt;""),
    VLOOKUP(REGEXEXTRACT($C255, ""\(([^)]+)\)""), 'First"&amp;" Set MacroA'!B:D, 3, FALSE),
    IF(
      REGEXMATCH($C255, ""^Follow\(&lt;""),
      VLOOKUP(REGEXEXTRACT($C255, ""\(([^)]+)\)""), 'Follow Set Macros'!B:D, 3, FALSE),
      ""{ "" &amp; REGEXEXTRACT($C255, ""\(([^)]+)\)"") &amp; "" }""
    )
  )
)
"),"#REF!")</f>
        <v>#REF!</v>
      </c>
      <c r="E255" s="664"/>
      <c r="F255" s="664"/>
      <c r="G255" s="664"/>
      <c r="H255" s="664"/>
      <c r="I255" s="664"/>
      <c r="J255" s="664"/>
      <c r="K255" s="664"/>
      <c r="L255" s="664"/>
      <c r="M255" s="664"/>
      <c r="N255" s="664"/>
      <c r="O255" s="664"/>
      <c r="P255" s="664"/>
      <c r="Q255" s="664"/>
      <c r="R255" s="664"/>
      <c r="S255" s="664"/>
      <c r="T255" s="664"/>
      <c r="U255" s="664"/>
      <c r="V255" s="664"/>
      <c r="W255" s="664"/>
      <c r="X255" s="664"/>
    </row>
    <row r="256">
      <c r="A256" s="661">
        <f t="shared" si="1"/>
        <v>256</v>
      </c>
      <c r="B256" s="662" t="str">
        <f t="shared" si="2"/>
        <v>#REF!</v>
      </c>
      <c r="C256" s="662" t="str">
        <f>IFERROR(__xludf.DUMMYFUNCTION("IF(
  REGEXMATCH(B256, ""^First\(λ - λ\) ∪ Follow\(""),
  ""Follow("" &amp; REGEXEXTRACT(B256, ""Follow\(([^)]+)\)"") &amp; "") ="",
  IF(
    OR(
      REGEXMATCH(B256, ""^First\([^&lt;]""),
      REGEXMATCH(B256, ""^First\(&lt;[^A-Za-z_]"")
    ),
    """",
    IF(
 "&amp;"     CFG!D256=""λ"",
      ""Follow("" &amp; CFG!B256 &amp; "") ="",
      ""First("" &amp; CFG!D256 &amp; "") =""
    )
  )
)
"),"#REF!")</f>
        <v>#REF!</v>
      </c>
      <c r="D256" s="663" t="str">
        <f>IFERROR(__xludf.DUMMYFUNCTION("IF(
  $C256="""",
  ""{ "" &amp;
    IF(
      REGEXMATCH(B256, ""^First\(\)""),
      "")"",
      REGEXEXTRACT(B256, ""^First\(([^ )]+)"")
    )
  &amp; "" }"",
  IF(
    REGEXMATCH($C256, ""^First\(&lt;""),
    VLOOKUP(REGEXEXTRACT($C256, ""\(([^)]+)\)""), 'First"&amp;" Set MacroA'!B:D, 3, FALSE),
    IF(
      REGEXMATCH($C256, ""^Follow\(&lt;""),
      VLOOKUP(REGEXEXTRACT($C256, ""\(([^)]+)\)""), 'Follow Set Macros'!B:D, 3, FALSE),
      ""{ "" &amp; REGEXEXTRACT($C256, ""\(([^)]+)\)"") &amp; "" }""
    )
  )
)
"),"#REF!")</f>
        <v>#REF!</v>
      </c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</row>
    <row r="257">
      <c r="A257" s="661">
        <f t="shared" si="1"/>
        <v>257</v>
      </c>
      <c r="B257" s="662" t="str">
        <f t="shared" si="2"/>
        <v>#REF!</v>
      </c>
      <c r="C257" s="662" t="str">
        <f>IFERROR(__xludf.DUMMYFUNCTION("IF(
  REGEXMATCH(B257, ""^First\(λ - λ\) ∪ Follow\(""),
  ""Follow("" &amp; REGEXEXTRACT(B257, ""Follow\(([^)]+)\)"") &amp; "") ="",
  IF(
    OR(
      REGEXMATCH(B257, ""^First\([^&lt;]""),
      REGEXMATCH(B257, ""^First\(&lt;[^A-Za-z_]"")
    ),
    """",
    IF(
 "&amp;"     CFG!D257=""λ"",
      ""Follow("" &amp; CFG!B257 &amp; "") ="",
      ""First("" &amp; CFG!D257 &amp; "") =""
    )
  )
)
"),"#REF!")</f>
        <v>#REF!</v>
      </c>
      <c r="D257" s="663" t="str">
        <f>IFERROR(__xludf.DUMMYFUNCTION("IF(
  $C257="""",
  ""{ "" &amp;
    IF(
      REGEXMATCH(B257, ""^First\(\)""),
      "")"",
      REGEXEXTRACT(B257, ""^First\(([^ )]+)"")
    )
  &amp; "" }"",
  IF(
    REGEXMATCH($C257, ""^First\(&lt;""),
    VLOOKUP(REGEXEXTRACT($C257, ""\(([^)]+)\)""), 'First"&amp;" Set MacroA'!B:D, 3, FALSE),
    IF(
      REGEXMATCH($C257, ""^Follow\(&lt;""),
      VLOOKUP(REGEXEXTRACT($C257, ""\(([^)]+)\)""), 'Follow Set Macros'!B:D, 3, FALSE),
      ""{ "" &amp; REGEXEXTRACT($C257, ""\(([^)]+)\)"") &amp; "" }""
    )
  )
)
"),"#REF!")</f>
        <v>#REF!</v>
      </c>
      <c r="E257" s="664"/>
      <c r="F257" s="664"/>
      <c r="G257" s="664"/>
      <c r="H257" s="664"/>
      <c r="I257" s="664"/>
      <c r="J257" s="664"/>
      <c r="K257" s="664"/>
      <c r="L257" s="664"/>
      <c r="M257" s="664"/>
      <c r="N257" s="664"/>
      <c r="O257" s="664"/>
      <c r="P257" s="664"/>
      <c r="Q257" s="664"/>
      <c r="R257" s="664"/>
      <c r="S257" s="664"/>
      <c r="T257" s="664"/>
      <c r="U257" s="664"/>
      <c r="V257" s="664"/>
      <c r="W257" s="664"/>
      <c r="X257" s="664"/>
    </row>
    <row r="258">
      <c r="A258" s="661">
        <f t="shared" si="1"/>
        <v>258</v>
      </c>
      <c r="B258" s="662" t="str">
        <f t="shared" si="2"/>
        <v>#REF!</v>
      </c>
      <c r="C258" s="662" t="str">
        <f>IFERROR(__xludf.DUMMYFUNCTION("IF(
  REGEXMATCH(B258, ""^First\(λ - λ\) ∪ Follow\(""),
  ""Follow("" &amp; REGEXEXTRACT(B258, ""Follow\(([^)]+)\)"") &amp; "") ="",
  IF(
    OR(
      REGEXMATCH(B258, ""^First\([^&lt;]""),
      REGEXMATCH(B258, ""^First\(&lt;[^A-Za-z_]"")
    ),
    """",
    IF(
 "&amp;"     CFG!D258=""λ"",
      ""Follow("" &amp; CFG!B258 &amp; "") ="",
      ""First("" &amp; CFG!D258 &amp; "") =""
    )
  )
)
"),"#REF!")</f>
        <v>#REF!</v>
      </c>
      <c r="D258" s="663" t="str">
        <f>IFERROR(__xludf.DUMMYFUNCTION("IF(
  $C258="""",
  ""{ "" &amp;
    IF(
      REGEXMATCH(B258, ""^First\(\)""),
      "")"",
      REGEXEXTRACT(B258, ""^First\(([^ )]+)"")
    )
  &amp; "" }"",
  IF(
    REGEXMATCH($C258, ""^First\(&lt;""),
    VLOOKUP(REGEXEXTRACT($C258, ""\(([^)]+)\)""), 'First"&amp;" Set MacroA'!B:D, 3, FALSE),
    IF(
      REGEXMATCH($C258, ""^Follow\(&lt;""),
      VLOOKUP(REGEXEXTRACT($C258, ""\(([^)]+)\)""), 'Follow Set Macros'!B:D, 3, FALSE),
      ""{ "" &amp; REGEXEXTRACT($C258, ""\(([^)]+)\)"") &amp; "" }""
    )
  )
)
"),"#REF!")</f>
        <v>#REF!</v>
      </c>
      <c r="E258" s="664"/>
      <c r="F258" s="664"/>
      <c r="G258" s="664"/>
      <c r="H258" s="664"/>
      <c r="I258" s="664"/>
      <c r="J258" s="664"/>
      <c r="K258" s="664"/>
      <c r="L258" s="664"/>
      <c r="M258" s="664"/>
      <c r="N258" s="664"/>
      <c r="O258" s="664"/>
      <c r="P258" s="664"/>
      <c r="Q258" s="664"/>
      <c r="R258" s="664"/>
      <c r="S258" s="664"/>
      <c r="T258" s="664"/>
      <c r="U258" s="664"/>
      <c r="V258" s="664"/>
      <c r="W258" s="664"/>
      <c r="X258" s="664"/>
    </row>
    <row r="259">
      <c r="A259" s="661">
        <f t="shared" si="1"/>
        <v>259</v>
      </c>
      <c r="B259" s="662" t="str">
        <f t="shared" si="2"/>
        <v>#REF!</v>
      </c>
      <c r="C259" s="662" t="str">
        <f>IFERROR(__xludf.DUMMYFUNCTION("IF(
  REGEXMATCH(B259, ""^First\(λ - λ\) ∪ Follow\(""),
  ""Follow("" &amp; REGEXEXTRACT(B259, ""Follow\(([^)]+)\)"") &amp; "") ="",
  IF(
    OR(
      REGEXMATCH(B259, ""^First\([^&lt;]""),
      REGEXMATCH(B259, ""^First\(&lt;[^A-Za-z_]"")
    ),
    """",
    IF(
 "&amp;"     CFG!D259=""λ"",
      ""Follow("" &amp; CFG!B259 &amp; "") ="",
      ""First("" &amp; CFG!D259 &amp; "") =""
    )
  )
)
"),"#REF!")</f>
        <v>#REF!</v>
      </c>
      <c r="D259" s="663" t="str">
        <f>IFERROR(__xludf.DUMMYFUNCTION("IF(
  $C259="""",
  ""{ "" &amp;
    IF(
      REGEXMATCH(B259, ""^First\(\)""),
      "")"",
      REGEXEXTRACT(B259, ""^First\(([^ )]+)"")
    )
  &amp; "" }"",
  IF(
    REGEXMATCH($C259, ""^First\(&lt;""),
    VLOOKUP(REGEXEXTRACT($C259, ""\(([^)]+)\)""), 'First"&amp;" Set MacroA'!B:D, 3, FALSE),
    IF(
      REGEXMATCH($C259, ""^Follow\(&lt;""),
      VLOOKUP(REGEXEXTRACT($C259, ""\(([^)]+)\)""), 'Follow Set Macros'!B:D, 3, FALSE),
      ""{ "" &amp; REGEXEXTRACT($C259, ""\(([^)]+)\)"") &amp; "" }""
    )
  )
)
"),"#REF!")</f>
        <v>#REF!</v>
      </c>
      <c r="E259" s="664"/>
      <c r="F259" s="664"/>
      <c r="G259" s="664"/>
      <c r="H259" s="664"/>
      <c r="I259" s="664"/>
      <c r="J259" s="664"/>
      <c r="K259" s="664"/>
      <c r="L259" s="664"/>
      <c r="M259" s="664"/>
      <c r="N259" s="664"/>
      <c r="O259" s="664"/>
      <c r="P259" s="664"/>
      <c r="Q259" s="664"/>
      <c r="R259" s="664"/>
      <c r="S259" s="664"/>
      <c r="T259" s="664"/>
      <c r="U259" s="664"/>
      <c r="V259" s="664"/>
      <c r="W259" s="664"/>
      <c r="X259" s="664"/>
    </row>
    <row r="260">
      <c r="A260" s="661">
        <f t="shared" si="1"/>
        <v>260</v>
      </c>
      <c r="B260" s="662" t="str">
        <f t="shared" si="2"/>
        <v>#REF!</v>
      </c>
      <c r="C260" s="662" t="str">
        <f>IFERROR(__xludf.DUMMYFUNCTION("IF(
  REGEXMATCH(B260, ""^First\(λ - λ\) ∪ Follow\(""),
  ""Follow("" &amp; REGEXEXTRACT(B260, ""Follow\(([^)]+)\)"") &amp; "") ="",
  IF(
    OR(
      REGEXMATCH(B260, ""^First\([^&lt;]""),
      REGEXMATCH(B260, ""^First\(&lt;[^A-Za-z_]"")
    ),
    """",
    IF(
 "&amp;"     CFG!D260=""λ"",
      ""Follow("" &amp; CFG!B260 &amp; "") ="",
      ""First("" &amp; CFG!D260 &amp; "") =""
    )
  )
)
"),"#REF!")</f>
        <v>#REF!</v>
      </c>
      <c r="D260" s="663" t="str">
        <f>IFERROR(__xludf.DUMMYFUNCTION("IF(
  $C260="""",
  ""{ "" &amp;
    IF(
      REGEXMATCH(B260, ""^First\(\)""),
      "")"",
      REGEXEXTRACT(B260, ""^First\(([^ )]+)"")
    )
  &amp; "" }"",
  IF(
    REGEXMATCH($C260, ""^First\(&lt;""),
    VLOOKUP(REGEXEXTRACT($C260, ""\(([^)]+)\)""), 'First"&amp;" Set MacroA'!B:D, 3, FALSE),
    IF(
      REGEXMATCH($C260, ""^Follow\(&lt;""),
      VLOOKUP(REGEXEXTRACT($C260, ""\(([^)]+)\)""), 'Follow Set Macros'!B:D, 3, FALSE),
      ""{ "" &amp; REGEXEXTRACT($C260, ""\(([^)]+)\)"") &amp; "" }""
    )
  )
)
"),"#REF!")</f>
        <v>#REF!</v>
      </c>
      <c r="E260" s="664"/>
      <c r="F260" s="664"/>
      <c r="G260" s="664"/>
      <c r="H260" s="664"/>
      <c r="I260" s="664"/>
      <c r="J260" s="664"/>
      <c r="K260" s="664"/>
      <c r="L260" s="664"/>
      <c r="M260" s="664"/>
      <c r="N260" s="664"/>
      <c r="O260" s="664"/>
      <c r="P260" s="664"/>
      <c r="Q260" s="664"/>
      <c r="R260" s="664"/>
      <c r="S260" s="664"/>
      <c r="T260" s="664"/>
      <c r="U260" s="664"/>
      <c r="V260" s="664"/>
      <c r="W260" s="664"/>
      <c r="X260" s="664"/>
    </row>
    <row r="261">
      <c r="A261" s="661">
        <f t="shared" si="1"/>
        <v>261</v>
      </c>
      <c r="B261" s="662" t="str">
        <f t="shared" si="2"/>
        <v>#REF!</v>
      </c>
      <c r="C261" s="662" t="str">
        <f>IFERROR(__xludf.DUMMYFUNCTION("IF(
  REGEXMATCH(B261, ""^First\(λ - λ\) ∪ Follow\(""),
  ""Follow("" &amp; REGEXEXTRACT(B261, ""Follow\(([^)]+)\)"") &amp; "") ="",
  IF(
    OR(
      REGEXMATCH(B261, ""^First\([^&lt;]""),
      REGEXMATCH(B261, ""^First\(&lt;[^A-Za-z_]"")
    ),
    """",
    IF(
 "&amp;"     CFG!D261=""λ"",
      ""Follow("" &amp; CFG!B261 &amp; "") ="",
      ""First("" &amp; CFG!D261 &amp; "") =""
    )
  )
)
"),"#REF!")</f>
        <v>#REF!</v>
      </c>
      <c r="D261" s="663" t="str">
        <f>IFERROR(__xludf.DUMMYFUNCTION("IF(
  $C261="""",
  ""{ "" &amp;
    IF(
      REGEXMATCH(B261, ""^First\(\)""),
      "")"",
      REGEXEXTRACT(B261, ""^First\(([^ )]+)"")
    )
  &amp; "" }"",
  IF(
    REGEXMATCH($C261, ""^First\(&lt;""),
    VLOOKUP(REGEXEXTRACT($C261, ""\(([^)]+)\)""), 'First"&amp;" Set MacroA'!B:D, 3, FALSE),
    IF(
      REGEXMATCH($C261, ""^Follow\(&lt;""),
      VLOOKUP(REGEXEXTRACT($C261, ""\(([^)]+)\)""), 'Follow Set Macros'!B:D, 3, FALSE),
      ""{ "" &amp; REGEXEXTRACT($C261, ""\(([^)]+)\)"") &amp; "" }""
    )
  )
)
"),"#REF!")</f>
        <v>#REF!</v>
      </c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</row>
    <row r="262">
      <c r="A262" s="661">
        <f t="shared" si="1"/>
        <v>262</v>
      </c>
      <c r="B262" s="662" t="str">
        <f t="shared" si="2"/>
        <v>#REF!</v>
      </c>
      <c r="C262" s="662" t="str">
        <f>IFERROR(__xludf.DUMMYFUNCTION("IF(
  REGEXMATCH(B262, ""^First\(λ - λ\) ∪ Follow\(""),
  ""Follow("" &amp; REGEXEXTRACT(B262, ""Follow\(([^)]+)\)"") &amp; "") ="",
  IF(
    OR(
      REGEXMATCH(B262, ""^First\([^&lt;]""),
      REGEXMATCH(B262, ""^First\(&lt;[^A-Za-z_]"")
    ),
    """",
    IF(
 "&amp;"     CFG!D262=""λ"",
      ""Follow("" &amp; CFG!B262 &amp; "") ="",
      ""First("" &amp; CFG!D262 &amp; "") =""
    )
  )
)
"),"#REF!")</f>
        <v>#REF!</v>
      </c>
      <c r="D262" s="663" t="str">
        <f>IFERROR(__xludf.DUMMYFUNCTION("IF(
  $C262="""",
  ""{ "" &amp;
    IF(
      REGEXMATCH(B262, ""^First\(\)""),
      "")"",
      REGEXEXTRACT(B262, ""^First\(([^ )]+)"")
    )
  &amp; "" }"",
  IF(
    REGEXMATCH($C262, ""^First\(&lt;""),
    VLOOKUP(REGEXEXTRACT($C262, ""\(([^)]+)\)""), 'First"&amp;" Set MacroA'!B:D, 3, FALSE),
    IF(
      REGEXMATCH($C262, ""^Follow\(&lt;""),
      VLOOKUP(REGEXEXTRACT($C262, ""\(([^)]+)\)""), 'Follow Set Macros'!B:D, 3, FALSE),
      ""{ "" &amp; REGEXEXTRACT($C262, ""\(([^)]+)\)"") &amp; "" }""
    )
  )
)
"),"#REF!")</f>
        <v>#REF!</v>
      </c>
      <c r="E262" s="664"/>
      <c r="F262" s="664"/>
      <c r="G262" s="664"/>
      <c r="H262" s="664"/>
      <c r="I262" s="664"/>
      <c r="J262" s="664"/>
      <c r="K262" s="664"/>
      <c r="L262" s="664"/>
      <c r="M262" s="664"/>
      <c r="N262" s="664"/>
      <c r="O262" s="664"/>
      <c r="P262" s="664"/>
      <c r="Q262" s="664"/>
      <c r="R262" s="664"/>
      <c r="S262" s="664"/>
      <c r="T262" s="664"/>
      <c r="U262" s="664"/>
      <c r="V262" s="664"/>
      <c r="W262" s="664"/>
      <c r="X262" s="664"/>
    </row>
    <row r="263">
      <c r="A263" s="661">
        <f t="shared" si="1"/>
        <v>263</v>
      </c>
      <c r="B263" s="662" t="str">
        <f t="shared" si="2"/>
        <v>#REF!</v>
      </c>
      <c r="C263" s="662" t="str">
        <f>IFERROR(__xludf.DUMMYFUNCTION("IF(
  REGEXMATCH(B263, ""^First\(λ - λ\) ∪ Follow\(""),
  ""Follow("" &amp; REGEXEXTRACT(B263, ""Follow\(([^)]+)\)"") &amp; "") ="",
  IF(
    OR(
      REGEXMATCH(B263, ""^First\([^&lt;]""),
      REGEXMATCH(B263, ""^First\(&lt;[^A-Za-z_]"")
    ),
    """",
    IF(
 "&amp;"     CFG!D263=""λ"",
      ""Follow("" &amp; CFG!B263 &amp; "") ="",
      ""First("" &amp; CFG!D263 &amp; "") =""
    )
  )
)
"),"#REF!")</f>
        <v>#REF!</v>
      </c>
      <c r="D263" s="663" t="str">
        <f>IFERROR(__xludf.DUMMYFUNCTION("IF(
  $C263="""",
  ""{ "" &amp;
    IF(
      REGEXMATCH(B263, ""^First\(\)""),
      "")"",
      REGEXEXTRACT(B263, ""^First\(([^ )]+)"")
    )
  &amp; "" }"",
  IF(
    REGEXMATCH($C263, ""^First\(&lt;""),
    VLOOKUP(REGEXEXTRACT($C263, ""\(([^)]+)\)""), 'First"&amp;" Set MacroA'!B:D, 3, FALSE),
    IF(
      REGEXMATCH($C263, ""^Follow\(&lt;""),
      VLOOKUP(REGEXEXTRACT($C263, ""\(([^)]+)\)""), 'Follow Set Macros'!B:D, 3, FALSE),
      ""{ "" &amp; REGEXEXTRACT($C263, ""\(([^)]+)\)"") &amp; "" }""
    )
  )
)
"),"#REF!")</f>
        <v>#REF!</v>
      </c>
      <c r="E263" s="664"/>
      <c r="F263" s="664"/>
      <c r="G263" s="664"/>
      <c r="H263" s="664"/>
      <c r="I263" s="664"/>
      <c r="J263" s="664"/>
      <c r="K263" s="664"/>
      <c r="L263" s="664"/>
      <c r="M263" s="664"/>
      <c r="N263" s="664"/>
      <c r="O263" s="664"/>
      <c r="P263" s="664"/>
      <c r="Q263" s="664"/>
      <c r="R263" s="664"/>
      <c r="S263" s="664"/>
      <c r="T263" s="664"/>
      <c r="U263" s="664"/>
      <c r="V263" s="664"/>
      <c r="W263" s="664"/>
      <c r="X263" s="664"/>
    </row>
    <row r="264">
      <c r="A264" s="661">
        <f t="shared" si="1"/>
        <v>264</v>
      </c>
      <c r="B264" s="662" t="str">
        <f t="shared" si="2"/>
        <v>#REF!</v>
      </c>
      <c r="C264" s="662" t="str">
        <f>IFERROR(__xludf.DUMMYFUNCTION("IF(
  REGEXMATCH(B264, ""^First\(λ - λ\) ∪ Follow\(""),
  ""Follow("" &amp; REGEXEXTRACT(B264, ""Follow\(([^)]+)\)"") &amp; "") ="",
  IF(
    OR(
      REGEXMATCH(B264, ""^First\([^&lt;]""),
      REGEXMATCH(B264, ""^First\(&lt;[^A-Za-z_]"")
    ),
    """",
    IF(
 "&amp;"     CFG!D264=""λ"",
      ""Follow("" &amp; CFG!B264 &amp; "") ="",
      ""First("" &amp; CFG!D264 &amp; "") =""
    )
  )
)
"),"#REF!")</f>
        <v>#REF!</v>
      </c>
      <c r="D264" s="663" t="str">
        <f>IFERROR(__xludf.DUMMYFUNCTION("IF(
  $C264="""",
  ""{ "" &amp;
    IF(
      REGEXMATCH(B264, ""^First\(\)""),
      "")"",
      REGEXEXTRACT(B264, ""^First\(([^ )]+)"")
    )
  &amp; "" }"",
  IF(
    REGEXMATCH($C264, ""^First\(&lt;""),
    VLOOKUP(REGEXEXTRACT($C264, ""\(([^)]+)\)""), 'First"&amp;" Set MacroA'!B:D, 3, FALSE),
    IF(
      REGEXMATCH($C264, ""^Follow\(&lt;""),
      VLOOKUP(REGEXEXTRACT($C264, ""\(([^)]+)\)""), 'Follow Set Macros'!B:D, 3, FALSE),
      ""{ "" &amp; REGEXEXTRACT($C264, ""\(([^)]+)\)"") &amp; "" }""
    )
  )
)
"),"#REF!")</f>
        <v>#REF!</v>
      </c>
      <c r="E264" s="664"/>
      <c r="F264" s="664"/>
      <c r="G264" s="664"/>
      <c r="H264" s="664"/>
      <c r="I264" s="664"/>
      <c r="J264" s="664"/>
      <c r="K264" s="664"/>
      <c r="L264" s="664"/>
      <c r="M264" s="664"/>
      <c r="N264" s="664"/>
      <c r="O264" s="664"/>
      <c r="P264" s="664"/>
      <c r="Q264" s="664"/>
      <c r="R264" s="664"/>
      <c r="S264" s="664"/>
      <c r="T264" s="664"/>
      <c r="U264" s="664"/>
      <c r="V264" s="664"/>
      <c r="W264" s="664"/>
      <c r="X264" s="664"/>
    </row>
    <row r="265">
      <c r="A265" s="661">
        <f t="shared" si="1"/>
        <v>265</v>
      </c>
      <c r="B265" s="662" t="str">
        <f t="shared" si="2"/>
        <v>#REF!</v>
      </c>
      <c r="C265" s="662" t="str">
        <f>IFERROR(__xludf.DUMMYFUNCTION("IF(
  REGEXMATCH(B265, ""^First\(λ - λ\) ∪ Follow\(""),
  ""Follow("" &amp; REGEXEXTRACT(B265, ""Follow\(([^)]+)\)"") &amp; "") ="",
  IF(
    OR(
      REGEXMATCH(B265, ""^First\([^&lt;]""),
      REGEXMATCH(B265, ""^First\(&lt;[^A-Za-z_]"")
    ),
    """",
    IF(
 "&amp;"     CFG!D265=""λ"",
      ""Follow("" &amp; CFG!B265 &amp; "") ="",
      ""First("" &amp; CFG!D265 &amp; "") =""
    )
  )
)
"),"#REF!")</f>
        <v>#REF!</v>
      </c>
      <c r="D265" s="663" t="str">
        <f>IFERROR(__xludf.DUMMYFUNCTION("IF(
  $C265="""",
  ""{ "" &amp;
    IF(
      REGEXMATCH(B265, ""^First\(\)""),
      "")"",
      REGEXEXTRACT(B265, ""^First\(([^ )]+)"")
    )
  &amp; "" }"",
  IF(
    REGEXMATCH($C265, ""^First\(&lt;""),
    VLOOKUP(REGEXEXTRACT($C265, ""\(([^)]+)\)""), 'First"&amp;" Set MacroA'!B:D, 3, FALSE),
    IF(
      REGEXMATCH($C265, ""^Follow\(&lt;""),
      VLOOKUP(REGEXEXTRACT($C265, ""\(([^)]+)\)""), 'Follow Set Macros'!B:D, 3, FALSE),
      ""{ "" &amp; REGEXEXTRACT($C265, ""\(([^)]+)\)"") &amp; "" }""
    )
  )
)
"),"#REF!")</f>
        <v>#REF!</v>
      </c>
      <c r="E265" s="664"/>
      <c r="F265" s="664"/>
      <c r="G265" s="664"/>
      <c r="H265" s="664"/>
      <c r="I265" s="664"/>
      <c r="J265" s="664"/>
      <c r="K265" s="664"/>
      <c r="L265" s="664"/>
      <c r="M265" s="664"/>
      <c r="N265" s="664"/>
      <c r="O265" s="664"/>
      <c r="P265" s="664"/>
      <c r="Q265" s="664"/>
      <c r="R265" s="664"/>
      <c r="S265" s="664"/>
      <c r="T265" s="664"/>
      <c r="U265" s="664"/>
      <c r="V265" s="664"/>
      <c r="W265" s="664"/>
      <c r="X265" s="664"/>
    </row>
    <row r="266">
      <c r="A266" s="661">
        <f t="shared" si="1"/>
        <v>266</v>
      </c>
      <c r="B266" s="662" t="str">
        <f t="shared" si="2"/>
        <v>#REF!</v>
      </c>
      <c r="C266" s="662" t="str">
        <f>IFERROR(__xludf.DUMMYFUNCTION("IF(
  REGEXMATCH(B266, ""^First\(λ - λ\) ∪ Follow\(""),
  ""Follow("" &amp; REGEXEXTRACT(B266, ""Follow\(([^)]+)\)"") &amp; "") ="",
  IF(
    OR(
      REGEXMATCH(B266, ""^First\([^&lt;]""),
      REGEXMATCH(B266, ""^First\(&lt;[^A-Za-z_]"")
    ),
    """",
    IF(
 "&amp;"     CFG!D266=""λ"",
      ""Follow("" &amp; CFG!B266 &amp; "") ="",
      ""First("" &amp; CFG!D266 &amp; "") =""
    )
  )
)
"),"#REF!")</f>
        <v>#REF!</v>
      </c>
      <c r="D266" s="663" t="str">
        <f>IFERROR(__xludf.DUMMYFUNCTION("IF(
  $C266="""",
  ""{ "" &amp;
    IF(
      REGEXMATCH(B266, ""^First\(\)""),
      "")"",
      REGEXEXTRACT(B266, ""^First\(([^ )]+)"")
    )
  &amp; "" }"",
  IF(
    REGEXMATCH($C266, ""^First\(&lt;""),
    VLOOKUP(REGEXEXTRACT($C266, ""\(([^)]+)\)""), 'First"&amp;" Set MacroA'!B:D, 3, FALSE),
    IF(
      REGEXMATCH($C266, ""^Follow\(&lt;""),
      VLOOKUP(REGEXEXTRACT($C266, ""\(([^)]+)\)""), 'Follow Set Macros'!B:D, 3, FALSE),
      ""{ "" &amp; REGEXEXTRACT($C266, ""\(([^)]+)\)"") &amp; "" }""
    )
  )
)
"),"#REF!")</f>
        <v>#REF!</v>
      </c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</row>
    <row r="267">
      <c r="A267" s="661">
        <f t="shared" si="1"/>
        <v>267</v>
      </c>
      <c r="B267" s="662" t="str">
        <f t="shared" si="2"/>
        <v>#REF!</v>
      </c>
      <c r="C267" s="662" t="str">
        <f>IFERROR(__xludf.DUMMYFUNCTION("IF(
  REGEXMATCH(B267, ""^First\(λ - λ\) ∪ Follow\(""),
  ""Follow("" &amp; REGEXEXTRACT(B267, ""Follow\(([^)]+)\)"") &amp; "") ="",
  IF(
    OR(
      REGEXMATCH(B267, ""^First\([^&lt;]""),
      REGEXMATCH(B267, ""^First\(&lt;[^A-Za-z_]"")
    ),
    """",
    IF(
 "&amp;"     CFG!D267=""λ"",
      ""Follow("" &amp; CFG!B267 &amp; "") ="",
      ""First("" &amp; CFG!D267 &amp; "") =""
    )
  )
)
"),"#REF!")</f>
        <v>#REF!</v>
      </c>
      <c r="D267" s="663" t="str">
        <f>IFERROR(__xludf.DUMMYFUNCTION("IF(
  $C267="""",
  ""{ "" &amp;
    IF(
      REGEXMATCH(B267, ""^First\(\)""),
      "")"",
      REGEXEXTRACT(B267, ""^First\(([^ )]+)"")
    )
  &amp; "" }"",
  IF(
    REGEXMATCH($C267, ""^First\(&lt;""),
    VLOOKUP(REGEXEXTRACT($C267, ""\(([^)]+)\)""), 'First"&amp;" Set MacroA'!B:D, 3, FALSE),
    IF(
      REGEXMATCH($C267, ""^Follow\(&lt;""),
      VLOOKUP(REGEXEXTRACT($C267, ""\(([^)]+)\)""), 'Follow Set Macros'!B:D, 3, FALSE),
      ""{ "" &amp; REGEXEXTRACT($C267, ""\(([^)]+)\)"") &amp; "" }""
    )
  )
)
"),"#REF!")</f>
        <v>#REF!</v>
      </c>
      <c r="E267" s="664"/>
      <c r="F267" s="664"/>
      <c r="G267" s="664"/>
      <c r="H267" s="664"/>
      <c r="I267" s="664"/>
      <c r="J267" s="664"/>
      <c r="K267" s="664"/>
      <c r="L267" s="664"/>
      <c r="M267" s="664"/>
      <c r="N267" s="664"/>
      <c r="O267" s="664"/>
      <c r="P267" s="664"/>
      <c r="Q267" s="664"/>
      <c r="R267" s="664"/>
      <c r="S267" s="664"/>
      <c r="T267" s="664"/>
      <c r="U267" s="664"/>
      <c r="V267" s="664"/>
      <c r="W267" s="664"/>
      <c r="X267" s="664"/>
    </row>
    <row r="268">
      <c r="A268" s="661">
        <f t="shared" si="1"/>
        <v>268</v>
      </c>
      <c r="B268" s="662" t="str">
        <f t="shared" si="2"/>
        <v>#REF!</v>
      </c>
      <c r="C268" s="662" t="str">
        <f>IFERROR(__xludf.DUMMYFUNCTION("IF(
  REGEXMATCH(B268, ""^First\(λ - λ\) ∪ Follow\(""),
  ""Follow("" &amp; REGEXEXTRACT(B268, ""Follow\(([^)]+)\)"") &amp; "") ="",
  IF(
    OR(
      REGEXMATCH(B268, ""^First\([^&lt;]""),
      REGEXMATCH(B268, ""^First\(&lt;[^A-Za-z_]"")
    ),
    """",
    IF(
 "&amp;"     CFG!D268=""λ"",
      ""Follow("" &amp; CFG!B268 &amp; "") ="",
      ""First("" &amp; CFG!D268 &amp; "") =""
    )
  )
)
"),"#REF!")</f>
        <v>#REF!</v>
      </c>
      <c r="D268" s="663" t="str">
        <f>IFERROR(__xludf.DUMMYFUNCTION("IF(
  $C268="""",
  ""{ "" &amp;
    IF(
      REGEXMATCH(B268, ""^First\(\)""),
      "")"",
      REGEXEXTRACT(B268, ""^First\(([^ )]+)"")
    )
  &amp; "" }"",
  IF(
    REGEXMATCH($C268, ""^First\(&lt;""),
    VLOOKUP(REGEXEXTRACT($C268, ""\(([^)]+)\)""), 'First"&amp;" Set MacroA'!B:D, 3, FALSE),
    IF(
      REGEXMATCH($C268, ""^Follow\(&lt;""),
      VLOOKUP(REGEXEXTRACT($C268, ""\(([^)]+)\)""), 'Follow Set Macros'!B:D, 3, FALSE),
      ""{ "" &amp; REGEXEXTRACT($C268, ""\(([^)]+)\)"") &amp; "" }""
    )
  )
)
"),"#REF!")</f>
        <v>#REF!</v>
      </c>
      <c r="E268" s="664"/>
      <c r="F268" s="664"/>
      <c r="G268" s="664"/>
      <c r="H268" s="664"/>
      <c r="I268" s="664"/>
      <c r="J268" s="664"/>
      <c r="K268" s="664"/>
      <c r="L268" s="664"/>
      <c r="M268" s="664"/>
      <c r="N268" s="664"/>
      <c r="O268" s="664"/>
      <c r="P268" s="664"/>
      <c r="Q268" s="664"/>
      <c r="R268" s="664"/>
      <c r="S268" s="664"/>
      <c r="T268" s="664"/>
      <c r="U268" s="664"/>
      <c r="V268" s="664"/>
      <c r="W268" s="664"/>
      <c r="X268" s="664"/>
    </row>
    <row r="269">
      <c r="A269" s="661">
        <f t="shared" si="1"/>
        <v>269</v>
      </c>
      <c r="B269" s="662" t="str">
        <f t="shared" si="2"/>
        <v>#REF!</v>
      </c>
      <c r="C269" s="662" t="str">
        <f>IFERROR(__xludf.DUMMYFUNCTION("IF(
  REGEXMATCH(B269, ""^First\(λ - λ\) ∪ Follow\(""),
  ""Follow("" &amp; REGEXEXTRACT(B269, ""Follow\(([^)]+)\)"") &amp; "") ="",
  IF(
    OR(
      REGEXMATCH(B269, ""^First\([^&lt;]""),
      REGEXMATCH(B269, ""^First\(&lt;[^A-Za-z_]"")
    ),
    """",
    IF(
 "&amp;"     CFG!D269=""λ"",
      ""Follow("" &amp; CFG!B269 &amp; "") ="",
      ""First("" &amp; CFG!D269 &amp; "") =""
    )
  )
)
"),"#REF!")</f>
        <v>#REF!</v>
      </c>
      <c r="D269" s="663" t="str">
        <f>IFERROR(__xludf.DUMMYFUNCTION("IF(
  $C269="""",
  ""{ "" &amp;
    IF(
      REGEXMATCH(B269, ""^First\(\)""),
      "")"",
      REGEXEXTRACT(B269, ""^First\(([^ )]+)"")
    )
  &amp; "" }"",
  IF(
    REGEXMATCH($C269, ""^First\(&lt;""),
    VLOOKUP(REGEXEXTRACT($C269, ""\(([^)]+)\)""), 'First"&amp;" Set MacroA'!B:D, 3, FALSE),
    IF(
      REGEXMATCH($C269, ""^Follow\(&lt;""),
      VLOOKUP(REGEXEXTRACT($C269, ""\(([^)]+)\)""), 'Follow Set Macros'!B:D, 3, FALSE),
      ""{ "" &amp; REGEXEXTRACT($C269, ""\(([^)]+)\)"") &amp; "" }""
    )
  )
)
"),"#REF!")</f>
        <v>#REF!</v>
      </c>
      <c r="E269" s="664"/>
      <c r="F269" s="664"/>
      <c r="G269" s="664"/>
      <c r="H269" s="664"/>
      <c r="I269" s="664"/>
      <c r="J269" s="664"/>
      <c r="K269" s="664"/>
      <c r="L269" s="664"/>
      <c r="M269" s="664"/>
      <c r="N269" s="664"/>
      <c r="O269" s="664"/>
      <c r="P269" s="664"/>
      <c r="Q269" s="664"/>
      <c r="R269" s="664"/>
      <c r="S269" s="664"/>
      <c r="T269" s="664"/>
      <c r="U269" s="664"/>
      <c r="V269" s="664"/>
      <c r="W269" s="664"/>
      <c r="X269" s="664"/>
    </row>
    <row r="270">
      <c r="A270" s="661">
        <f t="shared" si="1"/>
        <v>270</v>
      </c>
      <c r="B270" s="662" t="str">
        <f t="shared" si="2"/>
        <v>#REF!</v>
      </c>
      <c r="C270" s="662" t="str">
        <f>IFERROR(__xludf.DUMMYFUNCTION("IF(
  REGEXMATCH(B270, ""^First\(λ - λ\) ∪ Follow\(""),
  ""Follow("" &amp; REGEXEXTRACT(B270, ""Follow\(([^)]+)\)"") &amp; "") ="",
  IF(
    OR(
      REGEXMATCH(B270, ""^First\([^&lt;]""),
      REGEXMATCH(B270, ""^First\(&lt;[^A-Za-z_]"")
    ),
    """",
    IF(
 "&amp;"     CFG!D270=""λ"",
      ""Follow("" &amp; CFG!B270 &amp; "") ="",
      ""First("" &amp; CFG!D270 &amp; "") =""
    )
  )
)
"),"#REF!")</f>
        <v>#REF!</v>
      </c>
      <c r="D270" s="663" t="str">
        <f>IFERROR(__xludf.DUMMYFUNCTION("IF(
  $C270="""",
  ""{ "" &amp;
    IF(
      REGEXMATCH(B270, ""^First\(\)""),
      "")"",
      REGEXEXTRACT(B270, ""^First\(([^ )]+)"")
    )
  &amp; "" }"",
  IF(
    REGEXMATCH($C270, ""^First\(&lt;""),
    VLOOKUP(REGEXEXTRACT($C270, ""\(([^)]+)\)""), 'First"&amp;" Set MacroA'!B:D, 3, FALSE),
    IF(
      REGEXMATCH($C270, ""^Follow\(&lt;""),
      VLOOKUP(REGEXEXTRACT($C270, ""\(([^)]+)\)""), 'Follow Set Macros'!B:D, 3, FALSE),
      ""{ "" &amp; REGEXEXTRACT($C270, ""\(([^)]+)\)"") &amp; "" }""
    )
  )
)
"),"#REF!")</f>
        <v>#REF!</v>
      </c>
      <c r="E270" s="664"/>
      <c r="F270" s="664"/>
      <c r="G270" s="664"/>
      <c r="H270" s="664"/>
      <c r="I270" s="664"/>
      <c r="J270" s="664"/>
      <c r="K270" s="664"/>
      <c r="L270" s="664"/>
      <c r="M270" s="664"/>
      <c r="N270" s="664"/>
      <c r="O270" s="664"/>
      <c r="P270" s="664"/>
      <c r="Q270" s="664"/>
      <c r="R270" s="664"/>
      <c r="S270" s="664"/>
      <c r="T270" s="664"/>
      <c r="U270" s="664"/>
      <c r="V270" s="664"/>
      <c r="W270" s="664"/>
      <c r="X270" s="664"/>
    </row>
    <row r="271">
      <c r="A271" s="661">
        <f t="shared" si="1"/>
        <v>271</v>
      </c>
      <c r="B271" s="662" t="str">
        <f t="shared" si="2"/>
        <v>#REF!</v>
      </c>
      <c r="C271" s="662" t="str">
        <f>IFERROR(__xludf.DUMMYFUNCTION("IF(
  REGEXMATCH(B271, ""^First\(λ - λ\) ∪ Follow\(""),
  ""Follow("" &amp; REGEXEXTRACT(B271, ""Follow\(([^)]+)\)"") &amp; "") ="",
  IF(
    OR(
      REGEXMATCH(B271, ""^First\([^&lt;]""),
      REGEXMATCH(B271, ""^First\(&lt;[^A-Za-z_]"")
    ),
    """",
    IF(
 "&amp;"     CFG!D271=""λ"",
      ""Follow("" &amp; CFG!B271 &amp; "") ="",
      ""First("" &amp; CFG!D271 &amp; "") =""
    )
  )
)
"),"#REF!")</f>
        <v>#REF!</v>
      </c>
      <c r="D271" s="663" t="str">
        <f>IFERROR(__xludf.DUMMYFUNCTION("IF(
  $C271="""",
  ""{ "" &amp;
    IF(
      REGEXMATCH(B271, ""^First\(\)""),
      "")"",
      REGEXEXTRACT(B271, ""^First\(([^ )]+)"")
    )
  &amp; "" }"",
  IF(
    REGEXMATCH($C271, ""^First\(&lt;""),
    VLOOKUP(REGEXEXTRACT($C271, ""\(([^)]+)\)""), 'First"&amp;" Set MacroA'!B:D, 3, FALSE),
    IF(
      REGEXMATCH($C271, ""^Follow\(&lt;""),
      VLOOKUP(REGEXEXTRACT($C271, ""\(([^)]+)\)""), 'Follow Set Macros'!B:D, 3, FALSE),
      ""{ "" &amp; REGEXEXTRACT($C271, ""\(([^)]+)\)"") &amp; "" }""
    )
  )
)
"),"#REF!")</f>
        <v>#REF!</v>
      </c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</row>
    <row r="272">
      <c r="A272" s="661">
        <f t="shared" si="1"/>
        <v>272</v>
      </c>
      <c r="B272" s="662" t="str">
        <f t="shared" si="2"/>
        <v>#REF!</v>
      </c>
      <c r="C272" s="662" t="str">
        <f>IFERROR(__xludf.DUMMYFUNCTION("IF(
  REGEXMATCH(B272, ""^First\(λ - λ\) ∪ Follow\(""),
  ""Follow("" &amp; REGEXEXTRACT(B272, ""Follow\(([^)]+)\)"") &amp; "") ="",
  IF(
    OR(
      REGEXMATCH(B272, ""^First\([^&lt;]""),
      REGEXMATCH(B272, ""^First\(&lt;[^A-Za-z_]"")
    ),
    """",
    IF(
 "&amp;"     CFG!D272=""λ"",
      ""Follow("" &amp; CFG!B272 &amp; "") ="",
      ""First("" &amp; CFG!D272 &amp; "") =""
    )
  )
)
"),"#REF!")</f>
        <v>#REF!</v>
      </c>
      <c r="D272" s="663" t="str">
        <f>IFERROR(__xludf.DUMMYFUNCTION("IF(
  $C272="""",
  ""{ "" &amp;
    IF(
      REGEXMATCH(B272, ""^First\(\)""),
      "")"",
      REGEXEXTRACT(B272, ""^First\(([^ )]+)"")
    )
  &amp; "" }"",
  IF(
    REGEXMATCH($C272, ""^First\(&lt;""),
    VLOOKUP(REGEXEXTRACT($C272, ""\(([^)]+)\)""), 'First"&amp;" Set MacroA'!B:D, 3, FALSE),
    IF(
      REGEXMATCH($C272, ""^Follow\(&lt;""),
      VLOOKUP(REGEXEXTRACT($C272, ""\(([^)]+)\)""), 'Follow Set Macros'!B:D, 3, FALSE),
      ""{ "" &amp; REGEXEXTRACT($C272, ""\(([^)]+)\)"") &amp; "" }""
    )
  )
)
"),"#REF!")</f>
        <v>#REF!</v>
      </c>
      <c r="E272" s="664"/>
      <c r="F272" s="664"/>
      <c r="G272" s="664"/>
      <c r="H272" s="664"/>
      <c r="I272" s="664"/>
      <c r="J272" s="664"/>
      <c r="K272" s="664"/>
      <c r="L272" s="664"/>
      <c r="M272" s="664"/>
      <c r="N272" s="664"/>
      <c r="O272" s="664"/>
      <c r="P272" s="664"/>
      <c r="Q272" s="664"/>
      <c r="R272" s="664"/>
      <c r="S272" s="664"/>
      <c r="T272" s="664"/>
      <c r="U272" s="664"/>
      <c r="V272" s="664"/>
      <c r="W272" s="664"/>
      <c r="X272" s="664"/>
    </row>
    <row r="273">
      <c r="A273" s="661">
        <f t="shared" si="1"/>
        <v>273</v>
      </c>
      <c r="B273" s="662" t="str">
        <f t="shared" si="2"/>
        <v>#REF!</v>
      </c>
      <c r="C273" s="662" t="str">
        <f>IFERROR(__xludf.DUMMYFUNCTION("IF(
  REGEXMATCH(B273, ""^First\(λ - λ\) ∪ Follow\(""),
  ""Follow("" &amp; REGEXEXTRACT(B273, ""Follow\(([^)]+)\)"") &amp; "") ="",
  IF(
    OR(
      REGEXMATCH(B273, ""^First\([^&lt;]""),
      REGEXMATCH(B273, ""^First\(&lt;[^A-Za-z_]"")
    ),
    """",
    IF(
 "&amp;"     CFG!D273=""λ"",
      ""Follow("" &amp; CFG!B273 &amp; "") ="",
      ""First("" &amp; CFG!D273 &amp; "") =""
    )
  )
)
"),"#REF!")</f>
        <v>#REF!</v>
      </c>
      <c r="D273" s="663" t="str">
        <f>IFERROR(__xludf.DUMMYFUNCTION("IF(
  $C273="""",
  ""{ "" &amp;
    IF(
      REGEXMATCH(B273, ""^First\(\)""),
      "")"",
      REGEXEXTRACT(B273, ""^First\(([^ )]+)"")
    )
  &amp; "" }"",
  IF(
    REGEXMATCH($C273, ""^First\(&lt;""),
    VLOOKUP(REGEXEXTRACT($C273, ""\(([^)]+)\)""), 'First"&amp;" Set MacroA'!B:D, 3, FALSE),
    IF(
      REGEXMATCH($C273, ""^Follow\(&lt;""),
      VLOOKUP(REGEXEXTRACT($C273, ""\(([^)]+)\)""), 'Follow Set Macros'!B:D, 3, FALSE),
      ""{ "" &amp; REGEXEXTRACT($C273, ""\(([^)]+)\)"") &amp; "" }""
    )
  )
)
"),"#REF!")</f>
        <v>#REF!</v>
      </c>
      <c r="E273" s="664"/>
      <c r="F273" s="664"/>
      <c r="G273" s="664"/>
      <c r="H273" s="664"/>
      <c r="I273" s="664"/>
      <c r="J273" s="664"/>
      <c r="K273" s="664"/>
      <c r="L273" s="664"/>
      <c r="M273" s="664"/>
      <c r="N273" s="664"/>
      <c r="O273" s="664"/>
      <c r="P273" s="664"/>
      <c r="Q273" s="664"/>
      <c r="R273" s="664"/>
      <c r="S273" s="664"/>
      <c r="T273" s="664"/>
      <c r="U273" s="664"/>
      <c r="V273" s="664"/>
      <c r="W273" s="664"/>
      <c r="X273" s="664"/>
    </row>
    <row r="274">
      <c r="A274" s="661">
        <f t="shared" si="1"/>
        <v>274</v>
      </c>
      <c r="B274" s="662" t="str">
        <f t="shared" si="2"/>
        <v>#REF!</v>
      </c>
      <c r="C274" s="662" t="str">
        <f>IFERROR(__xludf.DUMMYFUNCTION("IF(
  REGEXMATCH(B274, ""^First\(λ - λ\) ∪ Follow\(""),
  ""Follow("" &amp; REGEXEXTRACT(B274, ""Follow\(([^)]+)\)"") &amp; "") ="",
  IF(
    OR(
      REGEXMATCH(B274, ""^First\([^&lt;]""),
      REGEXMATCH(B274, ""^First\(&lt;[^A-Za-z_]"")
    ),
    """",
    IF(
 "&amp;"     CFG!D274=""λ"",
      ""Follow("" &amp; CFG!B274 &amp; "") ="",
      ""First("" &amp; CFG!D274 &amp; "") =""
    )
  )
)
"),"#REF!")</f>
        <v>#REF!</v>
      </c>
      <c r="D274" s="663" t="str">
        <f>IFERROR(__xludf.DUMMYFUNCTION("IF(
  $C274="""",
  ""{ "" &amp;
    IF(
      REGEXMATCH(B274, ""^First\(\)""),
      "")"",
      REGEXEXTRACT(B274, ""^First\(([^ )]+)"")
    )
  &amp; "" }"",
  IF(
    REGEXMATCH($C274, ""^First\(&lt;""),
    VLOOKUP(REGEXEXTRACT($C274, ""\(([^)]+)\)""), 'First"&amp;" Set MacroA'!B:D, 3, FALSE),
    IF(
      REGEXMATCH($C274, ""^Follow\(&lt;""),
      VLOOKUP(REGEXEXTRACT($C274, ""\(([^)]+)\)""), 'Follow Set Macros'!B:D, 3, FALSE),
      ""{ "" &amp; REGEXEXTRACT($C274, ""\(([^)]+)\)"") &amp; "" }""
    )
  )
)
"),"#REF!")</f>
        <v>#REF!</v>
      </c>
      <c r="E274" s="664"/>
      <c r="F274" s="664"/>
      <c r="G274" s="664"/>
      <c r="H274" s="664"/>
      <c r="I274" s="664"/>
      <c r="J274" s="664"/>
      <c r="K274" s="664"/>
      <c r="L274" s="664"/>
      <c r="M274" s="664"/>
      <c r="N274" s="664"/>
      <c r="O274" s="664"/>
      <c r="P274" s="664"/>
      <c r="Q274" s="664"/>
      <c r="R274" s="664"/>
      <c r="S274" s="664"/>
      <c r="T274" s="664"/>
      <c r="U274" s="664"/>
      <c r="V274" s="664"/>
      <c r="W274" s="664"/>
      <c r="X274" s="664"/>
    </row>
    <row r="275">
      <c r="A275" s="661">
        <f t="shared" si="1"/>
        <v>275</v>
      </c>
      <c r="B275" s="662" t="str">
        <f t="shared" si="2"/>
        <v>#REF!</v>
      </c>
      <c r="C275" s="662" t="str">
        <f>IFERROR(__xludf.DUMMYFUNCTION("IF(
  REGEXMATCH(B275, ""^First\(λ - λ\) ∪ Follow\(""),
  ""Follow("" &amp; REGEXEXTRACT(B275, ""Follow\(([^)]+)\)"") &amp; "") ="",
  IF(
    OR(
      REGEXMATCH(B275, ""^First\([^&lt;]""),
      REGEXMATCH(B275, ""^First\(&lt;[^A-Za-z_]"")
    ),
    """",
    IF(
 "&amp;"     CFG!D275=""λ"",
      ""Follow("" &amp; CFG!B275 &amp; "") ="",
      ""First("" &amp; CFG!D275 &amp; "") =""
    )
  )
)
"),"#REF!")</f>
        <v>#REF!</v>
      </c>
      <c r="D275" s="663" t="str">
        <f>IFERROR(__xludf.DUMMYFUNCTION("IF(
  $C275="""",
  ""{ "" &amp;
    IF(
      REGEXMATCH(B275, ""^First\(\)""),
      "")"",
      REGEXEXTRACT(B275, ""^First\(([^ )]+)"")
    )
  &amp; "" }"",
  IF(
    REGEXMATCH($C275, ""^First\(&lt;""),
    VLOOKUP(REGEXEXTRACT($C275, ""\(([^)]+)\)""), 'First"&amp;" Set MacroA'!B:D, 3, FALSE),
    IF(
      REGEXMATCH($C275, ""^Follow\(&lt;""),
      VLOOKUP(REGEXEXTRACT($C275, ""\(([^)]+)\)""), 'Follow Set Macros'!B:D, 3, FALSE),
      ""{ "" &amp; REGEXEXTRACT($C275, ""\(([^)]+)\)"") &amp; "" }""
    )
  )
)
"),"#REF!")</f>
        <v>#REF!</v>
      </c>
      <c r="E275" s="664"/>
      <c r="F275" s="664"/>
      <c r="G275" s="664"/>
      <c r="H275" s="664"/>
      <c r="I275" s="664"/>
      <c r="J275" s="664"/>
      <c r="K275" s="664"/>
      <c r="L275" s="664"/>
      <c r="M275" s="664"/>
      <c r="N275" s="664"/>
      <c r="O275" s="664"/>
      <c r="P275" s="664"/>
      <c r="Q275" s="664"/>
      <c r="R275" s="664"/>
      <c r="S275" s="664"/>
      <c r="T275" s="664"/>
      <c r="U275" s="664"/>
      <c r="V275" s="664"/>
      <c r="W275" s="664"/>
      <c r="X275" s="664"/>
    </row>
    <row r="276">
      <c r="A276" s="661">
        <f t="shared" si="1"/>
        <v>276</v>
      </c>
      <c r="B276" s="662" t="str">
        <f t="shared" si="2"/>
        <v>#REF!</v>
      </c>
      <c r="C276" s="662" t="str">
        <f>IFERROR(__xludf.DUMMYFUNCTION("IF(
  REGEXMATCH(B276, ""^First\(λ - λ\) ∪ Follow\(""),
  ""Follow("" &amp; REGEXEXTRACT(B276, ""Follow\(([^)]+)\)"") &amp; "") ="",
  IF(
    OR(
      REGEXMATCH(B276, ""^First\([^&lt;]""),
      REGEXMATCH(B276, ""^First\(&lt;[^A-Za-z_]"")
    ),
    """",
    IF(
 "&amp;"     CFG!D276=""λ"",
      ""Follow("" &amp; CFG!B276 &amp; "") ="",
      ""First("" &amp; CFG!D276 &amp; "") =""
    )
  )
)
"),"#REF!")</f>
        <v>#REF!</v>
      </c>
      <c r="D276" s="663" t="str">
        <f>IFERROR(__xludf.DUMMYFUNCTION("IF(
  $C276="""",
  ""{ "" &amp;
    IF(
      REGEXMATCH(B276, ""^First\(\)""),
      "")"",
      REGEXEXTRACT(B276, ""^First\(([^ )]+)"")
    )
  &amp; "" }"",
  IF(
    REGEXMATCH($C276, ""^First\(&lt;""),
    VLOOKUP(REGEXEXTRACT($C276, ""\(([^)]+)\)""), 'First"&amp;" Set MacroA'!B:D, 3, FALSE),
    IF(
      REGEXMATCH($C276, ""^Follow\(&lt;""),
      VLOOKUP(REGEXEXTRACT($C276, ""\(([^)]+)\)""), 'Follow Set Macros'!B:D, 3, FALSE),
      ""{ "" &amp; REGEXEXTRACT($C276, ""\(([^)]+)\)"") &amp; "" }""
    )
  )
)
"),"#REF!")</f>
        <v>#REF!</v>
      </c>
      <c r="E276" s="664"/>
      <c r="F276" s="664"/>
      <c r="G276" s="664"/>
      <c r="H276" s="664"/>
      <c r="I276" s="664"/>
      <c r="J276" s="664"/>
      <c r="K276" s="664"/>
      <c r="L276" s="664"/>
      <c r="M276" s="664"/>
      <c r="N276" s="664"/>
      <c r="O276" s="664"/>
      <c r="P276" s="664"/>
      <c r="Q276" s="664"/>
      <c r="R276" s="664"/>
      <c r="S276" s="664"/>
      <c r="T276" s="664"/>
      <c r="U276" s="664"/>
      <c r="V276" s="664"/>
      <c r="W276" s="664"/>
      <c r="X276" s="664"/>
    </row>
    <row r="277">
      <c r="A277" s="661">
        <f t="shared" si="1"/>
        <v>277</v>
      </c>
      <c r="B277" s="662" t="str">
        <f t="shared" si="2"/>
        <v>#REF!</v>
      </c>
      <c r="C277" s="662" t="str">
        <f>IFERROR(__xludf.DUMMYFUNCTION("IF(
  REGEXMATCH(B277, ""^First\(λ - λ\) ∪ Follow\(""),
  ""Follow("" &amp; REGEXEXTRACT(B277, ""Follow\(([^)]+)\)"") &amp; "") ="",
  IF(
    OR(
      REGEXMATCH(B277, ""^First\([^&lt;]""),
      REGEXMATCH(B277, ""^First\(&lt;[^A-Za-z_]"")
    ),
    """",
    IF(
 "&amp;"     CFG!D277=""λ"",
      ""Follow("" &amp; CFG!B277 &amp; "") ="",
      ""First("" &amp; CFG!D277 &amp; "") =""
    )
  )
)
"),"#REF!")</f>
        <v>#REF!</v>
      </c>
      <c r="D277" s="663" t="str">
        <f>IFERROR(__xludf.DUMMYFUNCTION("IF(
  $C277="""",
  ""{ "" &amp;
    IF(
      REGEXMATCH(B277, ""^First\(\)""),
      "")"",
      REGEXEXTRACT(B277, ""^First\(([^ )]+)"")
    )
  &amp; "" }"",
  IF(
    REGEXMATCH($C277, ""^First\(&lt;""),
    VLOOKUP(REGEXEXTRACT($C277, ""\(([^)]+)\)""), 'First"&amp;" Set MacroA'!B:D, 3, FALSE),
    IF(
      REGEXMATCH($C277, ""^Follow\(&lt;""),
      VLOOKUP(REGEXEXTRACT($C277, ""\(([^)]+)\)""), 'Follow Set Macros'!B:D, 3, FALSE),
      ""{ "" &amp; REGEXEXTRACT($C277, ""\(([^)]+)\)"") &amp; "" }""
    )
  )
)
"),"#REF!")</f>
        <v>#REF!</v>
      </c>
      <c r="E277" s="664"/>
      <c r="F277" s="664"/>
      <c r="G277" s="664"/>
      <c r="H277" s="664"/>
      <c r="I277" s="664"/>
      <c r="J277" s="664"/>
      <c r="K277" s="664"/>
      <c r="L277" s="664"/>
      <c r="M277" s="664"/>
      <c r="N277" s="664"/>
      <c r="O277" s="664"/>
      <c r="P277" s="664"/>
      <c r="Q277" s="664"/>
      <c r="R277" s="664"/>
      <c r="S277" s="664"/>
      <c r="T277" s="664"/>
      <c r="U277" s="664"/>
      <c r="V277" s="664"/>
      <c r="W277" s="664"/>
      <c r="X277" s="664"/>
    </row>
    <row r="278">
      <c r="A278" s="661">
        <f t="shared" si="1"/>
        <v>278</v>
      </c>
      <c r="B278" s="662" t="str">
        <f t="shared" si="2"/>
        <v>#REF!</v>
      </c>
      <c r="C278" s="662" t="str">
        <f>IFERROR(__xludf.DUMMYFUNCTION("IF(
  REGEXMATCH(B278, ""^First\(λ - λ\) ∪ Follow\(""),
  ""Follow("" &amp; REGEXEXTRACT(B278, ""Follow\(([^)]+)\)"") &amp; "") ="",
  IF(
    OR(
      REGEXMATCH(B278, ""^First\([^&lt;]""),
      REGEXMATCH(B278, ""^First\(&lt;[^A-Za-z_]"")
    ),
    """",
    IF(
 "&amp;"     CFG!D278=""λ"",
      ""Follow("" &amp; CFG!B278 &amp; "") ="",
      ""First("" &amp; CFG!D278 &amp; "") =""
    )
  )
)
"),"#REF!")</f>
        <v>#REF!</v>
      </c>
      <c r="D278" s="663" t="str">
        <f>IFERROR(__xludf.DUMMYFUNCTION("IF(
  $C278="""",
  ""{ "" &amp;
    IF(
      REGEXMATCH(B278, ""^First\(\)""),
      "")"",
      REGEXEXTRACT(B278, ""^First\(([^ )]+)"")
    )
  &amp; "" }"",
  IF(
    REGEXMATCH($C278, ""^First\(&lt;""),
    VLOOKUP(REGEXEXTRACT($C278, ""\(([^)]+)\)""), 'First"&amp;" Set MacroA'!B:D, 3, FALSE),
    IF(
      REGEXMATCH($C278, ""^Follow\(&lt;""),
      VLOOKUP(REGEXEXTRACT($C278, ""\(([^)]+)\)""), 'Follow Set Macros'!B:D, 3, FALSE),
      ""{ "" &amp; REGEXEXTRACT($C278, ""\(([^)]+)\)"") &amp; "" }""
    )
  )
)
"),"#REF!")</f>
        <v>#REF!</v>
      </c>
      <c r="E278" s="664"/>
      <c r="F278" s="664"/>
      <c r="G278" s="664"/>
      <c r="H278" s="664"/>
      <c r="I278" s="664"/>
      <c r="J278" s="664"/>
      <c r="K278" s="664"/>
      <c r="L278" s="664"/>
      <c r="M278" s="664"/>
      <c r="N278" s="664"/>
      <c r="O278" s="664"/>
      <c r="P278" s="664"/>
      <c r="Q278" s="664"/>
      <c r="R278" s="664"/>
      <c r="S278" s="664"/>
      <c r="T278" s="664"/>
      <c r="U278" s="664"/>
      <c r="V278" s="664"/>
      <c r="W278" s="664"/>
      <c r="X278" s="664"/>
    </row>
    <row r="279">
      <c r="A279" s="661">
        <f t="shared" si="1"/>
        <v>279</v>
      </c>
      <c r="B279" s="662" t="str">
        <f t="shared" si="2"/>
        <v>#REF!</v>
      </c>
      <c r="C279" s="662" t="str">
        <f>IFERROR(__xludf.DUMMYFUNCTION("IF(
  REGEXMATCH(B279, ""^First\(λ - λ\) ∪ Follow\(""),
  ""Follow("" &amp; REGEXEXTRACT(B279, ""Follow\(([^)]+)\)"") &amp; "") ="",
  IF(
    OR(
      REGEXMATCH(B279, ""^First\([^&lt;]""),
      REGEXMATCH(B279, ""^First\(&lt;[^A-Za-z_]"")
    ),
    """",
    IF(
 "&amp;"     CFG!D279=""λ"",
      ""Follow("" &amp; CFG!B279 &amp; "") ="",
      ""First("" &amp; CFG!D279 &amp; "") =""
    )
  )
)
"),"#REF!")</f>
        <v>#REF!</v>
      </c>
      <c r="D279" s="663" t="str">
        <f>IFERROR(__xludf.DUMMYFUNCTION("IF(
  $C279="""",
  ""{ "" &amp;
    IF(
      REGEXMATCH(B279, ""^First\(\)""),
      "")"",
      REGEXEXTRACT(B279, ""^First\(([^ )]+)"")
    )
  &amp; "" }"",
  IF(
    REGEXMATCH($C279, ""^First\(&lt;""),
    VLOOKUP(REGEXEXTRACT($C279, ""\(([^)]+)\)""), 'First"&amp;" Set MacroA'!B:D, 3, FALSE),
    IF(
      REGEXMATCH($C279, ""^Follow\(&lt;""),
      VLOOKUP(REGEXEXTRACT($C279, ""\(([^)]+)\)""), 'Follow Set Macros'!B:D, 3, FALSE),
      ""{ "" &amp; REGEXEXTRACT($C279, ""\(([^)]+)\)"") &amp; "" }""
    )
  )
)
"),"#REF!")</f>
        <v>#REF!</v>
      </c>
      <c r="E279" s="664"/>
      <c r="F279" s="664"/>
      <c r="G279" s="664"/>
      <c r="H279" s="664"/>
      <c r="I279" s="664"/>
      <c r="J279" s="664"/>
      <c r="K279" s="664"/>
      <c r="L279" s="664"/>
      <c r="M279" s="664"/>
      <c r="N279" s="664"/>
      <c r="O279" s="664"/>
      <c r="P279" s="664"/>
      <c r="Q279" s="664"/>
      <c r="R279" s="664"/>
      <c r="S279" s="664"/>
      <c r="T279" s="664"/>
      <c r="U279" s="664"/>
      <c r="V279" s="664"/>
      <c r="W279" s="664"/>
      <c r="X279" s="664"/>
    </row>
    <row r="280">
      <c r="A280" s="661">
        <f t="shared" si="1"/>
        <v>280</v>
      </c>
      <c r="B280" s="662" t="str">
        <f t="shared" si="2"/>
        <v>#REF!</v>
      </c>
      <c r="C280" s="662" t="str">
        <f>IFERROR(__xludf.DUMMYFUNCTION("IF(
  REGEXMATCH(B280, ""^First\(λ - λ\) ∪ Follow\(""),
  ""Follow("" &amp; REGEXEXTRACT(B280, ""Follow\(([^)]+)\)"") &amp; "") ="",
  IF(
    OR(
      REGEXMATCH(B280, ""^First\([^&lt;]""),
      REGEXMATCH(B280, ""^First\(&lt;[^A-Za-z_]"")
    ),
    """",
    IF(
 "&amp;"     CFG!D280=""λ"",
      ""Follow("" &amp; CFG!B280 &amp; "") ="",
      ""First("" &amp; CFG!D280 &amp; "") =""
    )
  )
)
"),"#REF!")</f>
        <v>#REF!</v>
      </c>
      <c r="D280" s="663" t="str">
        <f>IFERROR(__xludf.DUMMYFUNCTION("IF(
  $C280="""",
  ""{ "" &amp;
    IF(
      REGEXMATCH(B280, ""^First\(\)""),
      "")"",
      REGEXEXTRACT(B280, ""^First\(([^ )]+)"")
    )
  &amp; "" }"",
  IF(
    REGEXMATCH($C280, ""^First\(&lt;""),
    VLOOKUP(REGEXEXTRACT($C280, ""\(([^)]+)\)""), 'First"&amp;" Set MacroA'!B:D, 3, FALSE),
    IF(
      REGEXMATCH($C280, ""^Follow\(&lt;""),
      VLOOKUP(REGEXEXTRACT($C280, ""\(([^)]+)\)""), 'Follow Set Macros'!B:D, 3, FALSE),
      ""{ "" &amp; REGEXEXTRACT($C280, ""\(([^)]+)\)"") &amp; "" }""
    )
  )
)
"),"#REF!")</f>
        <v>#REF!</v>
      </c>
      <c r="E280" s="664"/>
      <c r="F280" s="664"/>
      <c r="G280" s="664"/>
      <c r="H280" s="664"/>
      <c r="I280" s="664"/>
      <c r="J280" s="664"/>
      <c r="K280" s="664"/>
      <c r="L280" s="664"/>
      <c r="M280" s="664"/>
      <c r="N280" s="664"/>
      <c r="O280" s="664"/>
      <c r="P280" s="664"/>
      <c r="Q280" s="664"/>
      <c r="R280" s="664"/>
      <c r="S280" s="664"/>
      <c r="T280" s="664"/>
      <c r="U280" s="664"/>
      <c r="V280" s="664"/>
      <c r="W280" s="664"/>
      <c r="X280" s="664"/>
    </row>
    <row r="281">
      <c r="A281" s="661">
        <f t="shared" si="1"/>
        <v>281</v>
      </c>
      <c r="B281" s="662" t="str">
        <f t="shared" si="2"/>
        <v>#REF!</v>
      </c>
      <c r="C281" s="662" t="str">
        <f>IFERROR(__xludf.DUMMYFUNCTION("IF(
  REGEXMATCH(B281, ""^First\(λ - λ\) ∪ Follow\(""),
  ""Follow("" &amp; REGEXEXTRACT(B281, ""Follow\(([^)]+)\)"") &amp; "") ="",
  IF(
    OR(
      REGEXMATCH(B281, ""^First\([^&lt;]""),
      REGEXMATCH(B281, ""^First\(&lt;[^A-Za-z_]"")
    ),
    """",
    IF(
 "&amp;"     CFG!D281=""λ"",
      ""Follow("" &amp; CFG!B281 &amp; "") ="",
      ""First("" &amp; CFG!D281 &amp; "") =""
    )
  )
)
"),"#REF!")</f>
        <v>#REF!</v>
      </c>
      <c r="D281" s="663" t="str">
        <f>IFERROR(__xludf.DUMMYFUNCTION("IF(
  $C281="""",
  ""{ "" &amp;
    IF(
      REGEXMATCH(B281, ""^First\(\)""),
      "")"",
      REGEXEXTRACT(B281, ""^First\(([^ )]+)"")
    )
  &amp; "" }"",
  IF(
    REGEXMATCH($C281, ""^First\(&lt;""),
    VLOOKUP(REGEXEXTRACT($C281, ""\(([^)]+)\)""), 'First"&amp;" Set MacroA'!B:D, 3, FALSE),
    IF(
      REGEXMATCH($C281, ""^Follow\(&lt;""),
      VLOOKUP(REGEXEXTRACT($C281, ""\(([^)]+)\)""), 'Follow Set Macros'!B:D, 3, FALSE),
      ""{ "" &amp; REGEXEXTRACT($C281, ""\(([^)]+)\)"") &amp; "" }""
    )
  )
)
"),"#REF!")</f>
        <v>#REF!</v>
      </c>
      <c r="E281" s="664"/>
      <c r="F281" s="664"/>
      <c r="G281" s="664"/>
      <c r="H281" s="664"/>
      <c r="I281" s="664"/>
      <c r="J281" s="664"/>
      <c r="K281" s="664"/>
      <c r="L281" s="664"/>
      <c r="M281" s="664"/>
      <c r="N281" s="664"/>
      <c r="O281" s="664"/>
      <c r="P281" s="664"/>
      <c r="Q281" s="664"/>
      <c r="R281" s="664"/>
      <c r="S281" s="664"/>
      <c r="T281" s="664"/>
      <c r="U281" s="664"/>
      <c r="V281" s="664"/>
      <c r="W281" s="664"/>
      <c r="X281" s="664"/>
    </row>
    <row r="282">
      <c r="A282" s="661">
        <f t="shared" si="1"/>
        <v>282</v>
      </c>
      <c r="B282" s="662" t="str">
        <f t="shared" si="2"/>
        <v>#REF!</v>
      </c>
      <c r="C282" s="662" t="str">
        <f>IFERROR(__xludf.DUMMYFUNCTION("IF(
  REGEXMATCH(B282, ""^First\(λ - λ\) ∪ Follow\(""),
  ""Follow("" &amp; REGEXEXTRACT(B282, ""Follow\(([^)]+)\)"") &amp; "") ="",
  IF(
    OR(
      REGEXMATCH(B282, ""^First\([^&lt;]""),
      REGEXMATCH(B282, ""^First\(&lt;[^A-Za-z_]"")
    ),
    """",
    IF(
 "&amp;"     CFG!D282=""λ"",
      ""Follow("" &amp; CFG!B282 &amp; "") ="",
      ""First("" &amp; CFG!D282 &amp; "") =""
    )
  )
)
"),"#REF!")</f>
        <v>#REF!</v>
      </c>
      <c r="D282" s="663" t="str">
        <f>IFERROR(__xludf.DUMMYFUNCTION("IF(
  $C282="""",
  ""{ "" &amp;
    IF(
      REGEXMATCH(B282, ""^First\(\)""),
      "")"",
      REGEXEXTRACT(B282, ""^First\(([^ )]+)"")
    )
  &amp; "" }"",
  IF(
    REGEXMATCH($C282, ""^First\(&lt;""),
    VLOOKUP(REGEXEXTRACT($C282, ""\(([^)]+)\)""), 'First"&amp;" Set MacroA'!B:D, 3, FALSE),
    IF(
      REGEXMATCH($C282, ""^Follow\(&lt;""),
      VLOOKUP(REGEXEXTRACT($C282, ""\(([^)]+)\)""), 'Follow Set Macros'!B:D, 3, FALSE),
      ""{ "" &amp; REGEXEXTRACT($C282, ""\(([^)]+)\)"") &amp; "" }""
    )
  )
)
"),"#REF!")</f>
        <v>#REF!</v>
      </c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</row>
    <row r="283">
      <c r="A283" s="661">
        <f t="shared" si="1"/>
        <v>283</v>
      </c>
      <c r="B283" s="662" t="str">
        <f t="shared" si="2"/>
        <v>#REF!</v>
      </c>
      <c r="C283" s="662" t="str">
        <f>IFERROR(__xludf.DUMMYFUNCTION("IF(
  REGEXMATCH(B283, ""^First\(λ - λ\) ∪ Follow\(""),
  ""Follow("" &amp; REGEXEXTRACT(B283, ""Follow\(([^)]+)\)"") &amp; "") ="",
  IF(
    OR(
      REGEXMATCH(B283, ""^First\([^&lt;]""),
      REGEXMATCH(B283, ""^First\(&lt;[^A-Za-z_]"")
    ),
    """",
    IF(
 "&amp;"     CFG!D283=""λ"",
      ""Follow("" &amp; CFG!B283 &amp; "") ="",
      ""First("" &amp; CFG!D283 &amp; "") =""
    )
  )
)
"),"#REF!")</f>
        <v>#REF!</v>
      </c>
      <c r="D283" s="663" t="str">
        <f>IFERROR(__xludf.DUMMYFUNCTION("IF(
  $C283="""",
  ""{ "" &amp;
    IF(
      REGEXMATCH(B283, ""^First\(\)""),
      "")"",
      REGEXEXTRACT(B283, ""^First\(([^ )]+)"")
    )
  &amp; "" }"",
  IF(
    REGEXMATCH($C283, ""^First\(&lt;""),
    VLOOKUP(REGEXEXTRACT($C283, ""\(([^)]+)\)""), 'First"&amp;" Set MacroA'!B:D, 3, FALSE),
    IF(
      REGEXMATCH($C283, ""^Follow\(&lt;""),
      VLOOKUP(REGEXEXTRACT($C283, ""\(([^)]+)\)""), 'Follow Set Macros'!B:D, 3, FALSE),
      ""{ "" &amp; REGEXEXTRACT($C283, ""\(([^)]+)\)"") &amp; "" }""
    )
  )
)
"),"#REF!")</f>
        <v>#REF!</v>
      </c>
      <c r="E283" s="664"/>
      <c r="F283" s="664"/>
      <c r="G283" s="664"/>
      <c r="H283" s="664"/>
      <c r="I283" s="664"/>
      <c r="J283" s="664"/>
      <c r="K283" s="664"/>
      <c r="L283" s="664"/>
      <c r="M283" s="664"/>
      <c r="N283" s="664"/>
      <c r="O283" s="664"/>
      <c r="P283" s="664"/>
      <c r="Q283" s="664"/>
      <c r="R283" s="664"/>
      <c r="S283" s="664"/>
      <c r="T283" s="664"/>
      <c r="U283" s="664"/>
      <c r="V283" s="664"/>
      <c r="W283" s="664"/>
      <c r="X283" s="664"/>
    </row>
    <row r="284">
      <c r="A284" s="661">
        <f t="shared" si="1"/>
        <v>284</v>
      </c>
      <c r="B284" s="662" t="str">
        <f t="shared" si="2"/>
        <v>#REF!</v>
      </c>
      <c r="C284" s="662" t="str">
        <f>IFERROR(__xludf.DUMMYFUNCTION("IF(
  REGEXMATCH(B284, ""^First\(λ - λ\) ∪ Follow\(""),
  ""Follow("" &amp; REGEXEXTRACT(B284, ""Follow\(([^)]+)\)"") &amp; "") ="",
  IF(
    OR(
      REGEXMATCH(B284, ""^First\([^&lt;]""),
      REGEXMATCH(B284, ""^First\(&lt;[^A-Za-z_]"")
    ),
    """",
    IF(
 "&amp;"     CFG!D284=""λ"",
      ""Follow("" &amp; CFG!B284 &amp; "") ="",
      ""First("" &amp; CFG!D284 &amp; "") =""
    )
  )
)
"),"#REF!")</f>
        <v>#REF!</v>
      </c>
      <c r="D284" s="663" t="str">
        <f>IFERROR(__xludf.DUMMYFUNCTION("IF(
  $C284="""",
  ""{ "" &amp;
    IF(
      REGEXMATCH(B284, ""^First\(\)""),
      "")"",
      REGEXEXTRACT(B284, ""^First\(([^ )]+)"")
    )
  &amp; "" }"",
  IF(
    REGEXMATCH($C284, ""^First\(&lt;""),
    VLOOKUP(REGEXEXTRACT($C284, ""\(([^)]+)\)""), 'First"&amp;" Set MacroA'!B:D, 3, FALSE),
    IF(
      REGEXMATCH($C284, ""^Follow\(&lt;""),
      VLOOKUP(REGEXEXTRACT($C284, ""\(([^)]+)\)""), 'Follow Set Macros'!B:D, 3, FALSE),
      ""{ "" &amp; REGEXEXTRACT($C284, ""\(([^)]+)\)"") &amp; "" }""
    )
  )
)
"),"#REF!")</f>
        <v>#REF!</v>
      </c>
      <c r="E284" s="664"/>
      <c r="F284" s="664"/>
      <c r="G284" s="664"/>
      <c r="H284" s="664"/>
      <c r="I284" s="664"/>
      <c r="J284" s="664"/>
      <c r="K284" s="664"/>
      <c r="L284" s="664"/>
      <c r="M284" s="664"/>
      <c r="N284" s="664"/>
      <c r="O284" s="664"/>
      <c r="P284" s="664"/>
      <c r="Q284" s="664"/>
      <c r="R284" s="664"/>
      <c r="S284" s="664"/>
      <c r="T284" s="664"/>
      <c r="U284" s="664"/>
      <c r="V284" s="664"/>
      <c r="W284" s="664"/>
      <c r="X284" s="664"/>
    </row>
    <row r="285">
      <c r="A285" s="661">
        <f t="shared" si="1"/>
        <v>285</v>
      </c>
      <c r="B285" s="662" t="str">
        <f t="shared" si="2"/>
        <v>#REF!</v>
      </c>
      <c r="C285" s="662" t="str">
        <f>IFERROR(__xludf.DUMMYFUNCTION("IF(
  REGEXMATCH(B285, ""^First\(λ - λ\) ∪ Follow\(""),
  ""Follow("" &amp; REGEXEXTRACT(B285, ""Follow\(([^)]+)\)"") &amp; "") ="",
  IF(
    OR(
      REGEXMATCH(B285, ""^First\([^&lt;]""),
      REGEXMATCH(B285, ""^First\(&lt;[^A-Za-z_]"")
    ),
    """",
    IF(
 "&amp;"     CFG!D285=""λ"",
      ""Follow("" &amp; CFG!B285 &amp; "") ="",
      ""First("" &amp; CFG!D285 &amp; "") =""
    )
  )
)
"),"#REF!")</f>
        <v>#REF!</v>
      </c>
      <c r="D285" s="663" t="str">
        <f>IFERROR(__xludf.DUMMYFUNCTION("IF(
  $C285="""",
  ""{ "" &amp;
    IF(
      REGEXMATCH(B285, ""^First\(\)""),
      "")"",
      REGEXEXTRACT(B285, ""^First\(([^ )]+)"")
    )
  &amp; "" }"",
  IF(
    REGEXMATCH($C285, ""^First\(&lt;""),
    VLOOKUP(REGEXEXTRACT($C285, ""\(([^)]+)\)""), 'First"&amp;" Set MacroA'!B:D, 3, FALSE),
    IF(
      REGEXMATCH($C285, ""^Follow\(&lt;""),
      VLOOKUP(REGEXEXTRACT($C285, ""\(([^)]+)\)""), 'Follow Set Macros'!B:D, 3, FALSE),
      ""{ "" &amp; REGEXEXTRACT($C285, ""\(([^)]+)\)"") &amp; "" }""
    )
  )
)
"),"#REF!")</f>
        <v>#REF!</v>
      </c>
      <c r="E285" s="664"/>
      <c r="F285" s="664"/>
      <c r="G285" s="664"/>
      <c r="H285" s="664"/>
      <c r="I285" s="664"/>
      <c r="J285" s="664"/>
      <c r="K285" s="664"/>
      <c r="L285" s="664"/>
      <c r="M285" s="664"/>
      <c r="N285" s="664"/>
      <c r="O285" s="664"/>
      <c r="P285" s="664"/>
      <c r="Q285" s="664"/>
      <c r="R285" s="664"/>
      <c r="S285" s="664"/>
      <c r="T285" s="664"/>
      <c r="U285" s="664"/>
      <c r="V285" s="664"/>
      <c r="W285" s="664"/>
      <c r="X285" s="664"/>
    </row>
    <row r="286">
      <c r="A286" s="661">
        <f t="shared" si="1"/>
        <v>286</v>
      </c>
      <c r="B286" s="662" t="str">
        <f t="shared" si="2"/>
        <v>#REF!</v>
      </c>
      <c r="C286" s="662" t="str">
        <f>IFERROR(__xludf.DUMMYFUNCTION("IF(
  REGEXMATCH(B286, ""^First\(λ - λ\) ∪ Follow\(""),
  ""Follow("" &amp; REGEXEXTRACT(B286, ""Follow\(([^)]+)\)"") &amp; "") ="",
  IF(
    OR(
      REGEXMATCH(B286, ""^First\([^&lt;]""),
      REGEXMATCH(B286, ""^First\(&lt;[^A-Za-z_]"")
    ),
    """",
    IF(
 "&amp;"     CFG!D286=""λ"",
      ""Follow("" &amp; CFG!B286 &amp; "") ="",
      ""First("" &amp; CFG!D286 &amp; "") =""
    )
  )
)
"),"#REF!")</f>
        <v>#REF!</v>
      </c>
      <c r="D286" s="663" t="str">
        <f>IFERROR(__xludf.DUMMYFUNCTION("IF(
  $C286="""",
  ""{ "" &amp;
    IF(
      REGEXMATCH(B286, ""^First\(\)""),
      "")"",
      REGEXEXTRACT(B286, ""^First\(([^ )]+)"")
    )
  &amp; "" }"",
  IF(
    REGEXMATCH($C286, ""^First\(&lt;""),
    VLOOKUP(REGEXEXTRACT($C286, ""\(([^)]+)\)""), 'First"&amp;" Set MacroA'!B:D, 3, FALSE),
    IF(
      REGEXMATCH($C286, ""^Follow\(&lt;""),
      VLOOKUP(REGEXEXTRACT($C286, ""\(([^)]+)\)""), 'Follow Set Macros'!B:D, 3, FALSE),
      ""{ "" &amp; REGEXEXTRACT($C286, ""\(([^)]+)\)"") &amp; "" }""
    )
  )
)
"),"#REF!")</f>
        <v>#REF!</v>
      </c>
      <c r="E286" s="664"/>
      <c r="F286" s="664"/>
      <c r="G286" s="664"/>
      <c r="H286" s="664"/>
      <c r="I286" s="664"/>
      <c r="J286" s="664"/>
      <c r="K286" s="664"/>
      <c r="L286" s="664"/>
      <c r="M286" s="664"/>
      <c r="N286" s="664"/>
      <c r="O286" s="664"/>
      <c r="P286" s="664"/>
      <c r="Q286" s="664"/>
      <c r="R286" s="664"/>
      <c r="S286" s="664"/>
      <c r="T286" s="664"/>
      <c r="U286" s="664"/>
      <c r="V286" s="664"/>
      <c r="W286" s="664"/>
      <c r="X286" s="664"/>
    </row>
    <row r="287">
      <c r="A287" s="661">
        <f t="shared" si="1"/>
        <v>287</v>
      </c>
      <c r="B287" s="662" t="str">
        <f t="shared" si="2"/>
        <v>#REF!</v>
      </c>
      <c r="C287" s="662" t="str">
        <f>IFERROR(__xludf.DUMMYFUNCTION("IF(
  REGEXMATCH(B287, ""^First\(λ - λ\) ∪ Follow\(""),
  ""Follow("" &amp; REGEXEXTRACT(B287, ""Follow\(([^)]+)\)"") &amp; "") ="",
  IF(
    OR(
      REGEXMATCH(B287, ""^First\([^&lt;]""),
      REGEXMATCH(B287, ""^First\(&lt;[^A-Za-z_]"")
    ),
    """",
    IF(
 "&amp;"     CFG!D287=""λ"",
      ""Follow("" &amp; CFG!B287 &amp; "") ="",
      ""First("" &amp; CFG!D287 &amp; "") =""
    )
  )
)
"),"#REF!")</f>
        <v>#REF!</v>
      </c>
      <c r="D287" s="663" t="str">
        <f>IFERROR(__xludf.DUMMYFUNCTION("IF(
  $C287="""",
  ""{ "" &amp;
    IF(
      REGEXMATCH(B287, ""^First\(\)""),
      "")"",
      REGEXEXTRACT(B287, ""^First\(([^ )]+)"")
    )
  &amp; "" }"",
  IF(
    REGEXMATCH($C287, ""^First\(&lt;""),
    VLOOKUP(REGEXEXTRACT($C287, ""\(([^)]+)\)""), 'First"&amp;" Set MacroA'!B:D, 3, FALSE),
    IF(
      REGEXMATCH($C287, ""^Follow\(&lt;""),
      VLOOKUP(REGEXEXTRACT($C287, ""\(([^)]+)\)""), 'Follow Set Macros'!B:D, 3, FALSE),
      ""{ "" &amp; REGEXEXTRACT($C287, ""\(([^)]+)\)"") &amp; "" }""
    )
  )
)
"),"#REF!")</f>
        <v>#REF!</v>
      </c>
      <c r="E287" s="664"/>
      <c r="F287" s="664"/>
      <c r="G287" s="664"/>
      <c r="H287" s="664"/>
      <c r="I287" s="664"/>
      <c r="J287" s="664"/>
      <c r="K287" s="664"/>
      <c r="L287" s="664"/>
      <c r="M287" s="664"/>
      <c r="N287" s="664"/>
      <c r="O287" s="664"/>
      <c r="P287" s="664"/>
      <c r="Q287" s="664"/>
      <c r="R287" s="664"/>
      <c r="S287" s="664"/>
      <c r="T287" s="664"/>
      <c r="U287" s="664"/>
      <c r="V287" s="664"/>
      <c r="W287" s="664"/>
      <c r="X287" s="664"/>
    </row>
    <row r="288">
      <c r="A288" s="661">
        <f t="shared" si="1"/>
        <v>288</v>
      </c>
      <c r="B288" s="662" t="str">
        <f t="shared" si="2"/>
        <v>#REF!</v>
      </c>
      <c r="C288" s="662" t="str">
        <f>IFERROR(__xludf.DUMMYFUNCTION("IF(
  REGEXMATCH(B288, ""^First\(λ - λ\) ∪ Follow\(""),
  ""Follow("" &amp; REGEXEXTRACT(B288, ""Follow\(([^)]+)\)"") &amp; "") ="",
  IF(
    OR(
      REGEXMATCH(B288, ""^First\([^&lt;]""),
      REGEXMATCH(B288, ""^First\(&lt;[^A-Za-z_]"")
    ),
    """",
    IF(
 "&amp;"     CFG!D288=""λ"",
      ""Follow("" &amp; CFG!B288 &amp; "") ="",
      ""First("" &amp; CFG!D288 &amp; "") =""
    )
  )
)
"),"#REF!")</f>
        <v>#REF!</v>
      </c>
      <c r="D288" s="663" t="str">
        <f>IFERROR(__xludf.DUMMYFUNCTION("IF(
  $C288="""",
  ""{ "" &amp;
    IF(
      REGEXMATCH(B288, ""^First\(\)""),
      "")"",
      REGEXEXTRACT(B288, ""^First\(([^ )]+)"")
    )
  &amp; "" }"",
  IF(
    REGEXMATCH($C288, ""^First\(&lt;""),
    VLOOKUP(REGEXEXTRACT($C288, ""\(([^)]+)\)""), 'First"&amp;" Set MacroA'!B:D, 3, FALSE),
    IF(
      REGEXMATCH($C288, ""^Follow\(&lt;""),
      VLOOKUP(REGEXEXTRACT($C288, ""\(([^)]+)\)""), 'Follow Set Macros'!B:D, 3, FALSE),
      ""{ "" &amp; REGEXEXTRACT($C288, ""\(([^)]+)\)"") &amp; "" }""
    )
  )
)
"),"#REF!")</f>
        <v>#REF!</v>
      </c>
      <c r="E288" s="664"/>
      <c r="F288" s="664"/>
      <c r="G288" s="664"/>
      <c r="H288" s="664"/>
      <c r="I288" s="664"/>
      <c r="J288" s="664"/>
      <c r="K288" s="664"/>
      <c r="L288" s="664"/>
      <c r="M288" s="664"/>
      <c r="N288" s="664"/>
      <c r="O288" s="664"/>
      <c r="P288" s="664"/>
      <c r="Q288" s="664"/>
      <c r="R288" s="664"/>
      <c r="S288" s="664"/>
      <c r="T288" s="664"/>
      <c r="U288" s="664"/>
      <c r="V288" s="664"/>
      <c r="W288" s="664"/>
      <c r="X288" s="664"/>
    </row>
    <row r="289">
      <c r="A289" s="661">
        <f t="shared" si="1"/>
        <v>289</v>
      </c>
      <c r="B289" s="662" t="str">
        <f t="shared" si="2"/>
        <v>#REF!</v>
      </c>
      <c r="C289" s="662" t="str">
        <f>IFERROR(__xludf.DUMMYFUNCTION("IF(
  REGEXMATCH(B289, ""^First\(λ - λ\) ∪ Follow\(""),
  ""Follow("" &amp; REGEXEXTRACT(B289, ""Follow\(([^)]+)\)"") &amp; "") ="",
  IF(
    OR(
      REGEXMATCH(B289, ""^First\([^&lt;]""),
      REGEXMATCH(B289, ""^First\(&lt;[^A-Za-z_]"")
    ),
    """",
    IF(
 "&amp;"     CFG!D289=""λ"",
      ""Follow("" &amp; CFG!B289 &amp; "") ="",
      ""First("" &amp; CFG!D289 &amp; "") =""
    )
  )
)
"),"#REF!")</f>
        <v>#REF!</v>
      </c>
      <c r="D289" s="663" t="str">
        <f>IFERROR(__xludf.DUMMYFUNCTION("IF(
  $C289="""",
  ""{ "" &amp;
    IF(
      REGEXMATCH(B289, ""^First\(\)""),
      "")"",
      REGEXEXTRACT(B289, ""^First\(([^ )]+)"")
    )
  &amp; "" }"",
  IF(
    REGEXMATCH($C289, ""^First\(&lt;""),
    VLOOKUP(REGEXEXTRACT($C289, ""\(([^)]+)\)""), 'First"&amp;" Set MacroA'!B:D, 3, FALSE),
    IF(
      REGEXMATCH($C289, ""^Follow\(&lt;""),
      VLOOKUP(REGEXEXTRACT($C289, ""\(([^)]+)\)""), 'Follow Set Macros'!B:D, 3, FALSE),
      ""{ "" &amp; REGEXEXTRACT($C289, ""\(([^)]+)\)"") &amp; "" }""
    )
  )
)
"),"#REF!")</f>
        <v>#REF!</v>
      </c>
      <c r="E289" s="664"/>
      <c r="F289" s="664"/>
      <c r="G289" s="664"/>
      <c r="H289" s="664"/>
      <c r="I289" s="664"/>
      <c r="J289" s="664"/>
      <c r="K289" s="664"/>
      <c r="L289" s="664"/>
      <c r="M289" s="664"/>
      <c r="N289" s="664"/>
      <c r="O289" s="664"/>
      <c r="P289" s="664"/>
      <c r="Q289" s="664"/>
      <c r="R289" s="664"/>
      <c r="S289" s="664"/>
      <c r="T289" s="664"/>
      <c r="U289" s="664"/>
      <c r="V289" s="664"/>
      <c r="W289" s="664"/>
      <c r="X289" s="664"/>
    </row>
    <row r="290">
      <c r="A290" s="661">
        <f t="shared" si="1"/>
        <v>290</v>
      </c>
      <c r="B290" s="662" t="str">
        <f t="shared" si="2"/>
        <v>#REF!</v>
      </c>
      <c r="C290" s="662" t="str">
        <f>IFERROR(__xludf.DUMMYFUNCTION("IF(
  REGEXMATCH(B290, ""^First\(λ - λ\) ∪ Follow\(""),
  ""Follow("" &amp; REGEXEXTRACT(B290, ""Follow\(([^)]+)\)"") &amp; "") ="",
  IF(
    OR(
      REGEXMATCH(B290, ""^First\([^&lt;]""),
      REGEXMATCH(B290, ""^First\(&lt;[^A-Za-z_]"")
    ),
    """",
    IF(
 "&amp;"     CFG!D290=""λ"",
      ""Follow("" &amp; CFG!B290 &amp; "") ="",
      ""First("" &amp; CFG!D290 &amp; "") =""
    )
  )
)
"),"#REF!")</f>
        <v>#REF!</v>
      </c>
      <c r="D290" s="663" t="str">
        <f>IFERROR(__xludf.DUMMYFUNCTION("IF(
  $C290="""",
  ""{ "" &amp;
    IF(
      REGEXMATCH(B290, ""^First\(\)""),
      "")"",
      REGEXEXTRACT(B290, ""^First\(([^ )]+)"")
    )
  &amp; "" }"",
  IF(
    REGEXMATCH($C290, ""^First\(&lt;""),
    VLOOKUP(REGEXEXTRACT($C290, ""\(([^)]+)\)""), 'First"&amp;" Set MacroA'!B:D, 3, FALSE),
    IF(
      REGEXMATCH($C290, ""^Follow\(&lt;""),
      VLOOKUP(REGEXEXTRACT($C290, ""\(([^)]+)\)""), 'Follow Set Macros'!B:D, 3, FALSE),
      ""{ "" &amp; REGEXEXTRACT($C290, ""\(([^)]+)\)"") &amp; "" }""
    )
  )
)
"),"#REF!")</f>
        <v>#REF!</v>
      </c>
      <c r="E290" s="664"/>
      <c r="F290" s="664"/>
      <c r="G290" s="664"/>
      <c r="H290" s="664"/>
      <c r="I290" s="664"/>
      <c r="J290" s="664"/>
      <c r="K290" s="664"/>
      <c r="L290" s="664"/>
      <c r="M290" s="664"/>
      <c r="N290" s="664"/>
      <c r="O290" s="664"/>
      <c r="P290" s="664"/>
      <c r="Q290" s="664"/>
      <c r="R290" s="664"/>
      <c r="S290" s="664"/>
      <c r="T290" s="664"/>
      <c r="U290" s="664"/>
      <c r="V290" s="664"/>
      <c r="W290" s="664"/>
      <c r="X290" s="664"/>
    </row>
    <row r="291">
      <c r="A291" s="661">
        <f t="shared" si="1"/>
        <v>291</v>
      </c>
      <c r="B291" s="662" t="str">
        <f t="shared" si="2"/>
        <v>#REF!</v>
      </c>
      <c r="C291" s="662" t="str">
        <f>IFERROR(__xludf.DUMMYFUNCTION("IF(
  REGEXMATCH(B291, ""^First\(λ - λ\) ∪ Follow\(""),
  ""Follow("" &amp; REGEXEXTRACT(B291, ""Follow\(([^)]+)\)"") &amp; "") ="",
  IF(
    OR(
      REGEXMATCH(B291, ""^First\([^&lt;]""),
      REGEXMATCH(B291, ""^First\(&lt;[^A-Za-z_]"")
    ),
    """",
    IF(
 "&amp;"     CFG!D291=""λ"",
      ""Follow("" &amp; CFG!B291 &amp; "") ="",
      ""First("" &amp; CFG!D291 &amp; "") =""
    )
  )
)
"),"#REF!")</f>
        <v>#REF!</v>
      </c>
      <c r="D291" s="663" t="str">
        <f>IFERROR(__xludf.DUMMYFUNCTION("IF(
  $C291="""",
  ""{ "" &amp;
    IF(
      REGEXMATCH(B291, ""^First\(\)""),
      "")"",
      REGEXEXTRACT(B291, ""^First\(([^ )]+)"")
    )
  &amp; "" }"",
  IF(
    REGEXMATCH($C291, ""^First\(&lt;""),
    VLOOKUP(REGEXEXTRACT($C291, ""\(([^)]+)\)""), 'First"&amp;" Set MacroA'!B:D, 3, FALSE),
    IF(
      REGEXMATCH($C291, ""^Follow\(&lt;""),
      VLOOKUP(REGEXEXTRACT($C291, ""\(([^)]+)\)""), 'Follow Set Macros'!B:D, 3, FALSE),
      ""{ "" &amp; REGEXEXTRACT($C291, ""\(([^)]+)\)"") &amp; "" }""
    )
  )
)
"),"#REF!")</f>
        <v>#REF!</v>
      </c>
      <c r="E291" s="664"/>
      <c r="F291" s="664"/>
      <c r="G291" s="664"/>
      <c r="H291" s="664"/>
      <c r="I291" s="664"/>
      <c r="J291" s="664"/>
      <c r="K291" s="664"/>
      <c r="L291" s="664"/>
      <c r="M291" s="664"/>
      <c r="N291" s="664"/>
      <c r="O291" s="664"/>
      <c r="P291" s="664"/>
      <c r="Q291" s="664"/>
      <c r="R291" s="664"/>
      <c r="S291" s="664"/>
      <c r="T291" s="664"/>
      <c r="U291" s="664"/>
      <c r="V291" s="664"/>
      <c r="W291" s="664"/>
      <c r="X291" s="664"/>
    </row>
    <row r="292">
      <c r="A292" s="661">
        <f t="shared" si="1"/>
        <v>292</v>
      </c>
      <c r="B292" s="662" t="str">
        <f t="shared" si="2"/>
        <v>#REF!</v>
      </c>
      <c r="C292" s="662" t="str">
        <f>IFERROR(__xludf.DUMMYFUNCTION("IF(
  REGEXMATCH(B292, ""^First\(λ - λ\) ∪ Follow\(""),
  ""Follow("" &amp; REGEXEXTRACT(B292, ""Follow\(([^)]+)\)"") &amp; "") ="",
  IF(
    OR(
      REGEXMATCH(B292, ""^First\([^&lt;]""),
      REGEXMATCH(B292, ""^First\(&lt;[^A-Za-z_]"")
    ),
    """",
    IF(
 "&amp;"     CFG!D292=""λ"",
      ""Follow("" &amp; CFG!B292 &amp; "") ="",
      ""First("" &amp; CFG!D292 &amp; "") =""
    )
  )
)
"),"#REF!")</f>
        <v>#REF!</v>
      </c>
      <c r="D292" s="663" t="str">
        <f>IFERROR(__xludf.DUMMYFUNCTION("IF(
  $C292="""",
  ""{ "" &amp;
    IF(
      REGEXMATCH(B292, ""^First\(\)""),
      "")"",
      REGEXEXTRACT(B292, ""^First\(([^ )]+)"")
    )
  &amp; "" }"",
  IF(
    REGEXMATCH($C292, ""^First\(&lt;""),
    VLOOKUP(REGEXEXTRACT($C292, ""\(([^)]+)\)""), 'First"&amp;" Set MacroA'!B:D, 3, FALSE),
    IF(
      REGEXMATCH($C292, ""^Follow\(&lt;""),
      VLOOKUP(REGEXEXTRACT($C292, ""\(([^)]+)\)""), 'Follow Set Macros'!B:D, 3, FALSE),
      ""{ "" &amp; REGEXEXTRACT($C292, ""\(([^)]+)\)"") &amp; "" }""
    )
  )
)
"),"#REF!")</f>
        <v>#REF!</v>
      </c>
      <c r="E292" s="664"/>
      <c r="F292" s="664"/>
      <c r="G292" s="664"/>
      <c r="H292" s="664"/>
      <c r="I292" s="664"/>
      <c r="J292" s="664"/>
      <c r="K292" s="664"/>
      <c r="L292" s="664"/>
      <c r="M292" s="664"/>
      <c r="N292" s="664"/>
      <c r="O292" s="664"/>
      <c r="P292" s="664"/>
      <c r="Q292" s="664"/>
      <c r="R292" s="664"/>
      <c r="S292" s="664"/>
      <c r="T292" s="664"/>
      <c r="U292" s="664"/>
      <c r="V292" s="664"/>
      <c r="W292" s="664"/>
      <c r="X292" s="664"/>
    </row>
    <row r="293">
      <c r="A293" s="661">
        <f t="shared" si="1"/>
        <v>293</v>
      </c>
      <c r="B293" s="662" t="str">
        <f t="shared" si="2"/>
        <v>#REF!</v>
      </c>
      <c r="C293" s="662" t="str">
        <f>IFERROR(__xludf.DUMMYFUNCTION("IF(
  REGEXMATCH(B293, ""^First\(λ - λ\) ∪ Follow\(""),
  ""Follow("" &amp; REGEXEXTRACT(B293, ""Follow\(([^)]+)\)"") &amp; "") ="",
  IF(
    OR(
      REGEXMATCH(B293, ""^First\([^&lt;]""),
      REGEXMATCH(B293, ""^First\(&lt;[^A-Za-z_]"")
    ),
    """",
    IF(
 "&amp;"     CFG!D293=""λ"",
      ""Follow("" &amp; CFG!B293 &amp; "") ="",
      ""First("" &amp; CFG!D293 &amp; "") =""
    )
  )
)
"),"#REF!")</f>
        <v>#REF!</v>
      </c>
      <c r="D293" s="663" t="str">
        <f>IFERROR(__xludf.DUMMYFUNCTION("IF(
  $C293="""",
  ""{ "" &amp;
    IF(
      REGEXMATCH(B293, ""^First\(\)""),
      "")"",
      REGEXEXTRACT(B293, ""^First\(([^ )]+)"")
    )
  &amp; "" }"",
  IF(
    REGEXMATCH($C293, ""^First\(&lt;""),
    VLOOKUP(REGEXEXTRACT($C293, ""\(([^)]+)\)""), 'First"&amp;" Set MacroA'!B:D, 3, FALSE),
    IF(
      REGEXMATCH($C293, ""^Follow\(&lt;""),
      VLOOKUP(REGEXEXTRACT($C293, ""\(([^)]+)\)""), 'Follow Set Macros'!B:D, 3, FALSE),
      ""{ "" &amp; REGEXEXTRACT($C293, ""\(([^)]+)\)"") &amp; "" }""
    )
  )
)
"),"#REF!")</f>
        <v>#REF!</v>
      </c>
      <c r="E293" s="664"/>
      <c r="F293" s="664"/>
      <c r="G293" s="664"/>
      <c r="H293" s="664"/>
      <c r="I293" s="664"/>
      <c r="J293" s="664"/>
      <c r="K293" s="664"/>
      <c r="L293" s="664"/>
      <c r="M293" s="664"/>
      <c r="N293" s="664"/>
      <c r="O293" s="664"/>
      <c r="P293" s="664"/>
      <c r="Q293" s="664"/>
      <c r="R293" s="664"/>
      <c r="S293" s="664"/>
      <c r="T293" s="664"/>
      <c r="U293" s="664"/>
      <c r="V293" s="664"/>
      <c r="W293" s="664"/>
      <c r="X293" s="664"/>
    </row>
    <row r="294">
      <c r="A294" s="661">
        <f t="shared" si="1"/>
        <v>294</v>
      </c>
      <c r="B294" s="662" t="str">
        <f t="shared" si="2"/>
        <v>#REF!</v>
      </c>
      <c r="C294" s="662" t="str">
        <f>IFERROR(__xludf.DUMMYFUNCTION("IF(
  REGEXMATCH(B294, ""^First\(λ - λ\) ∪ Follow\(""),
  ""Follow("" &amp; REGEXEXTRACT(B294, ""Follow\(([^)]+)\)"") &amp; "") ="",
  IF(
    OR(
      REGEXMATCH(B294, ""^First\([^&lt;]""),
      REGEXMATCH(B294, ""^First\(&lt;[^A-Za-z_]"")
    ),
    """",
    IF(
 "&amp;"     CFG!D294=""λ"",
      ""Follow("" &amp; CFG!B294 &amp; "") ="",
      ""First("" &amp; CFG!D294 &amp; "") =""
    )
  )
)
"),"#REF!")</f>
        <v>#REF!</v>
      </c>
      <c r="D294" s="663" t="str">
        <f>IFERROR(__xludf.DUMMYFUNCTION("IF(
  $C294="""",
  ""{ "" &amp;
    IF(
      REGEXMATCH(B294, ""^First\(\)""),
      "")"",
      REGEXEXTRACT(B294, ""^First\(([^ )]+)"")
    )
  &amp; "" }"",
  IF(
    REGEXMATCH($C294, ""^First\(&lt;""),
    VLOOKUP(REGEXEXTRACT($C294, ""\(([^)]+)\)""), 'First"&amp;" Set MacroA'!B:D, 3, FALSE),
    IF(
      REGEXMATCH($C294, ""^Follow\(&lt;""),
      VLOOKUP(REGEXEXTRACT($C294, ""\(([^)]+)\)""), 'Follow Set Macros'!B:D, 3, FALSE),
      ""{ "" &amp; REGEXEXTRACT($C294, ""\(([^)]+)\)"") &amp; "" }""
    )
  )
)
"),"#REF!")</f>
        <v>#REF!</v>
      </c>
      <c r="E294" s="664"/>
      <c r="F294" s="664"/>
      <c r="G294" s="664"/>
      <c r="H294" s="664"/>
      <c r="I294" s="664"/>
      <c r="J294" s="664"/>
      <c r="K294" s="664"/>
      <c r="L294" s="664"/>
      <c r="M294" s="664"/>
      <c r="N294" s="664"/>
      <c r="O294" s="664"/>
      <c r="P294" s="664"/>
      <c r="Q294" s="664"/>
      <c r="R294" s="664"/>
      <c r="S294" s="664"/>
      <c r="T294" s="664"/>
      <c r="U294" s="664"/>
      <c r="V294" s="664"/>
      <c r="W294" s="664"/>
      <c r="X294" s="664"/>
    </row>
    <row r="295">
      <c r="A295" s="661">
        <f t="shared" si="1"/>
        <v>295</v>
      </c>
      <c r="B295" s="662" t="str">
        <f t="shared" si="2"/>
        <v>#REF!</v>
      </c>
      <c r="C295" s="662" t="str">
        <f>IFERROR(__xludf.DUMMYFUNCTION("IF(
  REGEXMATCH(B295, ""^First\(λ - λ\) ∪ Follow\(""),
  ""Follow("" &amp; REGEXEXTRACT(B295, ""Follow\(([^)]+)\)"") &amp; "") ="",
  IF(
    OR(
      REGEXMATCH(B295, ""^First\([^&lt;]""),
      REGEXMATCH(B295, ""^First\(&lt;[^A-Za-z_]"")
    ),
    """",
    IF(
 "&amp;"     CFG!D295=""λ"",
      ""Follow("" &amp; CFG!B295 &amp; "") ="",
      ""First("" &amp; CFG!D295 &amp; "") =""
    )
  )
)
"),"#REF!")</f>
        <v>#REF!</v>
      </c>
      <c r="D295" s="663" t="str">
        <f>IFERROR(__xludf.DUMMYFUNCTION("IF(
  $C295="""",
  ""{ "" &amp;
    IF(
      REGEXMATCH(B295, ""^First\(\)""),
      "")"",
      REGEXEXTRACT(B295, ""^First\(([^ )]+)"")
    )
  &amp; "" }"",
  IF(
    REGEXMATCH($C295, ""^First\(&lt;""),
    VLOOKUP(REGEXEXTRACT($C295, ""\(([^)]+)\)""), 'First"&amp;" Set MacroA'!B:D, 3, FALSE),
    IF(
      REGEXMATCH($C295, ""^Follow\(&lt;""),
      VLOOKUP(REGEXEXTRACT($C295, ""\(([^)]+)\)""), 'Follow Set Macros'!B:D, 3, FALSE),
      ""{ "" &amp; REGEXEXTRACT($C295, ""\(([^)]+)\)"") &amp; "" }""
    )
  )
)
"),"#REF!")</f>
        <v>#REF!</v>
      </c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</row>
    <row r="296">
      <c r="A296" s="661">
        <f t="shared" si="1"/>
        <v>296</v>
      </c>
      <c r="B296" s="662" t="str">
        <f t="shared" si="2"/>
        <v>#REF!</v>
      </c>
      <c r="C296" s="662" t="str">
        <f>IFERROR(__xludf.DUMMYFUNCTION("IF(
  REGEXMATCH(B296, ""^First\(λ - λ\) ∪ Follow\(""),
  ""Follow("" &amp; REGEXEXTRACT(B296, ""Follow\(([^)]+)\)"") &amp; "") ="",
  IF(
    OR(
      REGEXMATCH(B296, ""^First\([^&lt;]""),
      REGEXMATCH(B296, ""^First\(&lt;[^A-Za-z_]"")
    ),
    """",
    IF(
 "&amp;"     CFG!D296=""λ"",
      ""Follow("" &amp; CFG!B296 &amp; "") ="",
      ""First("" &amp; CFG!D296 &amp; "") =""
    )
  )
)
"),"#REF!")</f>
        <v>#REF!</v>
      </c>
      <c r="D296" s="663" t="str">
        <f>IFERROR(__xludf.DUMMYFUNCTION("IF(
  $C296="""",
  ""{ "" &amp;
    IF(
      REGEXMATCH(B296, ""^First\(\)""),
      "")"",
      REGEXEXTRACT(B296, ""^First\(([^ )]+)"")
    )
  &amp; "" }"",
  IF(
    REGEXMATCH($C296, ""^First\(&lt;""),
    VLOOKUP(REGEXEXTRACT($C296, ""\(([^)]+)\)""), 'First"&amp;" Set MacroA'!B:D, 3, FALSE),
    IF(
      REGEXMATCH($C296, ""^Follow\(&lt;""),
      VLOOKUP(REGEXEXTRACT($C296, ""\(([^)]+)\)""), 'Follow Set Macros'!B:D, 3, FALSE),
      ""{ "" &amp; REGEXEXTRACT($C296, ""\(([^)]+)\)"") &amp; "" }""
    )
  )
)
"),"#REF!")</f>
        <v>#REF!</v>
      </c>
      <c r="E296" s="664"/>
      <c r="F296" s="664"/>
      <c r="G296" s="664"/>
      <c r="H296" s="664"/>
      <c r="I296" s="664"/>
      <c r="J296" s="664"/>
      <c r="K296" s="664"/>
      <c r="L296" s="664"/>
      <c r="M296" s="664"/>
      <c r="N296" s="664"/>
      <c r="O296" s="664"/>
      <c r="P296" s="664"/>
      <c r="Q296" s="664"/>
      <c r="R296" s="664"/>
      <c r="S296" s="664"/>
      <c r="T296" s="664"/>
      <c r="U296" s="664"/>
      <c r="V296" s="664"/>
      <c r="W296" s="664"/>
      <c r="X296" s="664"/>
    </row>
    <row r="297">
      <c r="A297" s="661">
        <f t="shared" si="1"/>
        <v>297</v>
      </c>
      <c r="B297" s="662" t="str">
        <f t="shared" si="2"/>
        <v>#REF!</v>
      </c>
      <c r="C297" s="662" t="str">
        <f>IFERROR(__xludf.DUMMYFUNCTION("IF(
  REGEXMATCH(B297, ""^First\(λ - λ\) ∪ Follow\(""),
  ""Follow("" &amp; REGEXEXTRACT(B297, ""Follow\(([^)]+)\)"") &amp; "") ="",
  IF(
    OR(
      REGEXMATCH(B297, ""^First\([^&lt;]""),
      REGEXMATCH(B297, ""^First\(&lt;[^A-Za-z_]"")
    ),
    """",
    IF(
 "&amp;"     CFG!D297=""λ"",
      ""Follow("" &amp; CFG!B297 &amp; "") ="",
      ""First("" &amp; CFG!D297 &amp; "") =""
    )
  )
)
"),"#REF!")</f>
        <v>#REF!</v>
      </c>
      <c r="D297" s="663" t="str">
        <f>IFERROR(__xludf.DUMMYFUNCTION("IF(
  $C297="""",
  ""{ "" &amp;
    IF(
      REGEXMATCH(B297, ""^First\(\)""),
      "")"",
      REGEXEXTRACT(B297, ""^First\(([^ )]+)"")
    )
  &amp; "" }"",
  IF(
    REGEXMATCH($C297, ""^First\(&lt;""),
    VLOOKUP(REGEXEXTRACT($C297, ""\(([^)]+)\)""), 'First"&amp;" Set MacroA'!B:D, 3, FALSE),
    IF(
      REGEXMATCH($C297, ""^Follow\(&lt;""),
      VLOOKUP(REGEXEXTRACT($C297, ""\(([^)]+)\)""), 'Follow Set Macros'!B:D, 3, FALSE),
      ""{ "" &amp; REGEXEXTRACT($C297, ""\(([^)]+)\)"") &amp; "" }""
    )
  )
)
"),"#REF!")</f>
        <v>#REF!</v>
      </c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</row>
    <row r="298">
      <c r="A298" s="661">
        <f t="shared" si="1"/>
        <v>298</v>
      </c>
      <c r="B298" s="662" t="str">
        <f t="shared" si="2"/>
        <v>#REF!</v>
      </c>
      <c r="C298" s="662" t="str">
        <f>IFERROR(__xludf.DUMMYFUNCTION("IF(
  REGEXMATCH(B298, ""^First\(λ - λ\) ∪ Follow\(""),
  ""Follow("" &amp; REGEXEXTRACT(B298, ""Follow\(([^)]+)\)"") &amp; "") ="",
  IF(
    OR(
      REGEXMATCH(B298, ""^First\([^&lt;]""),
      REGEXMATCH(B298, ""^First\(&lt;[^A-Za-z_]"")
    ),
    """",
    IF(
 "&amp;"     CFG!D298=""λ"",
      ""Follow("" &amp; CFG!B298 &amp; "") ="",
      ""First("" &amp; CFG!D298 &amp; "") =""
    )
  )
)
"),"#REF!")</f>
        <v>#REF!</v>
      </c>
      <c r="D298" s="663" t="str">
        <f>IFERROR(__xludf.DUMMYFUNCTION("IF(
  $C298="""",
  ""{ "" &amp;
    IF(
      REGEXMATCH(B298, ""^First\(\)""),
      "")"",
      REGEXEXTRACT(B298, ""^First\(([^ )]+)"")
    )
  &amp; "" }"",
  IF(
    REGEXMATCH($C298, ""^First\(&lt;""),
    VLOOKUP(REGEXEXTRACT($C298, ""\(([^)]+)\)""), 'First"&amp;" Set MacroA'!B:D, 3, FALSE),
    IF(
      REGEXMATCH($C298, ""^Follow\(&lt;""),
      VLOOKUP(REGEXEXTRACT($C298, ""\(([^)]+)\)""), 'Follow Set Macros'!B:D, 3, FALSE),
      ""{ "" &amp; REGEXEXTRACT($C298, ""\(([^)]+)\)"") &amp; "" }""
    )
  )
)
"),"#REF!")</f>
        <v>#REF!</v>
      </c>
      <c r="E298" s="664"/>
      <c r="F298" s="664"/>
      <c r="G298" s="664"/>
      <c r="H298" s="664"/>
      <c r="I298" s="664"/>
      <c r="J298" s="664"/>
      <c r="K298" s="664"/>
      <c r="L298" s="664"/>
      <c r="M298" s="664"/>
      <c r="N298" s="664"/>
      <c r="O298" s="664"/>
      <c r="P298" s="664"/>
      <c r="Q298" s="664"/>
      <c r="R298" s="664"/>
      <c r="S298" s="664"/>
      <c r="T298" s="664"/>
      <c r="U298" s="664"/>
      <c r="V298" s="664"/>
      <c r="W298" s="664"/>
      <c r="X298" s="664"/>
    </row>
    <row r="299">
      <c r="A299" s="661">
        <f t="shared" si="1"/>
        <v>299</v>
      </c>
      <c r="B299" s="662" t="str">
        <f t="shared" si="2"/>
        <v>#REF!</v>
      </c>
      <c r="C299" s="662" t="str">
        <f>IFERROR(__xludf.DUMMYFUNCTION("IF(
  REGEXMATCH(B299, ""^First\(λ - λ\) ∪ Follow\(""),
  ""Follow("" &amp; REGEXEXTRACT(B299, ""Follow\(([^)]+)\)"") &amp; "") ="",
  IF(
    OR(
      REGEXMATCH(B299, ""^First\([^&lt;]""),
      REGEXMATCH(B299, ""^First\(&lt;[^A-Za-z_]"")
    ),
    """",
    IF(
 "&amp;"     CFG!D299=""λ"",
      ""Follow("" &amp; CFG!B299 &amp; "") ="",
      ""First("" &amp; CFG!D299 &amp; "") =""
    )
  )
)
"),"#REF!")</f>
        <v>#REF!</v>
      </c>
      <c r="D299" s="663" t="str">
        <f>IFERROR(__xludf.DUMMYFUNCTION("IF(
  $C299="""",
  ""{ "" &amp;
    IF(
      REGEXMATCH(B299, ""^First\(\)""),
      "")"",
      REGEXEXTRACT(B299, ""^First\(([^ )]+)"")
    )
  &amp; "" }"",
  IF(
    REGEXMATCH($C299, ""^First\(&lt;""),
    VLOOKUP(REGEXEXTRACT($C299, ""\(([^)]+)\)""), 'First"&amp;" Set MacroA'!B:D, 3, FALSE),
    IF(
      REGEXMATCH($C299, ""^Follow\(&lt;""),
      VLOOKUP(REGEXEXTRACT($C299, ""\(([^)]+)\)""), 'Follow Set Macros'!B:D, 3, FALSE),
      ""{ "" &amp; REGEXEXTRACT($C299, ""\(([^)]+)\)"") &amp; "" }""
    )
  )
)
"),"#REF!")</f>
        <v>#REF!</v>
      </c>
      <c r="E299" s="664"/>
      <c r="F299" s="664"/>
      <c r="G299" s="664"/>
      <c r="H299" s="664"/>
      <c r="I299" s="664"/>
      <c r="J299" s="664"/>
      <c r="K299" s="664"/>
      <c r="L299" s="664"/>
      <c r="M299" s="664"/>
      <c r="N299" s="664"/>
      <c r="O299" s="664"/>
      <c r="P299" s="664"/>
      <c r="Q299" s="664"/>
      <c r="R299" s="664"/>
      <c r="S299" s="664"/>
      <c r="T299" s="664"/>
      <c r="U299" s="664"/>
      <c r="V299" s="664"/>
      <c r="W299" s="664"/>
      <c r="X299" s="664"/>
    </row>
    <row r="300">
      <c r="A300" s="661">
        <f t="shared" si="1"/>
        <v>300</v>
      </c>
      <c r="B300" s="662" t="str">
        <f t="shared" si="2"/>
        <v>#REF!</v>
      </c>
      <c r="C300" s="662" t="str">
        <f>IFERROR(__xludf.DUMMYFUNCTION("IF(
  REGEXMATCH(B300, ""^First\(λ - λ\) ∪ Follow\(""),
  ""Follow("" &amp; REGEXEXTRACT(B300, ""Follow\(([^)]+)\)"") &amp; "") ="",
  IF(
    OR(
      REGEXMATCH(B300, ""^First\([^&lt;]""),
      REGEXMATCH(B300, ""^First\(&lt;[^A-Za-z_]"")
    ),
    """",
    IF(
 "&amp;"     CFG!D300=""λ"",
      ""Follow("" &amp; CFG!B300 &amp; "") ="",
      ""First("" &amp; CFG!D300 &amp; "") =""
    )
  )
)
"),"#REF!")</f>
        <v>#REF!</v>
      </c>
      <c r="D300" s="663" t="str">
        <f>IFERROR(__xludf.DUMMYFUNCTION("IF(
  $C300="""",
  ""{ "" &amp;
    IF(
      REGEXMATCH(B300, ""^First\(\)""),
      "")"",
      REGEXEXTRACT(B300, ""^First\(([^ )]+)"")
    )
  &amp; "" }"",
  IF(
    REGEXMATCH($C300, ""^First\(&lt;""),
    VLOOKUP(REGEXEXTRACT($C300, ""\(([^)]+)\)""), 'First"&amp;" Set MacroA'!B:D, 3, FALSE),
    IF(
      REGEXMATCH($C300, ""^Follow\(&lt;""),
      VLOOKUP(REGEXEXTRACT($C300, ""\(([^)]+)\)""), 'Follow Set Macros'!B:D, 3, FALSE),
      ""{ "" &amp; REGEXEXTRACT($C300, ""\(([^)]+)\)"") &amp; "" }""
    )
  )
)
"),"#REF!")</f>
        <v>#REF!</v>
      </c>
      <c r="E300" s="664"/>
      <c r="F300" s="664"/>
      <c r="G300" s="664"/>
      <c r="H300" s="664"/>
      <c r="I300" s="664"/>
      <c r="J300" s="664"/>
      <c r="K300" s="664"/>
      <c r="L300" s="664"/>
      <c r="M300" s="664"/>
      <c r="N300" s="664"/>
      <c r="O300" s="664"/>
      <c r="P300" s="664"/>
      <c r="Q300" s="664"/>
      <c r="R300" s="664"/>
      <c r="S300" s="664"/>
      <c r="T300" s="664"/>
      <c r="U300" s="664"/>
      <c r="V300" s="664"/>
      <c r="W300" s="664"/>
      <c r="X300" s="664"/>
    </row>
    <row r="301">
      <c r="A301" s="661">
        <f t="shared" si="1"/>
        <v>301</v>
      </c>
      <c r="B301" s="662" t="str">
        <f t="shared" si="2"/>
        <v>#REF!</v>
      </c>
      <c r="C301" s="662" t="str">
        <f>IFERROR(__xludf.DUMMYFUNCTION("IF(
  REGEXMATCH(B301, ""^First\(λ - λ\) ∪ Follow\(""),
  ""Follow("" &amp; REGEXEXTRACT(B301, ""Follow\(([^)]+)\)"") &amp; "") ="",
  IF(
    OR(
      REGEXMATCH(B301, ""^First\([^&lt;]""),
      REGEXMATCH(B301, ""^First\(&lt;[^A-Za-z_]"")
    ),
    """",
    IF(
 "&amp;"     CFG!D301=""λ"",
      ""Follow("" &amp; CFG!B301 &amp; "") ="",
      ""First("" &amp; CFG!D301 &amp; "") =""
    )
  )
)
"),"#REF!")</f>
        <v>#REF!</v>
      </c>
      <c r="D301" s="663" t="str">
        <f>IFERROR(__xludf.DUMMYFUNCTION("IF(
  $C301="""",
  ""{ "" &amp;
    IF(
      REGEXMATCH(B301, ""^First\(\)""),
      "")"",
      REGEXEXTRACT(B301, ""^First\(([^ )]+)"")
    )
  &amp; "" }"",
  IF(
    REGEXMATCH($C301, ""^First\(&lt;""),
    VLOOKUP(REGEXEXTRACT($C301, ""\(([^)]+)\)""), 'First"&amp;" Set MacroA'!B:D, 3, FALSE),
    IF(
      REGEXMATCH($C301, ""^Follow\(&lt;""),
      VLOOKUP(REGEXEXTRACT($C301, ""\(([^)]+)\)""), 'Follow Set Macros'!B:D, 3, FALSE),
      ""{ "" &amp; REGEXEXTRACT($C301, ""\(([^)]+)\)"") &amp; "" }""
    )
  )
)
"),"#REF!")</f>
        <v>#REF!</v>
      </c>
      <c r="E301" s="664"/>
      <c r="F301" s="664"/>
      <c r="G301" s="664"/>
      <c r="H301" s="664"/>
      <c r="I301" s="664"/>
      <c r="J301" s="664"/>
      <c r="K301" s="664"/>
      <c r="L301" s="664"/>
      <c r="M301" s="664"/>
      <c r="N301" s="664"/>
      <c r="O301" s="664"/>
      <c r="P301" s="664"/>
      <c r="Q301" s="664"/>
      <c r="R301" s="664"/>
      <c r="S301" s="664"/>
      <c r="T301" s="664"/>
      <c r="U301" s="664"/>
      <c r="V301" s="664"/>
      <c r="W301" s="664"/>
      <c r="X301" s="664"/>
    </row>
    <row r="302">
      <c r="A302" s="661">
        <f t="shared" si="1"/>
        <v>302</v>
      </c>
      <c r="B302" s="662" t="str">
        <f t="shared" si="2"/>
        <v>#REF!</v>
      </c>
      <c r="C302" s="662" t="str">
        <f>IFERROR(__xludf.DUMMYFUNCTION("IF(
  REGEXMATCH(B302, ""^First\(λ - λ\) ∪ Follow\(""),
  ""Follow("" &amp; REGEXEXTRACT(B302, ""Follow\(([^)]+)\)"") &amp; "") ="",
  IF(
    OR(
      REGEXMATCH(B302, ""^First\([^&lt;]""),
      REGEXMATCH(B302, ""^First\(&lt;[^A-Za-z_]"")
    ),
    """",
    IF(
 "&amp;"     CFG!D302=""λ"",
      ""Follow("" &amp; CFG!B302 &amp; "") ="",
      ""First("" &amp; CFG!D302 &amp; "") =""
    )
  )
)
"),"#REF!")</f>
        <v>#REF!</v>
      </c>
      <c r="D302" s="663" t="str">
        <f>IFERROR(__xludf.DUMMYFUNCTION("IF(
  $C302="""",
  ""{ "" &amp;
    IF(
      REGEXMATCH(B302, ""^First\(\)""),
      "")"",
      REGEXEXTRACT(B302, ""^First\(([^ )]+)"")
    )
  &amp; "" }"",
  IF(
    REGEXMATCH($C302, ""^First\(&lt;""),
    VLOOKUP(REGEXEXTRACT($C302, ""\(([^)]+)\)""), 'First"&amp;" Set MacroA'!B:D, 3, FALSE),
    IF(
      REGEXMATCH($C302, ""^Follow\(&lt;""),
      VLOOKUP(REGEXEXTRACT($C302, ""\(([^)]+)\)""), 'Follow Set Macros'!B:D, 3, FALSE),
      ""{ "" &amp; REGEXEXTRACT($C302, ""\(([^)]+)\)"") &amp; "" }""
    )
  )
)
"),"#REF!")</f>
        <v>#REF!</v>
      </c>
      <c r="E302" s="664"/>
      <c r="F302" s="664"/>
      <c r="G302" s="664"/>
      <c r="H302" s="664"/>
      <c r="I302" s="664"/>
      <c r="J302" s="664"/>
      <c r="K302" s="664"/>
      <c r="L302" s="664"/>
      <c r="M302" s="664"/>
      <c r="N302" s="664"/>
      <c r="O302" s="664"/>
      <c r="P302" s="664"/>
      <c r="Q302" s="664"/>
      <c r="R302" s="664"/>
      <c r="S302" s="664"/>
      <c r="T302" s="664"/>
      <c r="U302" s="664"/>
      <c r="V302" s="664"/>
      <c r="W302" s="664"/>
      <c r="X302" s="664"/>
    </row>
    <row r="303">
      <c r="A303" s="661">
        <f t="shared" si="1"/>
        <v>303</v>
      </c>
      <c r="B303" s="662" t="str">
        <f t="shared" si="2"/>
        <v>#REF!</v>
      </c>
      <c r="C303" s="662" t="str">
        <f>IFERROR(__xludf.DUMMYFUNCTION("IF(
  REGEXMATCH(B303, ""^First\(λ - λ\) ∪ Follow\(""),
  ""Follow("" &amp; REGEXEXTRACT(B303, ""Follow\(([^)]+)\)"") &amp; "") ="",
  IF(
    OR(
      REGEXMATCH(B303, ""^First\([^&lt;]""),
      REGEXMATCH(B303, ""^First\(&lt;[^A-Za-z_]"")
    ),
    """",
    IF(
 "&amp;"     CFG!D303=""λ"",
      ""Follow("" &amp; CFG!B303 &amp; "") ="",
      ""First("" &amp; CFG!D303 &amp; "") =""
    )
  )
)
"),"#REF!")</f>
        <v>#REF!</v>
      </c>
      <c r="D303" s="663" t="str">
        <f>IFERROR(__xludf.DUMMYFUNCTION("IF(
  $C303="""",
  ""{ "" &amp;
    IF(
      REGEXMATCH(B303, ""^First\(\)""),
      "")"",
      REGEXEXTRACT(B303, ""^First\(([^ )]+)"")
    )
  &amp; "" }"",
  IF(
    REGEXMATCH($C303, ""^First\(&lt;""),
    VLOOKUP(REGEXEXTRACT($C303, ""\(([^)]+)\)""), 'First"&amp;" Set MacroA'!B:D, 3, FALSE),
    IF(
      REGEXMATCH($C303, ""^Follow\(&lt;""),
      VLOOKUP(REGEXEXTRACT($C303, ""\(([^)]+)\)""), 'Follow Set Macros'!B:D, 3, FALSE),
      ""{ "" &amp; REGEXEXTRACT($C303, ""\(([^)]+)\)"") &amp; "" }""
    )
  )
)
"),"#REF!")</f>
        <v>#REF!</v>
      </c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</row>
    <row r="304">
      <c r="A304" s="661">
        <f t="shared" si="1"/>
        <v>304</v>
      </c>
      <c r="B304" s="662" t="str">
        <f t="shared" si="2"/>
        <v>#REF!</v>
      </c>
      <c r="C304" s="662" t="str">
        <f>IFERROR(__xludf.DUMMYFUNCTION("IF(
  REGEXMATCH(B304, ""^First\(λ - λ\) ∪ Follow\(""),
  ""Follow("" &amp; REGEXEXTRACT(B304, ""Follow\(([^)]+)\)"") &amp; "") ="",
  IF(
    OR(
      REGEXMATCH(B304, ""^First\([^&lt;]""),
      REGEXMATCH(B304, ""^First\(&lt;[^A-Za-z_]"")
    ),
    """",
    IF(
 "&amp;"     CFG!D304=""λ"",
      ""Follow("" &amp; CFG!B304 &amp; "") ="",
      ""First("" &amp; CFG!D304 &amp; "") =""
    )
  )
)
"),"#REF!")</f>
        <v>#REF!</v>
      </c>
      <c r="D304" s="663" t="str">
        <f>IFERROR(__xludf.DUMMYFUNCTION("IF(
  $C304="""",
  ""{ "" &amp;
    IF(
      REGEXMATCH(B304, ""^First\(\)""),
      "")"",
      REGEXEXTRACT(B304, ""^First\(([^ )]+)"")
    )
  &amp; "" }"",
  IF(
    REGEXMATCH($C304, ""^First\(&lt;""),
    VLOOKUP(REGEXEXTRACT($C304, ""\(([^)]+)\)""), 'First"&amp;" Set MacroA'!B:D, 3, FALSE),
    IF(
      REGEXMATCH($C304, ""^Follow\(&lt;""),
      VLOOKUP(REGEXEXTRACT($C304, ""\(([^)]+)\)""), 'Follow Set Macros'!B:D, 3, FALSE),
      ""{ "" &amp; REGEXEXTRACT($C304, ""\(([^)]+)\)"") &amp; "" }""
    )
  )
)
"),"#REF!")</f>
        <v>#REF!</v>
      </c>
      <c r="E304" s="664"/>
      <c r="F304" s="664"/>
      <c r="G304" s="664"/>
      <c r="H304" s="664"/>
      <c r="I304" s="664"/>
      <c r="J304" s="664"/>
      <c r="K304" s="664"/>
      <c r="L304" s="664"/>
      <c r="M304" s="664"/>
      <c r="N304" s="664"/>
      <c r="O304" s="664"/>
      <c r="P304" s="664"/>
      <c r="Q304" s="664"/>
      <c r="R304" s="664"/>
      <c r="S304" s="664"/>
      <c r="T304" s="664"/>
      <c r="U304" s="664"/>
      <c r="V304" s="664"/>
      <c r="W304" s="664"/>
      <c r="X304" s="664"/>
    </row>
    <row r="305">
      <c r="A305" s="661">
        <f t="shared" si="1"/>
        <v>305</v>
      </c>
      <c r="B305" s="662" t="str">
        <f t="shared" si="2"/>
        <v>#REF!</v>
      </c>
      <c r="C305" s="662" t="str">
        <f>IFERROR(__xludf.DUMMYFUNCTION("IF(
  REGEXMATCH(B305, ""^First\(λ - λ\) ∪ Follow\(""),
  ""Follow("" &amp; REGEXEXTRACT(B305, ""Follow\(([^)]+)\)"") &amp; "") ="",
  IF(
    OR(
      REGEXMATCH(B305, ""^First\([^&lt;]""),
      REGEXMATCH(B305, ""^First\(&lt;[^A-Za-z_]"")
    ),
    """",
    IF(
 "&amp;"     CFG!D305=""λ"",
      ""Follow("" &amp; CFG!B305 &amp; "") ="",
      ""First("" &amp; CFG!D305 &amp; "") =""
    )
  )
)
"),"#REF!")</f>
        <v>#REF!</v>
      </c>
      <c r="D305" s="663" t="str">
        <f>IFERROR(__xludf.DUMMYFUNCTION("IF(
  $C305="""",
  ""{ "" &amp;
    IF(
      REGEXMATCH(B305, ""^First\(\)""),
      "")"",
      REGEXEXTRACT(B305, ""^First\(([^ )]+)"")
    )
  &amp; "" }"",
  IF(
    REGEXMATCH($C305, ""^First\(&lt;""),
    VLOOKUP(REGEXEXTRACT($C305, ""\(([^)]+)\)""), 'First"&amp;" Set MacroA'!B:D, 3, FALSE),
    IF(
      REGEXMATCH($C305, ""^Follow\(&lt;""),
      VLOOKUP(REGEXEXTRACT($C305, ""\(([^)]+)\)""), 'Follow Set Macros'!B:D, 3, FALSE),
      ""{ "" &amp; REGEXEXTRACT($C305, ""\(([^)]+)\)"") &amp; "" }""
    )
  )
)
"),"#REF!")</f>
        <v>#REF!</v>
      </c>
      <c r="E305" s="664"/>
      <c r="F305" s="664"/>
      <c r="G305" s="664"/>
      <c r="H305" s="664"/>
      <c r="I305" s="664"/>
      <c r="J305" s="664"/>
      <c r="K305" s="664"/>
      <c r="L305" s="664"/>
      <c r="M305" s="664"/>
      <c r="N305" s="664"/>
      <c r="O305" s="664"/>
      <c r="P305" s="664"/>
      <c r="Q305" s="664"/>
      <c r="R305" s="664"/>
      <c r="S305" s="664"/>
      <c r="T305" s="664"/>
      <c r="U305" s="664"/>
      <c r="V305" s="664"/>
      <c r="W305" s="664"/>
      <c r="X305" s="664"/>
    </row>
    <row r="306">
      <c r="A306" s="661">
        <f t="shared" si="1"/>
        <v>306</v>
      </c>
      <c r="B306" s="662" t="str">
        <f t="shared" si="2"/>
        <v>#REF!</v>
      </c>
      <c r="C306" s="662" t="str">
        <f>IFERROR(__xludf.DUMMYFUNCTION("IF(
  REGEXMATCH(B306, ""^First\(λ - λ\) ∪ Follow\(""),
  ""Follow("" &amp; REGEXEXTRACT(B306, ""Follow\(([^)]+)\)"") &amp; "") ="",
  IF(
    OR(
      REGEXMATCH(B306, ""^First\([^&lt;]""),
      REGEXMATCH(B306, ""^First\(&lt;[^A-Za-z_]"")
    ),
    """",
    IF(
 "&amp;"     CFG!D306=""λ"",
      ""Follow("" &amp; CFG!B306 &amp; "") ="",
      ""First("" &amp; CFG!D306 &amp; "") =""
    )
  )
)
"),"#REF!")</f>
        <v>#REF!</v>
      </c>
      <c r="D306" s="663" t="str">
        <f>IFERROR(__xludf.DUMMYFUNCTION("IF(
  $C306="""",
  ""{ "" &amp;
    IF(
      REGEXMATCH(B306, ""^First\(\)""),
      "")"",
      REGEXEXTRACT(B306, ""^First\(([^ )]+)"")
    )
  &amp; "" }"",
  IF(
    REGEXMATCH($C306, ""^First\(&lt;""),
    VLOOKUP(REGEXEXTRACT($C306, ""\(([^)]+)\)""), 'First"&amp;" Set MacroA'!B:D, 3, FALSE),
    IF(
      REGEXMATCH($C306, ""^Follow\(&lt;""),
      VLOOKUP(REGEXEXTRACT($C306, ""\(([^)]+)\)""), 'Follow Set Macros'!B:D, 3, FALSE),
      ""{ "" &amp; REGEXEXTRACT($C306, ""\(([^)]+)\)"") &amp; "" }""
    )
  )
)
"),"#REF!")</f>
        <v>#REF!</v>
      </c>
      <c r="E306" s="664"/>
      <c r="F306" s="664"/>
      <c r="G306" s="664"/>
      <c r="H306" s="664"/>
      <c r="I306" s="664"/>
      <c r="J306" s="664"/>
      <c r="K306" s="664"/>
      <c r="L306" s="664"/>
      <c r="M306" s="664"/>
      <c r="N306" s="664"/>
      <c r="O306" s="664"/>
      <c r="P306" s="664"/>
      <c r="Q306" s="664"/>
      <c r="R306" s="664"/>
      <c r="S306" s="664"/>
      <c r="T306" s="664"/>
      <c r="U306" s="664"/>
      <c r="V306" s="664"/>
      <c r="W306" s="664"/>
      <c r="X306" s="664"/>
    </row>
    <row r="307">
      <c r="A307" s="661">
        <f t="shared" si="1"/>
        <v>307</v>
      </c>
      <c r="B307" s="662" t="str">
        <f t="shared" si="2"/>
        <v>#REF!</v>
      </c>
      <c r="C307" s="662" t="str">
        <f>IFERROR(__xludf.DUMMYFUNCTION("IF(
  REGEXMATCH(B307, ""^First\(λ - λ\) ∪ Follow\(""),
  ""Follow("" &amp; REGEXEXTRACT(B307, ""Follow\(([^)]+)\)"") &amp; "") ="",
  IF(
    OR(
      REGEXMATCH(B307, ""^First\([^&lt;]""),
      REGEXMATCH(B307, ""^First\(&lt;[^A-Za-z_]"")
    ),
    """",
    IF(
 "&amp;"     CFG!D307=""λ"",
      ""Follow("" &amp; CFG!B307 &amp; "") ="",
      ""First("" &amp; CFG!D307 &amp; "") =""
    )
  )
)
"),"#REF!")</f>
        <v>#REF!</v>
      </c>
      <c r="D307" s="663" t="str">
        <f>IFERROR(__xludf.DUMMYFUNCTION("IF(
  $C307="""",
  ""{ "" &amp;
    IF(
      REGEXMATCH(B307, ""^First\(\)""),
      "")"",
      REGEXEXTRACT(B307, ""^First\(([^ )]+)"")
    )
  &amp; "" }"",
  IF(
    REGEXMATCH($C307, ""^First\(&lt;""),
    VLOOKUP(REGEXEXTRACT($C307, ""\(([^)]+)\)""), 'First"&amp;" Set MacroA'!B:D, 3, FALSE),
    IF(
      REGEXMATCH($C307, ""^Follow\(&lt;""),
      VLOOKUP(REGEXEXTRACT($C307, ""\(([^)]+)\)""), 'Follow Set Macros'!B:D, 3, FALSE),
      ""{ "" &amp; REGEXEXTRACT($C307, ""\(([^)]+)\)"") &amp; "" }""
    )
  )
)
"),"#REF!")</f>
        <v>#REF!</v>
      </c>
      <c r="E307" s="664"/>
      <c r="F307" s="664"/>
      <c r="G307" s="664"/>
      <c r="H307" s="664"/>
      <c r="I307" s="664"/>
      <c r="J307" s="664"/>
      <c r="K307" s="664"/>
      <c r="L307" s="664"/>
      <c r="M307" s="664"/>
      <c r="N307" s="664"/>
      <c r="O307" s="664"/>
      <c r="P307" s="664"/>
      <c r="Q307" s="664"/>
      <c r="R307" s="664"/>
      <c r="S307" s="664"/>
      <c r="T307" s="664"/>
      <c r="U307" s="664"/>
      <c r="V307" s="664"/>
      <c r="W307" s="664"/>
      <c r="X307" s="664"/>
    </row>
    <row r="308">
      <c r="A308" s="661">
        <f t="shared" si="1"/>
        <v>308</v>
      </c>
      <c r="B308" s="662" t="str">
        <f t="shared" si="2"/>
        <v>#REF!</v>
      </c>
      <c r="C308" s="662" t="str">
        <f>IFERROR(__xludf.DUMMYFUNCTION("IF(
  REGEXMATCH(B308, ""^First\(λ - λ\) ∪ Follow\(""),
  ""Follow("" &amp; REGEXEXTRACT(B308, ""Follow\(([^)]+)\)"") &amp; "") ="",
  IF(
    OR(
      REGEXMATCH(B308, ""^First\([^&lt;]""),
      REGEXMATCH(B308, ""^First\(&lt;[^A-Za-z_]"")
    ),
    """",
    IF(
 "&amp;"     CFG!D308=""λ"",
      ""Follow("" &amp; CFG!B308 &amp; "") ="",
      ""First("" &amp; CFG!D308 &amp; "") =""
    )
  )
)
"),"#REF!")</f>
        <v>#REF!</v>
      </c>
      <c r="D308" s="663" t="str">
        <f>IFERROR(__xludf.DUMMYFUNCTION("IF(
  $C308="""",
  ""{ "" &amp;
    IF(
      REGEXMATCH(B308, ""^First\(\)""),
      "")"",
      REGEXEXTRACT(B308, ""^First\(([^ )]+)"")
    )
  &amp; "" }"",
  IF(
    REGEXMATCH($C308, ""^First\(&lt;""),
    VLOOKUP(REGEXEXTRACT($C308, ""\(([^)]+)\)""), 'First"&amp;" Set MacroA'!B:D, 3, FALSE),
    IF(
      REGEXMATCH($C308, ""^Follow\(&lt;""),
      VLOOKUP(REGEXEXTRACT($C308, ""\(([^)]+)\)""), 'Follow Set Macros'!B:D, 3, FALSE),
      ""{ "" &amp; REGEXEXTRACT($C308, ""\(([^)]+)\)"") &amp; "" }""
    )
  )
)
"),"#REF!")</f>
        <v>#REF!</v>
      </c>
      <c r="E308" s="664"/>
      <c r="F308" s="664"/>
      <c r="G308" s="664"/>
      <c r="H308" s="664"/>
      <c r="I308" s="664"/>
      <c r="J308" s="664"/>
      <c r="K308" s="664"/>
      <c r="L308" s="664"/>
      <c r="M308" s="664"/>
      <c r="N308" s="664"/>
      <c r="O308" s="664"/>
      <c r="P308" s="664"/>
      <c r="Q308" s="664"/>
      <c r="R308" s="664"/>
      <c r="S308" s="664"/>
      <c r="T308" s="664"/>
      <c r="U308" s="664"/>
      <c r="V308" s="664"/>
      <c r="W308" s="664"/>
      <c r="X308" s="664"/>
    </row>
    <row r="309">
      <c r="A309" s="661">
        <f t="shared" si="1"/>
        <v>309</v>
      </c>
      <c r="B309" s="662" t="str">
        <f t="shared" si="2"/>
        <v>#REF!</v>
      </c>
      <c r="C309" s="662" t="str">
        <f>IFERROR(__xludf.DUMMYFUNCTION("IF(
  REGEXMATCH(B309, ""^First\(λ - λ\) ∪ Follow\(""),
  ""Follow("" &amp; REGEXEXTRACT(B309, ""Follow\(([^)]+)\)"") &amp; "") ="",
  IF(
    OR(
      REGEXMATCH(B309, ""^First\([^&lt;]""),
      REGEXMATCH(B309, ""^First\(&lt;[^A-Za-z_]"")
    ),
    """",
    IF(
 "&amp;"     CFG!D309=""λ"",
      ""Follow("" &amp; CFG!B309 &amp; "") ="",
      ""First("" &amp; CFG!D309 &amp; "") =""
    )
  )
)
"),"#REF!")</f>
        <v>#REF!</v>
      </c>
      <c r="D309" s="663" t="str">
        <f>IFERROR(__xludf.DUMMYFUNCTION("IF(
  $C309="""",
  ""{ "" &amp;
    IF(
      REGEXMATCH(B309, ""^First\(\)""),
      "")"",
      REGEXEXTRACT(B309, ""^First\(([^ )]+)"")
    )
  &amp; "" }"",
  IF(
    REGEXMATCH($C309, ""^First\(&lt;""),
    VLOOKUP(REGEXEXTRACT($C309, ""\(([^)]+)\)""), 'First"&amp;" Set MacroA'!B:D, 3, FALSE),
    IF(
      REGEXMATCH($C309, ""^Follow\(&lt;""),
      VLOOKUP(REGEXEXTRACT($C309, ""\(([^)]+)\)""), 'Follow Set Macros'!B:D, 3, FALSE),
      ""{ "" &amp; REGEXEXTRACT($C309, ""\(([^)]+)\)"") &amp; "" }""
    )
  )
)
"),"#REF!")</f>
        <v>#REF!</v>
      </c>
      <c r="E309" s="664"/>
      <c r="F309" s="664"/>
      <c r="G309" s="664"/>
      <c r="H309" s="664"/>
      <c r="I309" s="664"/>
      <c r="J309" s="664"/>
      <c r="K309" s="664"/>
      <c r="L309" s="664"/>
      <c r="M309" s="664"/>
      <c r="N309" s="664"/>
      <c r="O309" s="664"/>
      <c r="P309" s="664"/>
      <c r="Q309" s="664"/>
      <c r="R309" s="664"/>
      <c r="S309" s="664"/>
      <c r="T309" s="664"/>
      <c r="U309" s="664"/>
      <c r="V309" s="664"/>
      <c r="W309" s="664"/>
      <c r="X309" s="664"/>
    </row>
    <row r="310">
      <c r="A310" s="661">
        <f t="shared" si="1"/>
        <v>310</v>
      </c>
      <c r="B310" s="662" t="str">
        <f t="shared" si="2"/>
        <v>#REF!</v>
      </c>
      <c r="C310" s="662" t="str">
        <f>IFERROR(__xludf.DUMMYFUNCTION("IF(
  REGEXMATCH(B310, ""^First\(λ - λ\) ∪ Follow\(""),
  ""Follow("" &amp; REGEXEXTRACT(B310, ""Follow\(([^)]+)\)"") &amp; "") ="",
  IF(
    OR(
      REGEXMATCH(B310, ""^First\([^&lt;]""),
      REGEXMATCH(B310, ""^First\(&lt;[^A-Za-z_]"")
    ),
    """",
    IF(
 "&amp;"     CFG!D310=""λ"",
      ""Follow("" &amp; CFG!B310 &amp; "") ="",
      ""First("" &amp; CFG!D310 &amp; "") =""
    )
  )
)
"),"#REF!")</f>
        <v>#REF!</v>
      </c>
      <c r="D310" s="663" t="str">
        <f>IFERROR(__xludf.DUMMYFUNCTION("IF(
  $C310="""",
  ""{ "" &amp;
    IF(
      REGEXMATCH(B310, ""^First\(\)""),
      "")"",
      REGEXEXTRACT(B310, ""^First\(([^ )]+)"")
    )
  &amp; "" }"",
  IF(
    REGEXMATCH($C310, ""^First\(&lt;""),
    VLOOKUP(REGEXEXTRACT($C310, ""\(([^)]+)\)""), 'First"&amp;" Set MacroA'!B:D, 3, FALSE),
    IF(
      REGEXMATCH($C310, ""^Follow\(&lt;""),
      VLOOKUP(REGEXEXTRACT($C310, ""\(([^)]+)\)""), 'Follow Set Macros'!B:D, 3, FALSE),
      ""{ "" &amp; REGEXEXTRACT($C310, ""\(([^)]+)\)"") &amp; "" }""
    )
  )
)
"),"#REF!")</f>
        <v>#REF!</v>
      </c>
      <c r="E310" s="664"/>
      <c r="F310" s="664"/>
      <c r="G310" s="664"/>
      <c r="H310" s="664"/>
      <c r="I310" s="664"/>
      <c r="J310" s="664"/>
      <c r="K310" s="664"/>
      <c r="L310" s="664"/>
      <c r="M310" s="664"/>
      <c r="N310" s="664"/>
      <c r="O310" s="664"/>
      <c r="P310" s="664"/>
      <c r="Q310" s="664"/>
      <c r="R310" s="664"/>
      <c r="S310" s="664"/>
      <c r="T310" s="664"/>
      <c r="U310" s="664"/>
      <c r="V310" s="664"/>
      <c r="W310" s="664"/>
      <c r="X310" s="664"/>
    </row>
    <row r="311">
      <c r="A311" s="661">
        <f t="shared" si="1"/>
        <v>311</v>
      </c>
      <c r="B311" s="662" t="str">
        <f t="shared" si="2"/>
        <v>#REF!</v>
      </c>
      <c r="C311" s="662" t="str">
        <f>IFERROR(__xludf.DUMMYFUNCTION("IF(
  REGEXMATCH(B311, ""^First\(λ - λ\) ∪ Follow\(""),
  ""Follow("" &amp; REGEXEXTRACT(B311, ""Follow\(([^)]+)\)"") &amp; "") ="",
  IF(
    OR(
      REGEXMATCH(B311, ""^First\([^&lt;]""),
      REGEXMATCH(B311, ""^First\(&lt;[^A-Za-z_]"")
    ),
    """",
    IF(
 "&amp;"     CFG!D311=""λ"",
      ""Follow("" &amp; CFG!B311 &amp; "") ="",
      ""First("" &amp; CFG!D311 &amp; "") =""
    )
  )
)
"),"#REF!")</f>
        <v>#REF!</v>
      </c>
      <c r="D311" s="663" t="str">
        <f>IFERROR(__xludf.DUMMYFUNCTION("IF(
  $C311="""",
  ""{ "" &amp;
    IF(
      REGEXMATCH(B311, ""^First\(\)""),
      "")"",
      REGEXEXTRACT(B311, ""^First\(([^ )]+)"")
    )
  &amp; "" }"",
  IF(
    REGEXMATCH($C311, ""^First\(&lt;""),
    VLOOKUP(REGEXEXTRACT($C311, ""\(([^)]+)\)""), 'First"&amp;" Set MacroA'!B:D, 3, FALSE),
    IF(
      REGEXMATCH($C311, ""^Follow\(&lt;""),
      VLOOKUP(REGEXEXTRACT($C311, ""\(([^)]+)\)""), 'Follow Set Macros'!B:D, 3, FALSE),
      ""{ "" &amp; REGEXEXTRACT($C311, ""\(([^)]+)\)"") &amp; "" }""
    )
  )
)
"),"#REF!")</f>
        <v>#REF!</v>
      </c>
      <c r="E311" s="664"/>
      <c r="F311" s="664"/>
      <c r="G311" s="664"/>
      <c r="H311" s="664"/>
      <c r="I311" s="664"/>
      <c r="J311" s="664"/>
      <c r="K311" s="664"/>
      <c r="L311" s="664"/>
      <c r="M311" s="664"/>
      <c r="N311" s="664"/>
      <c r="O311" s="664"/>
      <c r="P311" s="664"/>
      <c r="Q311" s="664"/>
      <c r="R311" s="664"/>
      <c r="S311" s="664"/>
      <c r="T311" s="664"/>
      <c r="U311" s="664"/>
      <c r="V311" s="664"/>
      <c r="W311" s="664"/>
      <c r="X311" s="664"/>
    </row>
    <row r="312">
      <c r="A312" s="661">
        <f t="shared" si="1"/>
        <v>312</v>
      </c>
      <c r="B312" s="662" t="str">
        <f t="shared" si="2"/>
        <v>#REF!</v>
      </c>
      <c r="C312" s="662" t="str">
        <f>IFERROR(__xludf.DUMMYFUNCTION("IF(
  REGEXMATCH(B312, ""^First\(λ - λ\) ∪ Follow\(""),
  ""Follow("" &amp; REGEXEXTRACT(B312, ""Follow\(([^)]+)\)"") &amp; "") ="",
  IF(
    OR(
      REGEXMATCH(B312, ""^First\([^&lt;]""),
      REGEXMATCH(B312, ""^First\(&lt;[^A-Za-z_]"")
    ),
    """",
    IF(
 "&amp;"     CFG!D312=""λ"",
      ""Follow("" &amp; CFG!B312 &amp; "") ="",
      ""First("" &amp; CFG!D312 &amp; "") =""
    )
  )
)
"),"#REF!")</f>
        <v>#REF!</v>
      </c>
      <c r="D312" s="663" t="str">
        <f>IFERROR(__xludf.DUMMYFUNCTION("IF(
  $C312="""",
  ""{ "" &amp;
    IF(
      REGEXMATCH(B312, ""^First\(\)""),
      "")"",
      REGEXEXTRACT(B312, ""^First\(([^ )]+)"")
    )
  &amp; "" }"",
  IF(
    REGEXMATCH($C312, ""^First\(&lt;""),
    VLOOKUP(REGEXEXTRACT($C312, ""\(([^)]+)\)""), 'First"&amp;" Set MacroA'!B:D, 3, FALSE),
    IF(
      REGEXMATCH($C312, ""^Follow\(&lt;""),
      VLOOKUP(REGEXEXTRACT($C312, ""\(([^)]+)\)""), 'Follow Set Macros'!B:D, 3, FALSE),
      ""{ "" &amp; REGEXEXTRACT($C312, ""\(([^)]+)\)"") &amp; "" }""
    )
  )
)
"),"#REF!")</f>
        <v>#REF!</v>
      </c>
      <c r="E312" s="664"/>
      <c r="F312" s="664"/>
      <c r="G312" s="664"/>
      <c r="H312" s="664"/>
      <c r="I312" s="664"/>
      <c r="J312" s="664"/>
      <c r="K312" s="664"/>
      <c r="L312" s="664"/>
      <c r="M312" s="664"/>
      <c r="N312" s="664"/>
      <c r="O312" s="664"/>
      <c r="P312" s="664"/>
      <c r="Q312" s="664"/>
      <c r="R312" s="664"/>
      <c r="S312" s="664"/>
      <c r="T312" s="664"/>
      <c r="U312" s="664"/>
      <c r="V312" s="664"/>
      <c r="W312" s="664"/>
      <c r="X312" s="664"/>
    </row>
    <row r="313">
      <c r="A313" s="661">
        <f t="shared" si="1"/>
        <v>313</v>
      </c>
      <c r="B313" s="662" t="str">
        <f t="shared" si="2"/>
        <v>#REF!</v>
      </c>
      <c r="C313" s="662" t="str">
        <f>IFERROR(__xludf.DUMMYFUNCTION("IF(
  REGEXMATCH(B313, ""^First\(λ - λ\) ∪ Follow\(""),
  ""Follow("" &amp; REGEXEXTRACT(B313, ""Follow\(([^)]+)\)"") &amp; "") ="",
  IF(
    OR(
      REGEXMATCH(B313, ""^First\([^&lt;]""),
      REGEXMATCH(B313, ""^First\(&lt;[^A-Za-z_]"")
    ),
    """",
    IF(
 "&amp;"     CFG!D313=""λ"",
      ""Follow("" &amp; CFG!B313 &amp; "") ="",
      ""First("" &amp; CFG!D313 &amp; "") =""
    )
  )
)
"),"#REF!")</f>
        <v>#REF!</v>
      </c>
      <c r="D313" s="663" t="str">
        <f>IFERROR(__xludf.DUMMYFUNCTION("IF(
  $C313="""",
  ""{ "" &amp;
    IF(
      REGEXMATCH(B313, ""^First\(\)""),
      "")"",
      REGEXEXTRACT(B313, ""^First\(([^ )]+)"")
    )
  &amp; "" }"",
  IF(
    REGEXMATCH($C313, ""^First\(&lt;""),
    VLOOKUP(REGEXEXTRACT($C313, ""\(([^)]+)\)""), 'First"&amp;" Set MacroA'!B:D, 3, FALSE),
    IF(
      REGEXMATCH($C313, ""^Follow\(&lt;""),
      VLOOKUP(REGEXEXTRACT($C313, ""\(([^)]+)\)""), 'Follow Set Macros'!B:D, 3, FALSE),
      ""{ "" &amp; REGEXEXTRACT($C313, ""\(([^)]+)\)"") &amp; "" }""
    )
  )
)
"),"#REF!")</f>
        <v>#REF!</v>
      </c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</row>
    <row r="314">
      <c r="A314" s="661">
        <f t="shared" si="1"/>
        <v>314</v>
      </c>
      <c r="B314" s="662" t="str">
        <f t="shared" si="2"/>
        <v>#REF!</v>
      </c>
      <c r="C314" s="662" t="str">
        <f>IFERROR(__xludf.DUMMYFUNCTION("IF(
  REGEXMATCH(B314, ""^First\(λ - λ\) ∪ Follow\(""),
  ""Follow("" &amp; REGEXEXTRACT(B314, ""Follow\(([^)]+)\)"") &amp; "") ="",
  IF(
    OR(
      REGEXMATCH(B314, ""^First\([^&lt;]""),
      REGEXMATCH(B314, ""^First\(&lt;[^A-Za-z_]"")
    ),
    """",
    IF(
 "&amp;"     CFG!D314=""λ"",
      ""Follow("" &amp; CFG!B314 &amp; "") ="",
      ""First("" &amp; CFG!D314 &amp; "") =""
    )
  )
)
"),"#REF!")</f>
        <v>#REF!</v>
      </c>
      <c r="D314" s="663" t="str">
        <f>IFERROR(__xludf.DUMMYFUNCTION("IF(
  $C314="""",
  ""{ "" &amp;
    IF(
      REGEXMATCH(B314, ""^First\(\)""),
      "")"",
      REGEXEXTRACT(B314, ""^First\(([^ )]+)"")
    )
  &amp; "" }"",
  IF(
    REGEXMATCH($C314, ""^First\(&lt;""),
    VLOOKUP(REGEXEXTRACT($C314, ""\(([^)]+)\)""), 'First"&amp;" Set MacroA'!B:D, 3, FALSE),
    IF(
      REGEXMATCH($C314, ""^Follow\(&lt;""),
      VLOOKUP(REGEXEXTRACT($C314, ""\(([^)]+)\)""), 'Follow Set Macros'!B:D, 3, FALSE),
      ""{ "" &amp; REGEXEXTRACT($C314, ""\(([^)]+)\)"") &amp; "" }""
    )
  )
)
"),"#REF!")</f>
        <v>#REF!</v>
      </c>
      <c r="E314" s="664"/>
      <c r="F314" s="664"/>
      <c r="G314" s="664"/>
      <c r="H314" s="664"/>
      <c r="I314" s="664"/>
      <c r="J314" s="664"/>
      <c r="K314" s="664"/>
      <c r="L314" s="664"/>
      <c r="M314" s="664"/>
      <c r="N314" s="664"/>
      <c r="O314" s="664"/>
      <c r="P314" s="664"/>
      <c r="Q314" s="664"/>
      <c r="R314" s="664"/>
      <c r="S314" s="664"/>
      <c r="T314" s="664"/>
      <c r="U314" s="664"/>
      <c r="V314" s="664"/>
      <c r="W314" s="664"/>
      <c r="X314" s="664"/>
    </row>
    <row r="315">
      <c r="A315" s="661">
        <f t="shared" si="1"/>
        <v>315</v>
      </c>
      <c r="B315" s="662" t="str">
        <f t="shared" si="2"/>
        <v>#REF!</v>
      </c>
      <c r="C315" s="662" t="str">
        <f>IFERROR(__xludf.DUMMYFUNCTION("IF(
  REGEXMATCH(B315, ""^First\(λ - λ\) ∪ Follow\(""),
  ""Follow("" &amp; REGEXEXTRACT(B315, ""Follow\(([^)]+)\)"") &amp; "") ="",
  IF(
    OR(
      REGEXMATCH(B315, ""^First\([^&lt;]""),
      REGEXMATCH(B315, ""^First\(&lt;[^A-Za-z_]"")
    ),
    """",
    IF(
 "&amp;"     CFG!D315=""λ"",
      ""Follow("" &amp; CFG!B315 &amp; "") ="",
      ""First("" &amp; CFG!D315 &amp; "") =""
    )
  )
)
"),"#REF!")</f>
        <v>#REF!</v>
      </c>
      <c r="D315" s="663" t="str">
        <f>IFERROR(__xludf.DUMMYFUNCTION("IF(
  $C315="""",
  ""{ "" &amp;
    IF(
      REGEXMATCH(B315, ""^First\(\)""),
      "")"",
      REGEXEXTRACT(B315, ""^First\(([^ )]+)"")
    )
  &amp; "" }"",
  IF(
    REGEXMATCH($C315, ""^First\(&lt;""),
    VLOOKUP(REGEXEXTRACT($C315, ""\(([^)]+)\)""), 'First"&amp;" Set MacroA'!B:D, 3, FALSE),
    IF(
      REGEXMATCH($C315, ""^Follow\(&lt;""),
      VLOOKUP(REGEXEXTRACT($C315, ""\(([^)]+)\)""), 'Follow Set Macros'!B:D, 3, FALSE),
      ""{ "" &amp; REGEXEXTRACT($C315, ""\(([^)]+)\)"") &amp; "" }""
    )
  )
)
"),"#REF!")</f>
        <v>#REF!</v>
      </c>
      <c r="E315" s="664"/>
      <c r="F315" s="664"/>
      <c r="G315" s="664"/>
      <c r="H315" s="664"/>
      <c r="I315" s="664"/>
      <c r="J315" s="664"/>
      <c r="K315" s="664"/>
      <c r="L315" s="664"/>
      <c r="M315" s="664"/>
      <c r="N315" s="664"/>
      <c r="O315" s="664"/>
      <c r="P315" s="664"/>
      <c r="Q315" s="664"/>
      <c r="R315" s="664"/>
      <c r="S315" s="664"/>
      <c r="T315" s="664"/>
      <c r="U315" s="664"/>
      <c r="V315" s="664"/>
      <c r="W315" s="664"/>
      <c r="X315" s="664"/>
    </row>
    <row r="316">
      <c r="A316" s="661">
        <f t="shared" si="1"/>
        <v>316</v>
      </c>
      <c r="B316" s="662" t="str">
        <f t="shared" si="2"/>
        <v>#REF!</v>
      </c>
      <c r="C316" s="662" t="str">
        <f>IFERROR(__xludf.DUMMYFUNCTION("IF(
  REGEXMATCH(B316, ""^First\(λ - λ\) ∪ Follow\(""),
  ""Follow("" &amp; REGEXEXTRACT(B316, ""Follow\(([^)]+)\)"") &amp; "") ="",
  IF(
    OR(
      REGEXMATCH(B316, ""^First\([^&lt;]""),
      REGEXMATCH(B316, ""^First\(&lt;[^A-Za-z_]"")
    ),
    """",
    IF(
 "&amp;"     CFG!D316=""λ"",
      ""Follow("" &amp; CFG!B316 &amp; "") ="",
      ""First("" &amp; CFG!D316 &amp; "") =""
    )
  )
)
"),"#REF!")</f>
        <v>#REF!</v>
      </c>
      <c r="D316" s="663" t="str">
        <f>IFERROR(__xludf.DUMMYFUNCTION("IF(
  $C316="""",
  ""{ "" &amp;
    IF(
      REGEXMATCH(B316, ""^First\(\)""),
      "")"",
      REGEXEXTRACT(B316, ""^First\(([^ )]+)"")
    )
  &amp; "" }"",
  IF(
    REGEXMATCH($C316, ""^First\(&lt;""),
    VLOOKUP(REGEXEXTRACT($C316, ""\(([^)]+)\)""), 'First"&amp;" Set MacroA'!B:D, 3, FALSE),
    IF(
      REGEXMATCH($C316, ""^Follow\(&lt;""),
      VLOOKUP(REGEXEXTRACT($C316, ""\(([^)]+)\)""), 'Follow Set Macros'!B:D, 3, FALSE),
      ""{ "" &amp; REGEXEXTRACT($C316, ""\(([^)]+)\)"") &amp; "" }""
    )
  )
)
"),"#REF!")</f>
        <v>#REF!</v>
      </c>
      <c r="E316" s="664"/>
      <c r="F316" s="664"/>
      <c r="G316" s="664"/>
      <c r="H316" s="664"/>
      <c r="I316" s="664"/>
      <c r="J316" s="664"/>
      <c r="K316" s="664"/>
      <c r="L316" s="664"/>
      <c r="M316" s="664"/>
      <c r="N316" s="664"/>
      <c r="O316" s="664"/>
      <c r="P316" s="664"/>
      <c r="Q316" s="664"/>
      <c r="R316" s="664"/>
      <c r="S316" s="664"/>
      <c r="T316" s="664"/>
      <c r="U316" s="664"/>
      <c r="V316" s="664"/>
      <c r="W316" s="664"/>
      <c r="X316" s="664"/>
    </row>
    <row r="317">
      <c r="A317" s="661">
        <f t="shared" si="1"/>
        <v>317</v>
      </c>
      <c r="B317" s="662" t="str">
        <f t="shared" si="2"/>
        <v>#REF!</v>
      </c>
      <c r="C317" s="662" t="str">
        <f>IFERROR(__xludf.DUMMYFUNCTION("IF(
  REGEXMATCH(B317, ""^First\(λ - λ\) ∪ Follow\(""),
  ""Follow("" &amp; REGEXEXTRACT(B317, ""Follow\(([^)]+)\)"") &amp; "") ="",
  IF(
    OR(
      REGEXMATCH(B317, ""^First\([^&lt;]""),
      REGEXMATCH(B317, ""^First\(&lt;[^A-Za-z_]"")
    ),
    """",
    IF(
 "&amp;"     CFG!D317=""λ"",
      ""Follow("" &amp; CFG!B317 &amp; "") ="",
      ""First("" &amp; CFG!D317 &amp; "") =""
    )
  )
)
"),"#REF!")</f>
        <v>#REF!</v>
      </c>
      <c r="D317" s="663" t="str">
        <f>IFERROR(__xludf.DUMMYFUNCTION("IF(
  $C317="""",
  ""{ "" &amp;
    IF(
      REGEXMATCH(B317, ""^First\(\)""),
      "")"",
      REGEXEXTRACT(B317, ""^First\(([^ )]+)"")
    )
  &amp; "" }"",
  IF(
    REGEXMATCH($C317, ""^First\(&lt;""),
    VLOOKUP(REGEXEXTRACT($C317, ""\(([^)]+)\)""), 'First"&amp;" Set MacroA'!B:D, 3, FALSE),
    IF(
      REGEXMATCH($C317, ""^Follow\(&lt;""),
      VLOOKUP(REGEXEXTRACT($C317, ""\(([^)]+)\)""), 'Follow Set Macros'!B:D, 3, FALSE),
      ""{ "" &amp; REGEXEXTRACT($C317, ""\(([^)]+)\)"") &amp; "" }""
    )
  )
)
"),"#REF!")</f>
        <v>#REF!</v>
      </c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</row>
    <row r="318">
      <c r="A318" s="661">
        <f t="shared" si="1"/>
        <v>318</v>
      </c>
      <c r="B318" s="662" t="str">
        <f t="shared" si="2"/>
        <v>#REF!</v>
      </c>
      <c r="C318" s="662" t="str">
        <f>IFERROR(__xludf.DUMMYFUNCTION("IF(
  REGEXMATCH(B318, ""^First\(λ - λ\) ∪ Follow\(""),
  ""Follow("" &amp; REGEXEXTRACT(B318, ""Follow\(([^)]+)\)"") &amp; "") ="",
  IF(
    OR(
      REGEXMATCH(B318, ""^First\([^&lt;]""),
      REGEXMATCH(B318, ""^First\(&lt;[^A-Za-z_]"")
    ),
    """",
    IF(
 "&amp;"     CFG!D318=""λ"",
      ""Follow("" &amp; CFG!B318 &amp; "") ="",
      ""First("" &amp; CFG!D318 &amp; "") =""
    )
  )
)
"),"#REF!")</f>
        <v>#REF!</v>
      </c>
      <c r="D318" s="663" t="str">
        <f>IFERROR(__xludf.DUMMYFUNCTION("IF(
  $C318="""",
  ""{ "" &amp;
    IF(
      REGEXMATCH(B318, ""^First\(\)""),
      "")"",
      REGEXEXTRACT(B318, ""^First\(([^ )]+)"")
    )
  &amp; "" }"",
  IF(
    REGEXMATCH($C318, ""^First\(&lt;""),
    VLOOKUP(REGEXEXTRACT($C318, ""\(([^)]+)\)""), 'First"&amp;" Set MacroA'!B:D, 3, FALSE),
    IF(
      REGEXMATCH($C318, ""^Follow\(&lt;""),
      VLOOKUP(REGEXEXTRACT($C318, ""\(([^)]+)\)""), 'Follow Set Macros'!B:D, 3, FALSE),
      ""{ "" &amp; REGEXEXTRACT($C318, ""\(([^)]+)\)"") &amp; "" }""
    )
  )
)
"),"#REF!")</f>
        <v>#REF!</v>
      </c>
      <c r="E318" s="664"/>
      <c r="F318" s="664"/>
      <c r="G318" s="664"/>
      <c r="H318" s="664"/>
      <c r="I318" s="664"/>
      <c r="J318" s="664"/>
      <c r="K318" s="664"/>
      <c r="L318" s="664"/>
      <c r="M318" s="664"/>
      <c r="N318" s="664"/>
      <c r="O318" s="664"/>
      <c r="P318" s="664"/>
      <c r="Q318" s="664"/>
      <c r="R318" s="664"/>
      <c r="S318" s="664"/>
      <c r="T318" s="664"/>
      <c r="U318" s="664"/>
      <c r="V318" s="664"/>
      <c r="W318" s="664"/>
      <c r="X318" s="664"/>
    </row>
    <row r="319">
      <c r="A319" s="661">
        <f t="shared" si="1"/>
        <v>319</v>
      </c>
      <c r="B319" s="662" t="str">
        <f t="shared" si="2"/>
        <v>#REF!</v>
      </c>
      <c r="C319" s="662" t="str">
        <f>IFERROR(__xludf.DUMMYFUNCTION("IF(
  REGEXMATCH(B319, ""^First\(λ - λ\) ∪ Follow\(""),
  ""Follow("" &amp; REGEXEXTRACT(B319, ""Follow\(([^)]+)\)"") &amp; "") ="",
  IF(
    OR(
      REGEXMATCH(B319, ""^First\([^&lt;]""),
      REGEXMATCH(B319, ""^First\(&lt;[^A-Za-z_]"")
    ),
    """",
    IF(
 "&amp;"     CFG!D319=""λ"",
      ""Follow("" &amp; CFG!B319 &amp; "") ="",
      ""First("" &amp; CFG!D319 &amp; "") =""
    )
  )
)
"),"#REF!")</f>
        <v>#REF!</v>
      </c>
      <c r="D319" s="663" t="str">
        <f>IFERROR(__xludf.DUMMYFUNCTION("IF(
  $C319="""",
  ""{ "" &amp;
    IF(
      REGEXMATCH(B319, ""^First\(\)""),
      "")"",
      REGEXEXTRACT(B319, ""^First\(([^ )]+)"")
    )
  &amp; "" }"",
  IF(
    REGEXMATCH($C319, ""^First\(&lt;""),
    VLOOKUP(REGEXEXTRACT($C319, ""\(([^)]+)\)""), 'First"&amp;" Set MacroA'!B:D, 3, FALSE),
    IF(
      REGEXMATCH($C319, ""^Follow\(&lt;""),
      VLOOKUP(REGEXEXTRACT($C319, ""\(([^)]+)\)""), 'Follow Set Macros'!B:D, 3, FALSE),
      ""{ "" &amp; REGEXEXTRACT($C319, ""\(([^)]+)\)"") &amp; "" }""
    )
  )
)
"),"#REF!")</f>
        <v>#REF!</v>
      </c>
      <c r="E319" s="664"/>
      <c r="F319" s="664"/>
      <c r="G319" s="664"/>
      <c r="H319" s="664"/>
      <c r="I319" s="664"/>
      <c r="J319" s="664"/>
      <c r="K319" s="664"/>
      <c r="L319" s="664"/>
      <c r="M319" s="664"/>
      <c r="N319" s="664"/>
      <c r="O319" s="664"/>
      <c r="P319" s="664"/>
      <c r="Q319" s="664"/>
      <c r="R319" s="664"/>
      <c r="S319" s="664"/>
      <c r="T319" s="664"/>
      <c r="U319" s="664"/>
      <c r="V319" s="664"/>
      <c r="W319" s="664"/>
      <c r="X319" s="664"/>
    </row>
    <row r="320">
      <c r="A320" s="661">
        <f t="shared" si="1"/>
        <v>320</v>
      </c>
      <c r="B320" s="662" t="str">
        <f t="shared" si="2"/>
        <v>#REF!</v>
      </c>
      <c r="C320" s="662" t="str">
        <f>IFERROR(__xludf.DUMMYFUNCTION("IF(
  REGEXMATCH(B320, ""^First\(λ - λ\) ∪ Follow\(""),
  ""Follow("" &amp; REGEXEXTRACT(B320, ""Follow\(([^)]+)\)"") &amp; "") ="",
  IF(
    OR(
      REGEXMATCH(B320, ""^First\([^&lt;]""),
      REGEXMATCH(B320, ""^First\(&lt;[^A-Za-z_]"")
    ),
    """",
    IF(
 "&amp;"     CFG!D320=""λ"",
      ""Follow("" &amp; CFG!B320 &amp; "") ="",
      ""First("" &amp; CFG!D320 &amp; "") =""
    )
  )
)
"),"#REF!")</f>
        <v>#REF!</v>
      </c>
      <c r="D320" s="663" t="str">
        <f>IFERROR(__xludf.DUMMYFUNCTION("IF(
  $C320="""",
  ""{ "" &amp;
    IF(
      REGEXMATCH(B320, ""^First\(\)""),
      "")"",
      REGEXEXTRACT(B320, ""^First\(([^ )]+)"")
    )
  &amp; "" }"",
  IF(
    REGEXMATCH($C320, ""^First\(&lt;""),
    VLOOKUP(REGEXEXTRACT($C320, ""\(([^)]+)\)""), 'First"&amp;" Set MacroA'!B:D, 3, FALSE),
    IF(
      REGEXMATCH($C320, ""^Follow\(&lt;""),
      VLOOKUP(REGEXEXTRACT($C320, ""\(([^)]+)\)""), 'Follow Set Macros'!B:D, 3, FALSE),
      ""{ "" &amp; REGEXEXTRACT($C320, ""\(([^)]+)\)"") &amp; "" }""
    )
  )
)
"),"#REF!")</f>
        <v>#REF!</v>
      </c>
      <c r="E320" s="664"/>
      <c r="F320" s="664"/>
      <c r="G320" s="664"/>
      <c r="H320" s="664"/>
      <c r="I320" s="664"/>
      <c r="J320" s="664"/>
      <c r="K320" s="664"/>
      <c r="L320" s="664"/>
      <c r="M320" s="664"/>
      <c r="N320" s="664"/>
      <c r="O320" s="664"/>
      <c r="P320" s="664"/>
      <c r="Q320" s="664"/>
      <c r="R320" s="664"/>
      <c r="S320" s="664"/>
      <c r="T320" s="664"/>
      <c r="U320" s="664"/>
      <c r="V320" s="664"/>
      <c r="W320" s="664"/>
      <c r="X320" s="664"/>
    </row>
    <row r="321">
      <c r="A321" s="661">
        <f t="shared" si="1"/>
        <v>321</v>
      </c>
      <c r="B321" s="662" t="str">
        <f t="shared" si="2"/>
        <v>#REF!</v>
      </c>
      <c r="C321" s="662" t="str">
        <f>IFERROR(__xludf.DUMMYFUNCTION("IF(
  REGEXMATCH(B321, ""^First\(λ - λ\) ∪ Follow\(""),
  ""Follow("" &amp; REGEXEXTRACT(B321, ""Follow\(([^)]+)\)"") &amp; "") ="",
  IF(
    OR(
      REGEXMATCH(B321, ""^First\([^&lt;]""),
      REGEXMATCH(B321, ""^First\(&lt;[^A-Za-z_]"")
    ),
    """",
    IF(
 "&amp;"     CFG!D321=""λ"",
      ""Follow("" &amp; CFG!B321 &amp; "") ="",
      ""First("" &amp; CFG!D321 &amp; "") =""
    )
  )
)
"),"#REF!")</f>
        <v>#REF!</v>
      </c>
      <c r="D321" s="663" t="str">
        <f>IFERROR(__xludf.DUMMYFUNCTION("IF(
  $C321="""",
  ""{ "" &amp;
    IF(
      REGEXMATCH(B321, ""^First\(\)""),
      "")"",
      REGEXEXTRACT(B321, ""^First\(([^ )]+)"")
    )
  &amp; "" }"",
  IF(
    REGEXMATCH($C321, ""^First\(&lt;""),
    VLOOKUP(REGEXEXTRACT($C321, ""\(([^)]+)\)""), 'First"&amp;" Set MacroA'!B:D, 3, FALSE),
    IF(
      REGEXMATCH($C321, ""^Follow\(&lt;""),
      VLOOKUP(REGEXEXTRACT($C321, ""\(([^)]+)\)""), 'Follow Set Macros'!B:D, 3, FALSE),
      ""{ "" &amp; REGEXEXTRACT($C321, ""\(([^)]+)\)"") &amp; "" }""
    )
  )
)
"),"#REF!")</f>
        <v>#REF!</v>
      </c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</row>
    <row r="322">
      <c r="A322" s="661">
        <f t="shared" si="1"/>
        <v>322</v>
      </c>
      <c r="B322" s="662" t="str">
        <f t="shared" si="2"/>
        <v>#REF!</v>
      </c>
      <c r="C322" s="662" t="str">
        <f>IFERROR(__xludf.DUMMYFUNCTION("IF(
  REGEXMATCH(B322, ""^First\(λ - λ\) ∪ Follow\(""),
  ""Follow("" &amp; REGEXEXTRACT(B322, ""Follow\(([^)]+)\)"") &amp; "") ="",
  IF(
    OR(
      REGEXMATCH(B322, ""^First\([^&lt;]""),
      REGEXMATCH(B322, ""^First\(&lt;[^A-Za-z_]"")
    ),
    """",
    IF(
 "&amp;"     CFG!D322=""λ"",
      ""Follow("" &amp; CFG!B322 &amp; "") ="",
      ""First("" &amp; CFG!D322 &amp; "") =""
    )
  )
)
"),"#REF!")</f>
        <v>#REF!</v>
      </c>
      <c r="D322" s="663" t="str">
        <f>IFERROR(__xludf.DUMMYFUNCTION("IF(
  $C322="""",
  ""{ "" &amp;
    IF(
      REGEXMATCH(B322, ""^First\(\)""),
      "")"",
      REGEXEXTRACT(B322, ""^First\(([^ )]+)"")
    )
  &amp; "" }"",
  IF(
    REGEXMATCH($C322, ""^First\(&lt;""),
    VLOOKUP(REGEXEXTRACT($C322, ""\(([^)]+)\)""), 'First"&amp;" Set MacroA'!B:D, 3, FALSE),
    IF(
      REGEXMATCH($C322, ""^Follow\(&lt;""),
      VLOOKUP(REGEXEXTRACT($C322, ""\(([^)]+)\)""), 'Follow Set Macros'!B:D, 3, FALSE),
      ""{ "" &amp; REGEXEXTRACT($C322, ""\(([^)]+)\)"") &amp; "" }""
    )
  )
)
"),"#REF!")</f>
        <v>#REF!</v>
      </c>
      <c r="E322" s="664"/>
      <c r="F322" s="664"/>
      <c r="G322" s="664"/>
      <c r="H322" s="664"/>
      <c r="I322" s="664"/>
      <c r="J322" s="664"/>
      <c r="K322" s="664"/>
      <c r="L322" s="664"/>
      <c r="M322" s="664"/>
      <c r="N322" s="664"/>
      <c r="O322" s="664"/>
      <c r="P322" s="664"/>
      <c r="Q322" s="664"/>
      <c r="R322" s="664"/>
      <c r="S322" s="664"/>
      <c r="T322" s="664"/>
      <c r="U322" s="664"/>
      <c r="V322" s="664"/>
      <c r="W322" s="664"/>
      <c r="X322" s="664"/>
    </row>
    <row r="323">
      <c r="A323" s="661">
        <f t="shared" si="1"/>
        <v>323</v>
      </c>
      <c r="B323" s="662" t="str">
        <f t="shared" si="2"/>
        <v>#REF!</v>
      </c>
      <c r="C323" s="662" t="str">
        <f>IFERROR(__xludf.DUMMYFUNCTION("IF(
  REGEXMATCH(B323, ""^First\(λ - λ\) ∪ Follow\(""),
  ""Follow("" &amp; REGEXEXTRACT(B323, ""Follow\(([^)]+)\)"") &amp; "") ="",
  IF(
    OR(
      REGEXMATCH(B323, ""^First\([^&lt;]""),
      REGEXMATCH(B323, ""^First\(&lt;[^A-Za-z_]"")
    ),
    """",
    IF(
 "&amp;"     CFG!D323=""λ"",
      ""Follow("" &amp; CFG!B323 &amp; "") ="",
      ""First("" &amp; CFG!D323 &amp; "") =""
    )
  )
)
"),"#REF!")</f>
        <v>#REF!</v>
      </c>
      <c r="D323" s="663" t="str">
        <f>IFERROR(__xludf.DUMMYFUNCTION("IF(
  $C323="""",
  ""{ "" &amp;
    IF(
      REGEXMATCH(B323, ""^First\(\)""),
      "")"",
      REGEXEXTRACT(B323, ""^First\(([^ )]+)"")
    )
  &amp; "" }"",
  IF(
    REGEXMATCH($C323, ""^First\(&lt;""),
    VLOOKUP(REGEXEXTRACT($C323, ""\(([^)]+)\)""), 'First"&amp;" Set MacroA'!B:D, 3, FALSE),
    IF(
      REGEXMATCH($C323, ""^Follow\(&lt;""),
      VLOOKUP(REGEXEXTRACT($C323, ""\(([^)]+)\)""), 'Follow Set Macros'!B:D, 3, FALSE),
      ""{ "" &amp; REGEXEXTRACT($C323, ""\(([^)]+)\)"") &amp; "" }""
    )
  )
)
"),"#REF!")</f>
        <v>#REF!</v>
      </c>
      <c r="E323" s="664"/>
      <c r="F323" s="664"/>
      <c r="G323" s="664"/>
      <c r="H323" s="664"/>
      <c r="I323" s="664"/>
      <c r="J323" s="664"/>
      <c r="K323" s="664"/>
      <c r="L323" s="664"/>
      <c r="M323" s="664"/>
      <c r="N323" s="664"/>
      <c r="O323" s="664"/>
      <c r="P323" s="664"/>
      <c r="Q323" s="664"/>
      <c r="R323" s="664"/>
      <c r="S323" s="664"/>
      <c r="T323" s="664"/>
      <c r="U323" s="664"/>
      <c r="V323" s="664"/>
      <c r="W323" s="664"/>
      <c r="X323" s="664"/>
    </row>
    <row r="324">
      <c r="A324" s="661">
        <f t="shared" si="1"/>
        <v>324</v>
      </c>
      <c r="B324" s="662" t="str">
        <f t="shared" si="2"/>
        <v>#REF!</v>
      </c>
      <c r="C324" s="662" t="str">
        <f>IFERROR(__xludf.DUMMYFUNCTION("IF(
  REGEXMATCH(B324, ""^First\(λ - λ\) ∪ Follow\(""),
  ""Follow("" &amp; REGEXEXTRACT(B324, ""Follow\(([^)]+)\)"") &amp; "") ="",
  IF(
    OR(
      REGEXMATCH(B324, ""^First\([^&lt;]""),
      REGEXMATCH(B324, ""^First\(&lt;[^A-Za-z_]"")
    ),
    """",
    IF(
 "&amp;"     CFG!D324=""λ"",
      ""Follow("" &amp; CFG!B324 &amp; "") ="",
      ""First("" &amp; CFG!D324 &amp; "") =""
    )
  )
)
"),"#REF!")</f>
        <v>#REF!</v>
      </c>
      <c r="D324" s="663" t="str">
        <f>IFERROR(__xludf.DUMMYFUNCTION("IF(
  $C324="""",
  ""{ "" &amp;
    IF(
      REGEXMATCH(B324, ""^First\(\)""),
      "")"",
      REGEXEXTRACT(B324, ""^First\(([^ )]+)"")
    )
  &amp; "" }"",
  IF(
    REGEXMATCH($C324, ""^First\(&lt;""),
    VLOOKUP(REGEXEXTRACT($C324, ""\(([^)]+)\)""), 'First"&amp;" Set MacroA'!B:D, 3, FALSE),
    IF(
      REGEXMATCH($C324, ""^Follow\(&lt;""),
      VLOOKUP(REGEXEXTRACT($C324, ""\(([^)]+)\)""), 'Follow Set Macros'!B:D, 3, FALSE),
      ""{ "" &amp; REGEXEXTRACT($C324, ""\(([^)]+)\)"") &amp; "" }""
    )
  )
)
"),"#REF!")</f>
        <v>#REF!</v>
      </c>
      <c r="E324" s="664"/>
      <c r="F324" s="664"/>
      <c r="G324" s="664"/>
      <c r="H324" s="664"/>
      <c r="I324" s="664"/>
      <c r="J324" s="664"/>
      <c r="K324" s="664"/>
      <c r="L324" s="664"/>
      <c r="M324" s="664"/>
      <c r="N324" s="664"/>
      <c r="O324" s="664"/>
      <c r="P324" s="664"/>
      <c r="Q324" s="664"/>
      <c r="R324" s="664"/>
      <c r="S324" s="664"/>
      <c r="T324" s="664"/>
      <c r="U324" s="664"/>
      <c r="V324" s="664"/>
      <c r="W324" s="664"/>
      <c r="X324" s="664"/>
    </row>
    <row r="325">
      <c r="A325" s="661">
        <f t="shared" si="1"/>
        <v>325</v>
      </c>
      <c r="B325" s="662" t="str">
        <f t="shared" si="2"/>
        <v>#REF!</v>
      </c>
      <c r="C325" s="662" t="str">
        <f>IFERROR(__xludf.DUMMYFUNCTION("IF(
  REGEXMATCH(B325, ""^First\(λ - λ\) ∪ Follow\(""),
  ""Follow("" &amp; REGEXEXTRACT(B325, ""Follow\(([^)]+)\)"") &amp; "") ="",
  IF(
    OR(
      REGEXMATCH(B325, ""^First\([^&lt;]""),
      REGEXMATCH(B325, ""^First\(&lt;[^A-Za-z_]"")
    ),
    """",
    IF(
 "&amp;"     CFG!D325=""λ"",
      ""Follow("" &amp; CFG!B325 &amp; "") ="",
      ""First("" &amp; CFG!D325 &amp; "") =""
    )
  )
)
"),"#REF!")</f>
        <v>#REF!</v>
      </c>
      <c r="D325" s="663" t="str">
        <f>IFERROR(__xludf.DUMMYFUNCTION("IF(
  $C325="""",
  ""{ "" &amp;
    IF(
      REGEXMATCH(B325, ""^First\(\)""),
      "")"",
      REGEXEXTRACT(B325, ""^First\(([^ )]+)"")
    )
  &amp; "" }"",
  IF(
    REGEXMATCH($C325, ""^First\(&lt;""),
    VLOOKUP(REGEXEXTRACT($C325, ""\(([^)]+)\)""), 'First"&amp;" Set MacroA'!B:D, 3, FALSE),
    IF(
      REGEXMATCH($C325, ""^Follow\(&lt;""),
      VLOOKUP(REGEXEXTRACT($C325, ""\(([^)]+)\)""), 'Follow Set Macros'!B:D, 3, FALSE),
      ""{ "" &amp; REGEXEXTRACT($C325, ""\(([^)]+)\)"") &amp; "" }""
    )
  )
)
"),"#REF!")</f>
        <v>#REF!</v>
      </c>
      <c r="E325" s="664"/>
      <c r="F325" s="664"/>
      <c r="G325" s="664"/>
      <c r="H325" s="664"/>
      <c r="I325" s="664"/>
      <c r="J325" s="664"/>
      <c r="K325" s="664"/>
      <c r="L325" s="664"/>
      <c r="M325" s="664"/>
      <c r="N325" s="664"/>
      <c r="O325" s="664"/>
      <c r="P325" s="664"/>
      <c r="Q325" s="664"/>
      <c r="R325" s="664"/>
      <c r="S325" s="664"/>
      <c r="T325" s="664"/>
      <c r="U325" s="664"/>
      <c r="V325" s="664"/>
      <c r="W325" s="664"/>
      <c r="X325" s="664"/>
    </row>
    <row r="326">
      <c r="A326" s="661">
        <f t="shared" si="1"/>
        <v>326</v>
      </c>
      <c r="B326" s="662" t="str">
        <f t="shared" si="2"/>
        <v>#REF!</v>
      </c>
      <c r="C326" s="662" t="str">
        <f>IFERROR(__xludf.DUMMYFUNCTION("IF(
  REGEXMATCH(B326, ""^First\(λ - λ\) ∪ Follow\(""),
  ""Follow("" &amp; REGEXEXTRACT(B326, ""Follow\(([^)]+)\)"") &amp; "") ="",
  IF(
    OR(
      REGEXMATCH(B326, ""^First\([^&lt;]""),
      REGEXMATCH(B326, ""^First\(&lt;[^A-Za-z_]"")
    ),
    """",
    IF(
 "&amp;"     CFG!D326=""λ"",
      ""Follow("" &amp; CFG!B326 &amp; "") ="",
      ""First("" &amp; CFG!D326 &amp; "") =""
    )
  )
)
"),"#REF!")</f>
        <v>#REF!</v>
      </c>
      <c r="D326" s="663" t="str">
        <f>IFERROR(__xludf.DUMMYFUNCTION("IF(
  $C326="""",
  ""{ "" &amp;
    IF(
      REGEXMATCH(B326, ""^First\(\)""),
      "")"",
      REGEXEXTRACT(B326, ""^First\(([^ )]+)"")
    )
  &amp; "" }"",
  IF(
    REGEXMATCH($C326, ""^First\(&lt;""),
    VLOOKUP(REGEXEXTRACT($C326, ""\(([^)]+)\)""), 'First"&amp;" Set MacroA'!B:D, 3, FALSE),
    IF(
      REGEXMATCH($C326, ""^Follow\(&lt;""),
      VLOOKUP(REGEXEXTRACT($C326, ""\(([^)]+)\)""), 'Follow Set Macros'!B:D, 3, FALSE),
      ""{ "" &amp; REGEXEXTRACT($C326, ""\(([^)]+)\)"") &amp; "" }""
    )
  )
)
"),"#REF!")</f>
        <v>#REF!</v>
      </c>
      <c r="E326" s="664"/>
      <c r="F326" s="664"/>
      <c r="G326" s="664"/>
      <c r="H326" s="664"/>
      <c r="I326" s="664"/>
      <c r="J326" s="664"/>
      <c r="K326" s="664"/>
      <c r="L326" s="664"/>
      <c r="M326" s="664"/>
      <c r="N326" s="664"/>
      <c r="O326" s="664"/>
      <c r="P326" s="664"/>
      <c r="Q326" s="664"/>
      <c r="R326" s="664"/>
      <c r="S326" s="664"/>
      <c r="T326" s="664"/>
      <c r="U326" s="664"/>
      <c r="V326" s="664"/>
      <c r="W326" s="664"/>
      <c r="X326" s="664"/>
    </row>
    <row r="327">
      <c r="A327" s="661">
        <f t="shared" si="1"/>
        <v>327</v>
      </c>
      <c r="B327" s="662" t="str">
        <f t="shared" si="2"/>
        <v>#REF!</v>
      </c>
      <c r="C327" s="662" t="str">
        <f>IFERROR(__xludf.DUMMYFUNCTION("IF(
  REGEXMATCH(B327, ""^First\(λ - λ\) ∪ Follow\(""),
  ""Follow("" &amp; REGEXEXTRACT(B327, ""Follow\(([^)]+)\)"") &amp; "") ="",
  IF(
    OR(
      REGEXMATCH(B327, ""^First\([^&lt;]""),
      REGEXMATCH(B327, ""^First\(&lt;[^A-Za-z_]"")
    ),
    """",
    IF(
 "&amp;"     CFG!D327=""λ"",
      ""Follow("" &amp; CFG!B327 &amp; "") ="",
      ""First("" &amp; CFG!D327 &amp; "") =""
    )
  )
)
"),"#REF!")</f>
        <v>#REF!</v>
      </c>
      <c r="D327" s="663" t="str">
        <f>IFERROR(__xludf.DUMMYFUNCTION("IF(
  $C327="""",
  ""{ "" &amp;
    IF(
      REGEXMATCH(B327, ""^First\(\)""),
      "")"",
      REGEXEXTRACT(B327, ""^First\(([^ )]+)"")
    )
  &amp; "" }"",
  IF(
    REGEXMATCH($C327, ""^First\(&lt;""),
    VLOOKUP(REGEXEXTRACT($C327, ""\(([^)]+)\)""), 'First"&amp;" Set MacroA'!B:D, 3, FALSE),
    IF(
      REGEXMATCH($C327, ""^Follow\(&lt;""),
      VLOOKUP(REGEXEXTRACT($C327, ""\(([^)]+)\)""), 'Follow Set Macros'!B:D, 3, FALSE),
      ""{ "" &amp; REGEXEXTRACT($C327, ""\(([^)]+)\)"") &amp; "" }""
    )
  )
)
"),"#REF!")</f>
        <v>#REF!</v>
      </c>
      <c r="E327" s="664"/>
      <c r="F327" s="664"/>
      <c r="G327" s="664"/>
      <c r="H327" s="664"/>
      <c r="I327" s="664"/>
      <c r="J327" s="664"/>
      <c r="K327" s="664"/>
      <c r="L327" s="664"/>
      <c r="M327" s="664"/>
      <c r="N327" s="664"/>
      <c r="O327" s="664"/>
      <c r="P327" s="664"/>
      <c r="Q327" s="664"/>
      <c r="R327" s="664"/>
      <c r="S327" s="664"/>
      <c r="T327" s="664"/>
      <c r="U327" s="664"/>
      <c r="V327" s="664"/>
      <c r="W327" s="664"/>
      <c r="X327" s="664"/>
    </row>
    <row r="328">
      <c r="A328" s="661">
        <f t="shared" si="1"/>
        <v>328</v>
      </c>
      <c r="B328" s="662" t="str">
        <f t="shared" si="2"/>
        <v>#REF!</v>
      </c>
      <c r="C328" s="662" t="str">
        <f>IFERROR(__xludf.DUMMYFUNCTION("IF(
  REGEXMATCH(B328, ""^First\(λ - λ\) ∪ Follow\(""),
  ""Follow("" &amp; REGEXEXTRACT(B328, ""Follow\(([^)]+)\)"") &amp; "") ="",
  IF(
    OR(
      REGEXMATCH(B328, ""^First\([^&lt;]""),
      REGEXMATCH(B328, ""^First\(&lt;[^A-Za-z_]"")
    ),
    """",
    IF(
 "&amp;"     CFG!D328=""λ"",
      ""Follow("" &amp; CFG!B328 &amp; "") ="",
      ""First("" &amp; CFG!D328 &amp; "") =""
    )
  )
)
"),"#REF!")</f>
        <v>#REF!</v>
      </c>
      <c r="D328" s="663" t="str">
        <f>IFERROR(__xludf.DUMMYFUNCTION("IF(
  $C328="""",
  ""{ "" &amp;
    IF(
      REGEXMATCH(B328, ""^First\(\)""),
      "")"",
      REGEXEXTRACT(B328, ""^First\(([^ )]+)"")
    )
  &amp; "" }"",
  IF(
    REGEXMATCH($C328, ""^First\(&lt;""),
    VLOOKUP(REGEXEXTRACT($C328, ""\(([^)]+)\)""), 'First"&amp;" Set MacroA'!B:D, 3, FALSE),
    IF(
      REGEXMATCH($C328, ""^Follow\(&lt;""),
      VLOOKUP(REGEXEXTRACT($C328, ""\(([^)]+)\)""), 'Follow Set Macros'!B:D, 3, FALSE),
      ""{ "" &amp; REGEXEXTRACT($C328, ""\(([^)]+)\)"") &amp; "" }""
    )
  )
)
"),"#REF!")</f>
        <v>#REF!</v>
      </c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</row>
    <row r="329">
      <c r="A329" s="661">
        <f t="shared" si="1"/>
        <v>329</v>
      </c>
      <c r="B329" s="662" t="str">
        <f t="shared" si="2"/>
        <v>#REF!</v>
      </c>
      <c r="C329" s="662" t="str">
        <f>IFERROR(__xludf.DUMMYFUNCTION("IF(
  REGEXMATCH(B329, ""^First\(λ - λ\) ∪ Follow\(""),
  ""Follow("" &amp; REGEXEXTRACT(B329, ""Follow\(([^)]+)\)"") &amp; "") ="",
  IF(
    OR(
      REGEXMATCH(B329, ""^First\([^&lt;]""),
      REGEXMATCH(B329, ""^First\(&lt;[^A-Za-z_]"")
    ),
    """",
    IF(
 "&amp;"     CFG!D329=""λ"",
      ""Follow("" &amp; CFG!B329 &amp; "") ="",
      ""First("" &amp; CFG!D329 &amp; "") =""
    )
  )
)
"),"#REF!")</f>
        <v>#REF!</v>
      </c>
      <c r="D329" s="663" t="str">
        <f>IFERROR(__xludf.DUMMYFUNCTION("IF(
  $C329="""",
  ""{ "" &amp;
    IF(
      REGEXMATCH(B329, ""^First\(\)""),
      "")"",
      REGEXEXTRACT(B329, ""^First\(([^ )]+)"")
    )
  &amp; "" }"",
  IF(
    REGEXMATCH($C329, ""^First\(&lt;""),
    VLOOKUP(REGEXEXTRACT($C329, ""\(([^)]+)\)""), 'First"&amp;" Set MacroA'!B:D, 3, FALSE),
    IF(
      REGEXMATCH($C329, ""^Follow\(&lt;""),
      VLOOKUP(REGEXEXTRACT($C329, ""\(([^)]+)\)""), 'Follow Set Macros'!B:D, 3, FALSE),
      ""{ "" &amp; REGEXEXTRACT($C329, ""\(([^)]+)\)"") &amp; "" }""
    )
  )
)
"),"#REF!")</f>
        <v>#REF!</v>
      </c>
      <c r="E329" s="664"/>
      <c r="F329" s="664"/>
      <c r="G329" s="664"/>
      <c r="H329" s="664"/>
      <c r="I329" s="664"/>
      <c r="J329" s="664"/>
      <c r="K329" s="664"/>
      <c r="L329" s="664"/>
      <c r="M329" s="664"/>
      <c r="N329" s="664"/>
      <c r="O329" s="664"/>
      <c r="P329" s="664"/>
      <c r="Q329" s="664"/>
      <c r="R329" s="664"/>
      <c r="S329" s="664"/>
      <c r="T329" s="664"/>
      <c r="U329" s="664"/>
      <c r="V329" s="664"/>
      <c r="W329" s="664"/>
      <c r="X329" s="664"/>
    </row>
    <row r="330">
      <c r="A330" s="661">
        <f t="shared" si="1"/>
        <v>330</v>
      </c>
      <c r="B330" s="662" t="str">
        <f t="shared" si="2"/>
        <v>#REF!</v>
      </c>
      <c r="C330" s="662" t="str">
        <f>IFERROR(__xludf.DUMMYFUNCTION("IF(
  REGEXMATCH(B330, ""^First\(λ - λ\) ∪ Follow\(""),
  ""Follow("" &amp; REGEXEXTRACT(B330, ""Follow\(([^)]+)\)"") &amp; "") ="",
  IF(
    OR(
      REGEXMATCH(B330, ""^First\([^&lt;]""),
      REGEXMATCH(B330, ""^First\(&lt;[^A-Za-z_]"")
    ),
    """",
    IF(
 "&amp;"     CFG!D330=""λ"",
      ""Follow("" &amp; CFG!B330 &amp; "") ="",
      ""First("" &amp; CFG!D330 &amp; "") =""
    )
  )
)
"),"#REF!")</f>
        <v>#REF!</v>
      </c>
      <c r="D330" s="663" t="str">
        <f>IFERROR(__xludf.DUMMYFUNCTION("IF(
  $C330="""",
  ""{ "" &amp;
    IF(
      REGEXMATCH(B330, ""^First\(\)""),
      "")"",
      REGEXEXTRACT(B330, ""^First\(([^ )]+)"")
    )
  &amp; "" }"",
  IF(
    REGEXMATCH($C330, ""^First\(&lt;""),
    VLOOKUP(REGEXEXTRACT($C330, ""\(([^)]+)\)""), 'First"&amp;" Set MacroA'!B:D, 3, FALSE),
    IF(
      REGEXMATCH($C330, ""^Follow\(&lt;""),
      VLOOKUP(REGEXEXTRACT($C330, ""\(([^)]+)\)""), 'Follow Set Macros'!B:D, 3, FALSE),
      ""{ "" &amp; REGEXEXTRACT($C330, ""\(([^)]+)\)"") &amp; "" }""
    )
  )
)
"),"#REF!")</f>
        <v>#REF!</v>
      </c>
      <c r="E330" s="664"/>
      <c r="F330" s="664"/>
      <c r="G330" s="664"/>
      <c r="H330" s="664"/>
      <c r="I330" s="664"/>
      <c r="J330" s="664"/>
      <c r="K330" s="664"/>
      <c r="L330" s="664"/>
      <c r="M330" s="664"/>
      <c r="N330" s="664"/>
      <c r="O330" s="664"/>
      <c r="P330" s="664"/>
      <c r="Q330" s="664"/>
      <c r="R330" s="664"/>
      <c r="S330" s="664"/>
      <c r="T330" s="664"/>
      <c r="U330" s="664"/>
      <c r="V330" s="664"/>
      <c r="W330" s="664"/>
      <c r="X330" s="664"/>
    </row>
    <row r="331">
      <c r="A331" s="661">
        <f t="shared" si="1"/>
        <v>331</v>
      </c>
      <c r="B331" s="662" t="str">
        <f t="shared" si="2"/>
        <v>#REF!</v>
      </c>
      <c r="C331" s="662" t="str">
        <f>IFERROR(__xludf.DUMMYFUNCTION("IF(
  REGEXMATCH(B331, ""^First\(λ - λ\) ∪ Follow\(""),
  ""Follow("" &amp; REGEXEXTRACT(B331, ""Follow\(([^)]+)\)"") &amp; "") ="",
  IF(
    OR(
      REGEXMATCH(B331, ""^First\([^&lt;]""),
      REGEXMATCH(B331, ""^First\(&lt;[^A-Za-z_]"")
    ),
    """",
    IF(
 "&amp;"     CFG!D331=""λ"",
      ""Follow("" &amp; CFG!B331 &amp; "") ="",
      ""First("" &amp; CFG!D331 &amp; "") =""
    )
  )
)
"),"#REF!")</f>
        <v>#REF!</v>
      </c>
      <c r="D331" s="663" t="str">
        <f>IFERROR(__xludf.DUMMYFUNCTION("IF(
  $C331="""",
  ""{ "" &amp;
    IF(
      REGEXMATCH(B331, ""^First\(\)""),
      "")"",
      REGEXEXTRACT(B331, ""^First\(([^ )]+)"")
    )
  &amp; "" }"",
  IF(
    REGEXMATCH($C331, ""^First\(&lt;""),
    VLOOKUP(REGEXEXTRACT($C331, ""\(([^)]+)\)""), 'First"&amp;" Set MacroA'!B:D, 3, FALSE),
    IF(
      REGEXMATCH($C331, ""^Follow\(&lt;""),
      VLOOKUP(REGEXEXTRACT($C331, ""\(([^)]+)\)""), 'Follow Set Macros'!B:D, 3, FALSE),
      ""{ "" &amp; REGEXEXTRACT($C331, ""\(([^)]+)\)"") &amp; "" }""
    )
  )
)
"),"#REF!")</f>
        <v>#REF!</v>
      </c>
      <c r="E331" s="664"/>
      <c r="F331" s="664"/>
      <c r="G331" s="664"/>
      <c r="H331" s="664"/>
      <c r="I331" s="664"/>
      <c r="J331" s="664"/>
      <c r="K331" s="664"/>
      <c r="L331" s="664"/>
      <c r="M331" s="664"/>
      <c r="N331" s="664"/>
      <c r="O331" s="664"/>
      <c r="P331" s="664"/>
      <c r="Q331" s="664"/>
      <c r="R331" s="664"/>
      <c r="S331" s="664"/>
      <c r="T331" s="664"/>
      <c r="U331" s="664"/>
      <c r="V331" s="664"/>
      <c r="W331" s="664"/>
      <c r="X331" s="664"/>
    </row>
    <row r="332">
      <c r="A332" s="661">
        <f t="shared" si="1"/>
        <v>332</v>
      </c>
      <c r="B332" s="662" t="str">
        <f t="shared" si="2"/>
        <v>#REF!</v>
      </c>
      <c r="C332" s="662" t="str">
        <f>IFERROR(__xludf.DUMMYFUNCTION("IF(
  REGEXMATCH(B332, ""^First\(λ - λ\) ∪ Follow\(""),
  ""Follow("" &amp; REGEXEXTRACT(B332, ""Follow\(([^)]+)\)"") &amp; "") ="",
  IF(
    OR(
      REGEXMATCH(B332, ""^First\([^&lt;]""),
      REGEXMATCH(B332, ""^First\(&lt;[^A-Za-z_]"")
    ),
    """",
    IF(
 "&amp;"     CFG!D332=""λ"",
      ""Follow("" &amp; CFG!B332 &amp; "") ="",
      ""First("" &amp; CFG!D332 &amp; "") =""
    )
  )
)
"),"#REF!")</f>
        <v>#REF!</v>
      </c>
      <c r="D332" s="663" t="str">
        <f>IFERROR(__xludf.DUMMYFUNCTION("IF(
  $C332="""",
  ""{ "" &amp;
    IF(
      REGEXMATCH(B332, ""^First\(\)""),
      "")"",
      REGEXEXTRACT(B332, ""^First\(([^ )]+)"")
    )
  &amp; "" }"",
  IF(
    REGEXMATCH($C332, ""^First\(&lt;""),
    VLOOKUP(REGEXEXTRACT($C332, ""\(([^)]+)\)""), 'First"&amp;" Set MacroA'!B:D, 3, FALSE),
    IF(
      REGEXMATCH($C332, ""^Follow\(&lt;""),
      VLOOKUP(REGEXEXTRACT($C332, ""\(([^)]+)\)""), 'Follow Set Macros'!B:D, 3, FALSE),
      ""{ "" &amp; REGEXEXTRACT($C332, ""\(([^)]+)\)"") &amp; "" }""
    )
  )
)
"),"#REF!")</f>
        <v>#REF!</v>
      </c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</row>
    <row r="333">
      <c r="A333" s="661">
        <f t="shared" si="1"/>
        <v>333</v>
      </c>
      <c r="B333" s="662" t="str">
        <f t="shared" si="2"/>
        <v>#REF!</v>
      </c>
      <c r="C333" s="662" t="str">
        <f>IFERROR(__xludf.DUMMYFUNCTION("IF(
  REGEXMATCH(B333, ""^First\(λ - λ\) ∪ Follow\(""),
  ""Follow("" &amp; REGEXEXTRACT(B333, ""Follow\(([^)]+)\)"") &amp; "") ="",
  IF(
    OR(
      REGEXMATCH(B333, ""^First\([^&lt;]""),
      REGEXMATCH(B333, ""^First\(&lt;[^A-Za-z_]"")
    ),
    """",
    IF(
 "&amp;"     CFG!D333=""λ"",
      ""Follow("" &amp; CFG!B333 &amp; "") ="",
      ""First("" &amp; CFG!D333 &amp; "") =""
    )
  )
)
"),"#REF!")</f>
        <v>#REF!</v>
      </c>
      <c r="D333" s="663" t="str">
        <f>IFERROR(__xludf.DUMMYFUNCTION("IF(
  $C333="""",
  ""{ "" &amp;
    IF(
      REGEXMATCH(B333, ""^First\(\)""),
      "")"",
      REGEXEXTRACT(B333, ""^First\(([^ )]+)"")
    )
  &amp; "" }"",
  IF(
    REGEXMATCH($C333, ""^First\(&lt;""),
    VLOOKUP(REGEXEXTRACT($C333, ""\(([^)]+)\)""), 'First"&amp;" Set MacroA'!B:D, 3, FALSE),
    IF(
      REGEXMATCH($C333, ""^Follow\(&lt;""),
      VLOOKUP(REGEXEXTRACT($C333, ""\(([^)]+)\)""), 'Follow Set Macros'!B:D, 3, FALSE),
      ""{ "" &amp; REGEXEXTRACT($C333, ""\(([^)]+)\)"") &amp; "" }""
    )
  )
)
"),"#REF!")</f>
        <v>#REF!</v>
      </c>
      <c r="E333" s="664"/>
      <c r="F333" s="664"/>
      <c r="G333" s="664"/>
      <c r="H333" s="664"/>
      <c r="I333" s="664"/>
      <c r="J333" s="664"/>
      <c r="K333" s="664"/>
      <c r="L333" s="664"/>
      <c r="M333" s="664"/>
      <c r="N333" s="664"/>
      <c r="O333" s="664"/>
      <c r="P333" s="664"/>
      <c r="Q333" s="664"/>
      <c r="R333" s="664"/>
      <c r="S333" s="664"/>
      <c r="T333" s="664"/>
      <c r="U333" s="664"/>
      <c r="V333" s="664"/>
      <c r="W333" s="664"/>
      <c r="X333" s="664"/>
    </row>
    <row r="334">
      <c r="A334" s="661">
        <f t="shared" si="1"/>
        <v>334</v>
      </c>
      <c r="B334" s="662" t="str">
        <f t="shared" si="2"/>
        <v>#REF!</v>
      </c>
      <c r="C334" s="662" t="str">
        <f>IFERROR(__xludf.DUMMYFUNCTION("IF(
  REGEXMATCH(B334, ""^First\(λ - λ\) ∪ Follow\(""),
  ""Follow("" &amp; REGEXEXTRACT(B334, ""Follow\(([^)]+)\)"") &amp; "") ="",
  IF(
    OR(
      REGEXMATCH(B334, ""^First\([^&lt;]""),
      REGEXMATCH(B334, ""^First\(&lt;[^A-Za-z_]"")
    ),
    """",
    IF(
 "&amp;"     CFG!D334=""λ"",
      ""Follow("" &amp; CFG!B334 &amp; "") ="",
      ""First("" &amp; CFG!D334 &amp; "") =""
    )
  )
)
"),"#REF!")</f>
        <v>#REF!</v>
      </c>
      <c r="D334" s="663" t="str">
        <f>IFERROR(__xludf.DUMMYFUNCTION("IF(
  $C334="""",
  ""{ "" &amp;
    IF(
      REGEXMATCH(B334, ""^First\(\)""),
      "")"",
      REGEXEXTRACT(B334, ""^First\(([^ )]+)"")
    )
  &amp; "" }"",
  IF(
    REGEXMATCH($C334, ""^First\(&lt;""),
    VLOOKUP(REGEXEXTRACT($C334, ""\(([^)]+)\)""), 'First"&amp;" Set MacroA'!B:D, 3, FALSE),
    IF(
      REGEXMATCH($C334, ""^Follow\(&lt;""),
      VLOOKUP(REGEXEXTRACT($C334, ""\(([^)]+)\)""), 'Follow Set Macros'!B:D, 3, FALSE),
      ""{ "" &amp; REGEXEXTRACT($C334, ""\(([^)]+)\)"") &amp; "" }""
    )
  )
)
"),"#REF!")</f>
        <v>#REF!</v>
      </c>
      <c r="E334" s="664"/>
      <c r="F334" s="664"/>
      <c r="G334" s="664"/>
      <c r="H334" s="664"/>
      <c r="I334" s="664"/>
      <c r="J334" s="664"/>
      <c r="K334" s="664"/>
      <c r="L334" s="664"/>
      <c r="M334" s="664"/>
      <c r="N334" s="664"/>
      <c r="O334" s="664"/>
      <c r="P334" s="664"/>
      <c r="Q334" s="664"/>
      <c r="R334" s="664"/>
      <c r="S334" s="664"/>
      <c r="T334" s="664"/>
      <c r="U334" s="664"/>
      <c r="V334" s="664"/>
      <c r="W334" s="664"/>
      <c r="X334" s="664"/>
    </row>
    <row r="335">
      <c r="A335" s="661">
        <f t="shared" si="1"/>
        <v>335</v>
      </c>
      <c r="B335" s="662" t="str">
        <f t="shared" si="2"/>
        <v>#REF!</v>
      </c>
      <c r="C335" s="662" t="str">
        <f>IFERROR(__xludf.DUMMYFUNCTION("IF(
  REGEXMATCH(B335, ""^First\(λ - λ\) ∪ Follow\(""),
  ""Follow("" &amp; REGEXEXTRACT(B335, ""Follow\(([^)]+)\)"") &amp; "") ="",
  IF(
    OR(
      REGEXMATCH(B335, ""^First\([^&lt;]""),
      REGEXMATCH(B335, ""^First\(&lt;[^A-Za-z_]"")
    ),
    """",
    IF(
 "&amp;"     CFG!D335=""λ"",
      ""Follow("" &amp; CFG!B335 &amp; "") ="",
      ""First("" &amp; CFG!D335 &amp; "") =""
    )
  )
)
"),"#REF!")</f>
        <v>#REF!</v>
      </c>
      <c r="D335" s="663" t="str">
        <f>IFERROR(__xludf.DUMMYFUNCTION("IF(
  $C335="""",
  ""{ "" &amp;
    IF(
      REGEXMATCH(B335, ""^First\(\)""),
      "")"",
      REGEXEXTRACT(B335, ""^First\(([^ )]+)"")
    )
  &amp; "" }"",
  IF(
    REGEXMATCH($C335, ""^First\(&lt;""),
    VLOOKUP(REGEXEXTRACT($C335, ""\(([^)]+)\)""), 'First"&amp;" Set MacroA'!B:D, 3, FALSE),
    IF(
      REGEXMATCH($C335, ""^Follow\(&lt;""),
      VLOOKUP(REGEXEXTRACT($C335, ""\(([^)]+)\)""), 'Follow Set Macros'!B:D, 3, FALSE),
      ""{ "" &amp; REGEXEXTRACT($C335, ""\(([^)]+)\)"") &amp; "" }""
    )
  )
)
"),"#REF!")</f>
        <v>#REF!</v>
      </c>
      <c r="E335" s="664"/>
      <c r="F335" s="664"/>
      <c r="G335" s="664"/>
      <c r="H335" s="664"/>
      <c r="I335" s="664"/>
      <c r="J335" s="664"/>
      <c r="K335" s="664"/>
      <c r="L335" s="664"/>
      <c r="M335" s="664"/>
      <c r="N335" s="664"/>
      <c r="O335" s="664"/>
      <c r="P335" s="664"/>
      <c r="Q335" s="664"/>
      <c r="R335" s="664"/>
      <c r="S335" s="664"/>
      <c r="T335" s="664"/>
      <c r="U335" s="664"/>
      <c r="V335" s="664"/>
      <c r="W335" s="664"/>
      <c r="X335" s="664"/>
    </row>
    <row r="336">
      <c r="A336" s="661">
        <f t="shared" si="1"/>
        <v>336</v>
      </c>
      <c r="B336" s="662" t="str">
        <f t="shared" si="2"/>
        <v>#REF!</v>
      </c>
      <c r="C336" s="662" t="str">
        <f>IFERROR(__xludf.DUMMYFUNCTION("IF(
  REGEXMATCH(B336, ""^First\(λ - λ\) ∪ Follow\(""),
  ""Follow("" &amp; REGEXEXTRACT(B336, ""Follow\(([^)]+)\)"") &amp; "") ="",
  IF(
    OR(
      REGEXMATCH(B336, ""^First\([^&lt;]""),
      REGEXMATCH(B336, ""^First\(&lt;[^A-Za-z_]"")
    ),
    """",
    IF(
 "&amp;"     CFG!D336=""λ"",
      ""Follow("" &amp; CFG!B336 &amp; "") ="",
      ""First("" &amp; CFG!D336 &amp; "") =""
    )
  )
)
"),"#REF!")</f>
        <v>#REF!</v>
      </c>
      <c r="D336" s="663" t="str">
        <f>IFERROR(__xludf.DUMMYFUNCTION("IF(
  $C336="""",
  ""{ "" &amp;
    IF(
      REGEXMATCH(B336, ""^First\(\)""),
      "")"",
      REGEXEXTRACT(B336, ""^First\(([^ )]+)"")
    )
  &amp; "" }"",
  IF(
    REGEXMATCH($C336, ""^First\(&lt;""),
    VLOOKUP(REGEXEXTRACT($C336, ""\(([^)]+)\)""), 'First"&amp;" Set MacroA'!B:D, 3, FALSE),
    IF(
      REGEXMATCH($C336, ""^Follow\(&lt;""),
      VLOOKUP(REGEXEXTRACT($C336, ""\(([^)]+)\)""), 'Follow Set Macros'!B:D, 3, FALSE),
      ""{ "" &amp; REGEXEXTRACT($C336, ""\(([^)]+)\)"") &amp; "" }""
    )
  )
)
"),"#REF!")</f>
        <v>#REF!</v>
      </c>
      <c r="E336" s="664"/>
      <c r="F336" s="664"/>
      <c r="G336" s="664"/>
      <c r="H336" s="664"/>
      <c r="I336" s="664"/>
      <c r="J336" s="664"/>
      <c r="K336" s="664"/>
      <c r="L336" s="664"/>
      <c r="M336" s="664"/>
      <c r="N336" s="664"/>
      <c r="O336" s="664"/>
      <c r="P336" s="664"/>
      <c r="Q336" s="664"/>
      <c r="R336" s="664"/>
      <c r="S336" s="664"/>
      <c r="T336" s="664"/>
      <c r="U336" s="664"/>
      <c r="V336" s="664"/>
      <c r="W336" s="664"/>
      <c r="X336" s="664"/>
    </row>
    <row r="337">
      <c r="A337" s="661">
        <f t="shared" si="1"/>
        <v>337</v>
      </c>
      <c r="B337" s="662" t="str">
        <f t="shared" si="2"/>
        <v>#REF!</v>
      </c>
      <c r="C337" s="662" t="str">
        <f>IFERROR(__xludf.DUMMYFUNCTION("IF(
  REGEXMATCH(B337, ""^First\(λ - λ\) ∪ Follow\(""),
  ""Follow("" &amp; REGEXEXTRACT(B337, ""Follow\(([^)]+)\)"") &amp; "") ="",
  IF(
    OR(
      REGEXMATCH(B337, ""^First\([^&lt;]""),
      REGEXMATCH(B337, ""^First\(&lt;[^A-Za-z_]"")
    ),
    """",
    IF(
 "&amp;"     CFG!D337=""λ"",
      ""Follow("" &amp; CFG!B337 &amp; "") ="",
      ""First("" &amp; CFG!D337 &amp; "") =""
    )
  )
)
"),"#REF!")</f>
        <v>#REF!</v>
      </c>
      <c r="D337" s="663" t="str">
        <f>IFERROR(__xludf.DUMMYFUNCTION("IF(
  $C337="""",
  ""{ "" &amp;
    IF(
      REGEXMATCH(B337, ""^First\(\)""),
      "")"",
      REGEXEXTRACT(B337, ""^First\(([^ )]+)"")
    )
  &amp; "" }"",
  IF(
    REGEXMATCH($C337, ""^First\(&lt;""),
    VLOOKUP(REGEXEXTRACT($C337, ""\(([^)]+)\)""), 'First"&amp;" Set MacroA'!B:D, 3, FALSE),
    IF(
      REGEXMATCH($C337, ""^Follow\(&lt;""),
      VLOOKUP(REGEXEXTRACT($C337, ""\(([^)]+)\)""), 'Follow Set Macros'!B:D, 3, FALSE),
      ""{ "" &amp; REGEXEXTRACT($C337, ""\(([^)]+)\)"") &amp; "" }""
    )
  )
)
"),"#REF!")</f>
        <v>#REF!</v>
      </c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</row>
    <row r="338">
      <c r="A338" s="661">
        <f t="shared" si="1"/>
        <v>338</v>
      </c>
      <c r="B338" s="662" t="str">
        <f t="shared" si="2"/>
        <v>#REF!</v>
      </c>
      <c r="C338" s="662" t="str">
        <f>IFERROR(__xludf.DUMMYFUNCTION("IF(
  REGEXMATCH(B338, ""^First\(λ - λ\) ∪ Follow\(""),
  ""Follow("" &amp; REGEXEXTRACT(B338, ""Follow\(([^)]+)\)"") &amp; "") ="",
  IF(
    OR(
      REGEXMATCH(B338, ""^First\([^&lt;]""),
      REGEXMATCH(B338, ""^First\(&lt;[^A-Za-z_]"")
    ),
    """",
    IF(
 "&amp;"     CFG!D338=""λ"",
      ""Follow("" &amp; CFG!B338 &amp; "") ="",
      ""First("" &amp; CFG!D338 &amp; "") =""
    )
  )
)
"),"#REF!")</f>
        <v>#REF!</v>
      </c>
      <c r="D338" s="663" t="str">
        <f>IFERROR(__xludf.DUMMYFUNCTION("IF(
  $C338="""",
  ""{ "" &amp;
    IF(
      REGEXMATCH(B338, ""^First\(\)""),
      "")"",
      REGEXEXTRACT(B338, ""^First\(([^ )]+)"")
    )
  &amp; "" }"",
  IF(
    REGEXMATCH($C338, ""^First\(&lt;""),
    VLOOKUP(REGEXEXTRACT($C338, ""\(([^)]+)\)""), 'First"&amp;" Set MacroA'!B:D, 3, FALSE),
    IF(
      REGEXMATCH($C338, ""^Follow\(&lt;""),
      VLOOKUP(REGEXEXTRACT($C338, ""\(([^)]+)\)""), 'Follow Set Macros'!B:D, 3, FALSE),
      ""{ "" &amp; REGEXEXTRACT($C338, ""\(([^)]+)\)"") &amp; "" }""
    )
  )
)
"),"#REF!")</f>
        <v>#REF!</v>
      </c>
      <c r="E338" s="664"/>
      <c r="F338" s="664"/>
      <c r="G338" s="664"/>
      <c r="H338" s="664"/>
      <c r="I338" s="664"/>
      <c r="J338" s="664"/>
      <c r="K338" s="664"/>
      <c r="L338" s="664"/>
      <c r="M338" s="664"/>
      <c r="N338" s="664"/>
      <c r="O338" s="664"/>
      <c r="P338" s="664"/>
      <c r="Q338" s="664"/>
      <c r="R338" s="664"/>
      <c r="S338" s="664"/>
      <c r="T338" s="664"/>
      <c r="U338" s="664"/>
      <c r="V338" s="664"/>
      <c r="W338" s="664"/>
      <c r="X338" s="664"/>
    </row>
    <row r="339">
      <c r="A339" s="661">
        <f t="shared" si="1"/>
        <v>339</v>
      </c>
      <c r="B339" s="662" t="str">
        <f t="shared" si="2"/>
        <v>#REF!</v>
      </c>
      <c r="C339" s="662" t="str">
        <f>IFERROR(__xludf.DUMMYFUNCTION("IF(
  REGEXMATCH(B339, ""^First\(λ - λ\) ∪ Follow\(""),
  ""Follow("" &amp; REGEXEXTRACT(B339, ""Follow\(([^)]+)\)"") &amp; "") ="",
  IF(
    OR(
      REGEXMATCH(B339, ""^First\([^&lt;]""),
      REGEXMATCH(B339, ""^First\(&lt;[^A-Za-z_]"")
    ),
    """",
    IF(
 "&amp;"     CFG!D339=""λ"",
      ""Follow("" &amp; CFG!B339 &amp; "") ="",
      ""First("" &amp; CFG!D339 &amp; "") =""
    )
  )
)
"),"#REF!")</f>
        <v>#REF!</v>
      </c>
      <c r="D339" s="663" t="str">
        <f>IFERROR(__xludf.DUMMYFUNCTION("IF(
  $C339="""",
  ""{ "" &amp;
    IF(
      REGEXMATCH(B339, ""^First\(\)""),
      "")"",
      REGEXEXTRACT(B339, ""^First\(([^ )]+)"")
    )
  &amp; "" }"",
  IF(
    REGEXMATCH($C339, ""^First\(&lt;""),
    VLOOKUP(REGEXEXTRACT($C339, ""\(([^)]+)\)""), 'First"&amp;" Set MacroA'!B:D, 3, FALSE),
    IF(
      REGEXMATCH($C339, ""^Follow\(&lt;""),
      VLOOKUP(REGEXEXTRACT($C339, ""\(([^)]+)\)""), 'Follow Set Macros'!B:D, 3, FALSE),
      ""{ "" &amp; REGEXEXTRACT($C339, ""\(([^)]+)\)"") &amp; "" }""
    )
  )
)
"),"#REF!")</f>
        <v>#REF!</v>
      </c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</row>
    <row r="340">
      <c r="A340" s="661">
        <f t="shared" si="1"/>
        <v>340</v>
      </c>
      <c r="B340" s="662" t="str">
        <f t="shared" si="2"/>
        <v>#REF!</v>
      </c>
      <c r="C340" s="662" t="str">
        <f>IFERROR(__xludf.DUMMYFUNCTION("IF(
  REGEXMATCH(B340, ""^First\(λ - λ\) ∪ Follow\(""),
  ""Follow("" &amp; REGEXEXTRACT(B340, ""Follow\(([^)]+)\)"") &amp; "") ="",
  IF(
    OR(
      REGEXMATCH(B340, ""^First\([^&lt;]""),
      REGEXMATCH(B340, ""^First\(&lt;[^A-Za-z_]"")
    ),
    """",
    IF(
 "&amp;"     CFG!D340=""λ"",
      ""Follow("" &amp; CFG!B340 &amp; "") ="",
      ""First("" &amp; CFG!D340 &amp; "") =""
    )
  )
)
"),"#REF!")</f>
        <v>#REF!</v>
      </c>
      <c r="D340" s="663" t="str">
        <f>IFERROR(__xludf.DUMMYFUNCTION("IF(
  $C340="""",
  ""{ "" &amp;
    IF(
      REGEXMATCH(B340, ""^First\(\)""),
      "")"",
      REGEXEXTRACT(B340, ""^First\(([^ )]+)"")
    )
  &amp; "" }"",
  IF(
    REGEXMATCH($C340, ""^First\(&lt;""),
    VLOOKUP(REGEXEXTRACT($C340, ""\(([^)]+)\)""), 'First"&amp;" Set MacroA'!B:D, 3, FALSE),
    IF(
      REGEXMATCH($C340, ""^Follow\(&lt;""),
      VLOOKUP(REGEXEXTRACT($C340, ""\(([^)]+)\)""), 'Follow Set Macros'!B:D, 3, FALSE),
      ""{ "" &amp; REGEXEXTRACT($C340, ""\(([^)]+)\)"") &amp; "" }""
    )
  )
)
"),"#REF!")</f>
        <v>#REF!</v>
      </c>
      <c r="E340" s="664"/>
      <c r="F340" s="664"/>
      <c r="G340" s="664"/>
      <c r="H340" s="664"/>
      <c r="I340" s="664"/>
      <c r="J340" s="664"/>
      <c r="K340" s="664"/>
      <c r="L340" s="664"/>
      <c r="M340" s="664"/>
      <c r="N340" s="664"/>
      <c r="O340" s="664"/>
      <c r="P340" s="664"/>
      <c r="Q340" s="664"/>
      <c r="R340" s="664"/>
      <c r="S340" s="664"/>
      <c r="T340" s="664"/>
      <c r="U340" s="664"/>
      <c r="V340" s="664"/>
      <c r="W340" s="664"/>
      <c r="X340" s="664"/>
    </row>
    <row r="341">
      <c r="A341" s="661">
        <f t="shared" si="1"/>
        <v>341</v>
      </c>
      <c r="B341" s="662" t="str">
        <f t="shared" si="2"/>
        <v>#REF!</v>
      </c>
      <c r="C341" s="662" t="str">
        <f>IFERROR(__xludf.DUMMYFUNCTION("IF(
  REGEXMATCH(B341, ""^First\(λ - λ\) ∪ Follow\(""),
  ""Follow("" &amp; REGEXEXTRACT(B341, ""Follow\(([^)]+)\)"") &amp; "") ="",
  IF(
    OR(
      REGEXMATCH(B341, ""^First\([^&lt;]""),
      REGEXMATCH(B341, ""^First\(&lt;[^A-Za-z_]"")
    ),
    """",
    IF(
 "&amp;"     CFG!D341=""λ"",
      ""Follow("" &amp; CFG!B341 &amp; "") ="",
      ""First("" &amp; CFG!D341 &amp; "") =""
    )
  )
)
"),"#REF!")</f>
        <v>#REF!</v>
      </c>
      <c r="D341" s="663" t="str">
        <f>IFERROR(__xludf.DUMMYFUNCTION("IF(
  $C341="""",
  ""{ "" &amp;
    IF(
      REGEXMATCH(B341, ""^First\(\)""),
      "")"",
      REGEXEXTRACT(B341, ""^First\(([^ )]+)"")
    )
  &amp; "" }"",
  IF(
    REGEXMATCH($C341, ""^First\(&lt;""),
    VLOOKUP(REGEXEXTRACT($C341, ""\(([^)]+)\)""), 'First"&amp;" Set MacroA'!B:D, 3, FALSE),
    IF(
      REGEXMATCH($C341, ""^Follow\(&lt;""),
      VLOOKUP(REGEXEXTRACT($C341, ""\(([^)]+)\)""), 'Follow Set Macros'!B:D, 3, FALSE),
      ""{ "" &amp; REGEXEXTRACT($C341, ""\(([^)]+)\)"") &amp; "" }""
    )
  )
)
"),"#REF!")</f>
        <v>#REF!</v>
      </c>
      <c r="E341" s="664"/>
      <c r="F341" s="664"/>
      <c r="G341" s="664"/>
      <c r="H341" s="664"/>
      <c r="I341" s="664"/>
      <c r="J341" s="664"/>
      <c r="K341" s="664"/>
      <c r="L341" s="664"/>
      <c r="M341" s="664"/>
      <c r="N341" s="664"/>
      <c r="O341" s="664"/>
      <c r="P341" s="664"/>
      <c r="Q341" s="664"/>
      <c r="R341" s="664"/>
      <c r="S341" s="664"/>
      <c r="T341" s="664"/>
      <c r="U341" s="664"/>
      <c r="V341" s="664"/>
      <c r="W341" s="664"/>
      <c r="X341" s="664"/>
    </row>
    <row r="342">
      <c r="A342" s="661">
        <f t="shared" si="1"/>
        <v>342</v>
      </c>
      <c r="B342" s="662" t="str">
        <f t="shared" si="2"/>
        <v>#REF!</v>
      </c>
      <c r="C342" s="662" t="str">
        <f>IFERROR(__xludf.DUMMYFUNCTION("IF(
  REGEXMATCH(B342, ""^First\(λ - λ\) ∪ Follow\(""),
  ""Follow("" &amp; REGEXEXTRACT(B342, ""Follow\(([^)]+)\)"") &amp; "") ="",
  IF(
    OR(
      REGEXMATCH(B342, ""^First\([^&lt;]""),
      REGEXMATCH(B342, ""^First\(&lt;[^A-Za-z_]"")
    ),
    """",
    IF(
 "&amp;"     CFG!D342=""λ"",
      ""Follow("" &amp; CFG!B342 &amp; "") ="",
      ""First("" &amp; CFG!D342 &amp; "") =""
    )
  )
)
"),"#REF!")</f>
        <v>#REF!</v>
      </c>
      <c r="D342" s="663" t="str">
        <f>IFERROR(__xludf.DUMMYFUNCTION("IF(
  $C342="""",
  ""{ "" &amp;
    IF(
      REGEXMATCH(B342, ""^First\(\)""),
      "")"",
      REGEXEXTRACT(B342, ""^First\(([^ )]+)"")
    )
  &amp; "" }"",
  IF(
    REGEXMATCH($C342, ""^First\(&lt;""),
    VLOOKUP(REGEXEXTRACT($C342, ""\(([^)]+)\)""), 'First"&amp;" Set MacroA'!B:D, 3, FALSE),
    IF(
      REGEXMATCH($C342, ""^Follow\(&lt;""),
      VLOOKUP(REGEXEXTRACT($C342, ""\(([^)]+)\)""), 'Follow Set Macros'!B:D, 3, FALSE),
      ""{ "" &amp; REGEXEXTRACT($C342, ""\(([^)]+)\)"") &amp; "" }""
    )
  )
)
"),"#REF!")</f>
        <v>#REF!</v>
      </c>
      <c r="E342" s="664"/>
      <c r="F342" s="664"/>
      <c r="G342" s="664"/>
      <c r="H342" s="664"/>
      <c r="I342" s="664"/>
      <c r="J342" s="664"/>
      <c r="K342" s="664"/>
      <c r="L342" s="664"/>
      <c r="M342" s="664"/>
      <c r="N342" s="664"/>
      <c r="O342" s="664"/>
      <c r="P342" s="664"/>
      <c r="Q342" s="664"/>
      <c r="R342" s="664"/>
      <c r="S342" s="664"/>
      <c r="T342" s="664"/>
      <c r="U342" s="664"/>
      <c r="V342" s="664"/>
      <c r="W342" s="664"/>
      <c r="X342" s="664"/>
    </row>
    <row r="343">
      <c r="A343" s="661">
        <f t="shared" si="1"/>
        <v>343</v>
      </c>
      <c r="B343" s="662" t="str">
        <f t="shared" si="2"/>
        <v>#REF!</v>
      </c>
      <c r="C343" s="662" t="str">
        <f>IFERROR(__xludf.DUMMYFUNCTION("IF(
  REGEXMATCH(B343, ""^First\(λ - λ\) ∪ Follow\(""),
  ""Follow("" &amp; REGEXEXTRACT(B343, ""Follow\(([^)]+)\)"") &amp; "") ="",
  IF(
    OR(
      REGEXMATCH(B343, ""^First\([^&lt;]""),
      REGEXMATCH(B343, ""^First\(&lt;[^A-Za-z_]"")
    ),
    """",
    IF(
 "&amp;"     CFG!D343=""λ"",
      ""Follow("" &amp; CFG!B343 &amp; "") ="",
      ""First("" &amp; CFG!D343 &amp; "") =""
    )
  )
)
"),"#REF!")</f>
        <v>#REF!</v>
      </c>
      <c r="D343" s="663" t="str">
        <f>IFERROR(__xludf.DUMMYFUNCTION("IF(
  $C343="""",
  ""{ "" &amp;
    IF(
      REGEXMATCH(B343, ""^First\(\)""),
      "")"",
      REGEXEXTRACT(B343, ""^First\(([^ )]+)"")
    )
  &amp; "" }"",
  IF(
    REGEXMATCH($C343, ""^First\(&lt;""),
    VLOOKUP(REGEXEXTRACT($C343, ""\(([^)]+)\)""), 'First"&amp;" Set MacroA'!B:D, 3, FALSE),
    IF(
      REGEXMATCH($C343, ""^Follow\(&lt;""),
      VLOOKUP(REGEXEXTRACT($C343, ""\(([^)]+)\)""), 'Follow Set Macros'!B:D, 3, FALSE),
      ""{ "" &amp; REGEXEXTRACT($C343, ""\(([^)]+)\)"") &amp; "" }""
    )
  )
)
"),"#REF!")</f>
        <v>#REF!</v>
      </c>
      <c r="E343" s="664"/>
      <c r="F343" s="664"/>
      <c r="G343" s="664"/>
      <c r="H343" s="664"/>
      <c r="I343" s="664"/>
      <c r="J343" s="664"/>
      <c r="K343" s="664"/>
      <c r="L343" s="664"/>
      <c r="M343" s="664"/>
      <c r="N343" s="664"/>
      <c r="O343" s="664"/>
      <c r="P343" s="664"/>
      <c r="Q343" s="664"/>
      <c r="R343" s="664"/>
      <c r="S343" s="664"/>
      <c r="T343" s="664"/>
      <c r="U343" s="664"/>
      <c r="V343" s="664"/>
      <c r="W343" s="664"/>
      <c r="X343" s="664"/>
    </row>
    <row r="344">
      <c r="A344" s="661">
        <f t="shared" si="1"/>
        <v>344</v>
      </c>
      <c r="B344" s="662" t="str">
        <f t="shared" si="2"/>
        <v>#REF!</v>
      </c>
      <c r="C344" s="662" t="str">
        <f>IFERROR(__xludf.DUMMYFUNCTION("IF(
  REGEXMATCH(B344, ""^First\(λ - λ\) ∪ Follow\(""),
  ""Follow("" &amp; REGEXEXTRACT(B344, ""Follow\(([^)]+)\)"") &amp; "") ="",
  IF(
    OR(
      REGEXMATCH(B344, ""^First\([^&lt;]""),
      REGEXMATCH(B344, ""^First\(&lt;[^A-Za-z_]"")
    ),
    """",
    IF(
 "&amp;"     CFG!D344=""λ"",
      ""Follow("" &amp; CFG!B344 &amp; "") ="",
      ""First("" &amp; CFG!D344 &amp; "") =""
    )
  )
)
"),"#REF!")</f>
        <v>#REF!</v>
      </c>
      <c r="D344" s="663" t="str">
        <f>IFERROR(__xludf.DUMMYFUNCTION("IF(
  $C344="""",
  ""{ "" &amp;
    IF(
      REGEXMATCH(B344, ""^First\(\)""),
      "")"",
      REGEXEXTRACT(B344, ""^First\(([^ )]+)"")
    )
  &amp; "" }"",
  IF(
    REGEXMATCH($C344, ""^First\(&lt;""),
    VLOOKUP(REGEXEXTRACT($C344, ""\(([^)]+)\)""), 'First"&amp;" Set MacroA'!B:D, 3, FALSE),
    IF(
      REGEXMATCH($C344, ""^Follow\(&lt;""),
      VLOOKUP(REGEXEXTRACT($C344, ""\(([^)]+)\)""), 'Follow Set Macros'!B:D, 3, FALSE),
      ""{ "" &amp; REGEXEXTRACT($C344, ""\(([^)]+)\)"") &amp; "" }""
    )
  )
)
"),"#REF!")</f>
        <v>#REF!</v>
      </c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</row>
    <row r="345">
      <c r="A345" s="661">
        <f t="shared" si="1"/>
        <v>345</v>
      </c>
      <c r="B345" s="662" t="str">
        <f t="shared" si="2"/>
        <v>#REF!</v>
      </c>
      <c r="C345" s="662" t="str">
        <f>IFERROR(__xludf.DUMMYFUNCTION("IF(
  REGEXMATCH(B345, ""^First\(λ - λ\) ∪ Follow\(""),
  ""Follow("" &amp; REGEXEXTRACT(B345, ""Follow\(([^)]+)\)"") &amp; "") ="",
  IF(
    OR(
      REGEXMATCH(B345, ""^First\([^&lt;]""),
      REGEXMATCH(B345, ""^First\(&lt;[^A-Za-z_]"")
    ),
    """",
    IF(
 "&amp;"     CFG!D345=""λ"",
      ""Follow("" &amp; CFG!B345 &amp; "") ="",
      ""First("" &amp; CFG!D345 &amp; "") =""
    )
  )
)
"),"#REF!")</f>
        <v>#REF!</v>
      </c>
      <c r="D345" s="663" t="str">
        <f>IFERROR(__xludf.DUMMYFUNCTION("IF(
  $C345="""",
  ""{ "" &amp;
    IF(
      REGEXMATCH(B345, ""^First\(\)""),
      "")"",
      REGEXEXTRACT(B345, ""^First\(([^ )]+)"")
    )
  &amp; "" }"",
  IF(
    REGEXMATCH($C345, ""^First\(&lt;""),
    VLOOKUP(REGEXEXTRACT($C345, ""\(([^)]+)\)""), 'First"&amp;" Set MacroA'!B:D, 3, FALSE),
    IF(
      REGEXMATCH($C345, ""^Follow\(&lt;""),
      VLOOKUP(REGEXEXTRACT($C345, ""\(([^)]+)\)""), 'Follow Set Macros'!B:D, 3, FALSE),
      ""{ "" &amp; REGEXEXTRACT($C345, ""\(([^)]+)\)"") &amp; "" }""
    )
  )
)
"),"#REF!")</f>
        <v>#REF!</v>
      </c>
      <c r="E345" s="664"/>
      <c r="F345" s="664"/>
      <c r="G345" s="664"/>
      <c r="H345" s="664"/>
      <c r="I345" s="664"/>
      <c r="J345" s="664"/>
      <c r="K345" s="664"/>
      <c r="L345" s="664"/>
      <c r="M345" s="664"/>
      <c r="N345" s="664"/>
      <c r="O345" s="664"/>
      <c r="P345" s="664"/>
      <c r="Q345" s="664"/>
      <c r="R345" s="664"/>
      <c r="S345" s="664"/>
      <c r="T345" s="664"/>
      <c r="U345" s="664"/>
      <c r="V345" s="664"/>
      <c r="W345" s="664"/>
      <c r="X345" s="664"/>
    </row>
    <row r="346">
      <c r="A346" s="661">
        <f t="shared" si="1"/>
        <v>346</v>
      </c>
      <c r="B346" s="662" t="str">
        <f t="shared" si="2"/>
        <v>#REF!</v>
      </c>
      <c r="C346" s="662" t="str">
        <f>IFERROR(__xludf.DUMMYFUNCTION("IF(
  REGEXMATCH(B346, ""^First\(λ - λ\) ∪ Follow\(""),
  ""Follow("" &amp; REGEXEXTRACT(B346, ""Follow\(([^)]+)\)"") &amp; "") ="",
  IF(
    OR(
      REGEXMATCH(B346, ""^First\([^&lt;]""),
      REGEXMATCH(B346, ""^First\(&lt;[^A-Za-z_]"")
    ),
    """",
    IF(
 "&amp;"     CFG!D346=""λ"",
      ""Follow("" &amp; CFG!B346 &amp; "") ="",
      ""First("" &amp; CFG!D346 &amp; "") =""
    )
  )
)
"),"#REF!")</f>
        <v>#REF!</v>
      </c>
      <c r="D346" s="663" t="str">
        <f>IFERROR(__xludf.DUMMYFUNCTION("IF(
  $C346="""",
  ""{ "" &amp;
    IF(
      REGEXMATCH(B346, ""^First\(\)""),
      "")"",
      REGEXEXTRACT(B346, ""^First\(([^ )]+)"")
    )
  &amp; "" }"",
  IF(
    REGEXMATCH($C346, ""^First\(&lt;""),
    VLOOKUP(REGEXEXTRACT($C346, ""\(([^)]+)\)""), 'First"&amp;" Set MacroA'!B:D, 3, FALSE),
    IF(
      REGEXMATCH($C346, ""^Follow\(&lt;""),
      VLOOKUP(REGEXEXTRACT($C346, ""\(([^)]+)\)""), 'Follow Set Macros'!B:D, 3, FALSE),
      ""{ "" &amp; REGEXEXTRACT($C346, ""\(([^)]+)\)"") &amp; "" }""
    )
  )
)
"),"#REF!")</f>
        <v>#REF!</v>
      </c>
      <c r="E346" s="664"/>
      <c r="F346" s="664"/>
      <c r="G346" s="664"/>
      <c r="H346" s="664"/>
      <c r="I346" s="664"/>
      <c r="J346" s="664"/>
      <c r="K346" s="664"/>
      <c r="L346" s="664"/>
      <c r="M346" s="664"/>
      <c r="N346" s="664"/>
      <c r="O346" s="664"/>
      <c r="P346" s="664"/>
      <c r="Q346" s="664"/>
      <c r="R346" s="664"/>
      <c r="S346" s="664"/>
      <c r="T346" s="664"/>
      <c r="U346" s="664"/>
      <c r="V346" s="664"/>
      <c r="W346" s="664"/>
      <c r="X346" s="664"/>
    </row>
    <row r="347">
      <c r="A347" s="661">
        <f t="shared" si="1"/>
        <v>347</v>
      </c>
      <c r="B347" s="662" t="str">
        <f t="shared" si="2"/>
        <v>#REF!</v>
      </c>
      <c r="C347" s="662" t="str">
        <f>IFERROR(__xludf.DUMMYFUNCTION("IF(
  REGEXMATCH(B347, ""^First\(λ - λ\) ∪ Follow\(""),
  ""Follow("" &amp; REGEXEXTRACT(B347, ""Follow\(([^)]+)\)"") &amp; "") ="",
  IF(
    OR(
      REGEXMATCH(B347, ""^First\([^&lt;]""),
      REGEXMATCH(B347, ""^First\(&lt;[^A-Za-z_]"")
    ),
    """",
    IF(
 "&amp;"     CFG!D347=""λ"",
      ""Follow("" &amp; CFG!B347 &amp; "") ="",
      ""First("" &amp; CFG!D347 &amp; "") =""
    )
  )
)
"),"#REF!")</f>
        <v>#REF!</v>
      </c>
      <c r="D347" s="663" t="str">
        <f>IFERROR(__xludf.DUMMYFUNCTION("IF(
  $C347="""",
  ""{ "" &amp;
    IF(
      REGEXMATCH(B347, ""^First\(\)""),
      "")"",
      REGEXEXTRACT(B347, ""^First\(([^ )]+)"")
    )
  &amp; "" }"",
  IF(
    REGEXMATCH($C347, ""^First\(&lt;""),
    VLOOKUP(REGEXEXTRACT($C347, ""\(([^)]+)\)""), 'First"&amp;" Set MacroA'!B:D, 3, FALSE),
    IF(
      REGEXMATCH($C347, ""^Follow\(&lt;""),
      VLOOKUP(REGEXEXTRACT($C347, ""\(([^)]+)\)""), 'Follow Set Macros'!B:D, 3, FALSE),
      ""{ "" &amp; REGEXEXTRACT($C347, ""\(([^)]+)\)"") &amp; "" }""
    )
  )
)
"),"#REF!")</f>
        <v>#REF!</v>
      </c>
      <c r="E347" s="664"/>
      <c r="F347" s="664"/>
      <c r="G347" s="664"/>
      <c r="H347" s="664"/>
      <c r="I347" s="664"/>
      <c r="J347" s="664"/>
      <c r="K347" s="664"/>
      <c r="L347" s="664"/>
      <c r="M347" s="664"/>
      <c r="N347" s="664"/>
      <c r="O347" s="664"/>
      <c r="P347" s="664"/>
      <c r="Q347" s="664"/>
      <c r="R347" s="664"/>
      <c r="S347" s="664"/>
      <c r="T347" s="664"/>
      <c r="U347" s="664"/>
      <c r="V347" s="664"/>
      <c r="W347" s="664"/>
      <c r="X347" s="664"/>
    </row>
    <row r="348">
      <c r="A348" s="661">
        <f t="shared" si="1"/>
        <v>348</v>
      </c>
      <c r="B348" s="662" t="str">
        <f t="shared" si="2"/>
        <v>#REF!</v>
      </c>
      <c r="C348" s="662" t="str">
        <f>IFERROR(__xludf.DUMMYFUNCTION("IF(
  REGEXMATCH(B348, ""^First\(λ - λ\) ∪ Follow\(""),
  ""Follow("" &amp; REGEXEXTRACT(B348, ""Follow\(([^)]+)\)"") &amp; "") ="",
  IF(
    OR(
      REGEXMATCH(B348, ""^First\([^&lt;]""),
      REGEXMATCH(B348, ""^First\(&lt;[^A-Za-z_]"")
    ),
    """",
    IF(
 "&amp;"     CFG!D348=""λ"",
      ""Follow("" &amp; CFG!B348 &amp; "") ="",
      ""First("" &amp; CFG!D348 &amp; "") =""
    )
  )
)
"),"#REF!")</f>
        <v>#REF!</v>
      </c>
      <c r="D348" s="663" t="str">
        <f>IFERROR(__xludf.DUMMYFUNCTION("IF(
  $C348="""",
  ""{ "" &amp;
    IF(
      REGEXMATCH(B348, ""^First\(\)""),
      "")"",
      REGEXEXTRACT(B348, ""^First\(([^ )]+)"")
    )
  &amp; "" }"",
  IF(
    REGEXMATCH($C348, ""^First\(&lt;""),
    VLOOKUP(REGEXEXTRACT($C348, ""\(([^)]+)\)""), 'First"&amp;" Set MacroA'!B:D, 3, FALSE),
    IF(
      REGEXMATCH($C348, ""^Follow\(&lt;""),
      VLOOKUP(REGEXEXTRACT($C348, ""\(([^)]+)\)""), 'Follow Set Macros'!B:D, 3, FALSE),
      ""{ "" &amp; REGEXEXTRACT($C348, ""\(([^)]+)\)"") &amp; "" }""
    )
  )
)
"),"#REF!")</f>
        <v>#REF!</v>
      </c>
      <c r="E348" s="664"/>
      <c r="F348" s="664"/>
      <c r="G348" s="664"/>
      <c r="H348" s="664"/>
      <c r="I348" s="664"/>
      <c r="J348" s="664"/>
      <c r="K348" s="664"/>
      <c r="L348" s="664"/>
      <c r="M348" s="664"/>
      <c r="N348" s="664"/>
      <c r="O348" s="664"/>
      <c r="P348" s="664"/>
      <c r="Q348" s="664"/>
      <c r="R348" s="664"/>
      <c r="S348" s="664"/>
      <c r="T348" s="664"/>
      <c r="U348" s="664"/>
      <c r="V348" s="664"/>
      <c r="W348" s="664"/>
      <c r="X348" s="664"/>
    </row>
    <row r="349">
      <c r="A349" s="661">
        <f t="shared" si="1"/>
        <v>349</v>
      </c>
      <c r="B349" s="662" t="str">
        <f t="shared" si="2"/>
        <v>#REF!</v>
      </c>
      <c r="C349" s="662" t="str">
        <f>IFERROR(__xludf.DUMMYFUNCTION("IF(
  REGEXMATCH(B349, ""^First\(λ - λ\) ∪ Follow\(""),
  ""Follow("" &amp; REGEXEXTRACT(B349, ""Follow\(([^)]+)\)"") &amp; "") ="",
  IF(
    OR(
      REGEXMATCH(B349, ""^First\([^&lt;]""),
      REGEXMATCH(B349, ""^First\(&lt;[^A-Za-z_]"")
    ),
    """",
    IF(
 "&amp;"     CFG!D349=""λ"",
      ""Follow("" &amp; CFG!B349 &amp; "") ="",
      ""First("" &amp; CFG!D349 &amp; "") =""
    )
  )
)
"),"#REF!")</f>
        <v>#REF!</v>
      </c>
      <c r="D349" s="663" t="str">
        <f>IFERROR(__xludf.DUMMYFUNCTION("IF(
  $C349="""",
  ""{ "" &amp;
    IF(
      REGEXMATCH(B349, ""^First\(\)""),
      "")"",
      REGEXEXTRACT(B349, ""^First\(([^ )]+)"")
    )
  &amp; "" }"",
  IF(
    REGEXMATCH($C349, ""^First\(&lt;""),
    VLOOKUP(REGEXEXTRACT($C349, ""\(([^)]+)\)""), 'First"&amp;" Set MacroA'!B:D, 3, FALSE),
    IF(
      REGEXMATCH($C349, ""^Follow\(&lt;""),
      VLOOKUP(REGEXEXTRACT($C349, ""\(([^)]+)\)""), 'Follow Set Macros'!B:D, 3, FALSE),
      ""{ "" &amp; REGEXEXTRACT($C349, ""\(([^)]+)\)"") &amp; "" }""
    )
  )
)
"),"#REF!")</f>
        <v>#REF!</v>
      </c>
      <c r="E349" s="664"/>
      <c r="F349" s="664"/>
      <c r="G349" s="664"/>
      <c r="H349" s="664"/>
      <c r="I349" s="664"/>
      <c r="J349" s="664"/>
      <c r="K349" s="664"/>
      <c r="L349" s="664"/>
      <c r="M349" s="664"/>
      <c r="N349" s="664"/>
      <c r="O349" s="664"/>
      <c r="P349" s="664"/>
      <c r="Q349" s="664"/>
      <c r="R349" s="664"/>
      <c r="S349" s="664"/>
      <c r="T349" s="664"/>
      <c r="U349" s="664"/>
      <c r="V349" s="664"/>
      <c r="W349" s="664"/>
      <c r="X349" s="664"/>
    </row>
    <row r="350">
      <c r="A350" s="661">
        <f t="shared" si="1"/>
        <v>350</v>
      </c>
      <c r="B350" s="662" t="str">
        <f t="shared" si="2"/>
        <v>#REF!</v>
      </c>
      <c r="C350" s="662" t="str">
        <f>IFERROR(__xludf.DUMMYFUNCTION("IF(
  REGEXMATCH(B350, ""^First\(λ - λ\) ∪ Follow\(""),
  ""Follow("" &amp; REGEXEXTRACT(B350, ""Follow\(([^)]+)\)"") &amp; "") ="",
  IF(
    OR(
      REGEXMATCH(B350, ""^First\([^&lt;]""),
      REGEXMATCH(B350, ""^First\(&lt;[^A-Za-z_]"")
    ),
    """",
    IF(
 "&amp;"     CFG!D350=""λ"",
      ""Follow("" &amp; CFG!B350 &amp; "") ="",
      ""First("" &amp; CFG!D350 &amp; "") =""
    )
  )
)
"),"#REF!")</f>
        <v>#REF!</v>
      </c>
      <c r="D350" s="663" t="str">
        <f>IFERROR(__xludf.DUMMYFUNCTION("IF(
  $C350="""",
  ""{ "" &amp;
    IF(
      REGEXMATCH(B350, ""^First\(\)""),
      "")"",
      REGEXEXTRACT(B350, ""^First\(([^ )]+)"")
    )
  &amp; "" }"",
  IF(
    REGEXMATCH($C350, ""^First\(&lt;""),
    VLOOKUP(REGEXEXTRACT($C350, ""\(([^)]+)\)""), 'First"&amp;" Set MacroA'!B:D, 3, FALSE),
    IF(
      REGEXMATCH($C350, ""^Follow\(&lt;""),
      VLOOKUP(REGEXEXTRACT($C350, ""\(([^)]+)\)""), 'Follow Set Macros'!B:D, 3, FALSE),
      ""{ "" &amp; REGEXEXTRACT($C350, ""\(([^)]+)\)"") &amp; "" }""
    )
  )
)
"),"#REF!")</f>
        <v>#REF!</v>
      </c>
      <c r="E350" s="664"/>
      <c r="F350" s="664"/>
      <c r="G350" s="664"/>
      <c r="H350" s="664"/>
      <c r="I350" s="664"/>
      <c r="J350" s="664"/>
      <c r="K350" s="664"/>
      <c r="L350" s="664"/>
      <c r="M350" s="664"/>
      <c r="N350" s="664"/>
      <c r="O350" s="664"/>
      <c r="P350" s="664"/>
      <c r="Q350" s="664"/>
      <c r="R350" s="664"/>
      <c r="S350" s="664"/>
      <c r="T350" s="664"/>
      <c r="U350" s="664"/>
      <c r="V350" s="664"/>
      <c r="W350" s="664"/>
      <c r="X350" s="664"/>
    </row>
    <row r="351">
      <c r="A351" s="661">
        <f t="shared" si="1"/>
        <v>351</v>
      </c>
      <c r="B351" s="662" t="str">
        <f t="shared" si="2"/>
        <v>#REF!</v>
      </c>
      <c r="C351" s="662" t="str">
        <f>IFERROR(__xludf.DUMMYFUNCTION("IF(
  REGEXMATCH(B351, ""^First\(λ - λ\) ∪ Follow\(""),
  ""Follow("" &amp; REGEXEXTRACT(B351, ""Follow\(([^)]+)\)"") &amp; "") ="",
  IF(
    OR(
      REGEXMATCH(B351, ""^First\([^&lt;]""),
      REGEXMATCH(B351, ""^First\(&lt;[^A-Za-z_]"")
    ),
    """",
    IF(
 "&amp;"     CFG!D351=""λ"",
      ""Follow("" &amp; CFG!B351 &amp; "") ="",
      ""First("" &amp; CFG!D351 &amp; "") =""
    )
  )
)
"),"#REF!")</f>
        <v>#REF!</v>
      </c>
      <c r="D351" s="663" t="str">
        <f>IFERROR(__xludf.DUMMYFUNCTION("IF(
  $C351="""",
  ""{ "" &amp;
    IF(
      REGEXMATCH(B351, ""^First\(\)""),
      "")"",
      REGEXEXTRACT(B351, ""^First\(([^ )]+)"")
    )
  &amp; "" }"",
  IF(
    REGEXMATCH($C351, ""^First\(&lt;""),
    VLOOKUP(REGEXEXTRACT($C351, ""\(([^)]+)\)""), 'First"&amp;" Set MacroA'!B:D, 3, FALSE),
    IF(
      REGEXMATCH($C351, ""^Follow\(&lt;""),
      VLOOKUP(REGEXEXTRACT($C351, ""\(([^)]+)\)""), 'Follow Set Macros'!B:D, 3, FALSE),
      ""{ "" &amp; REGEXEXTRACT($C351, ""\(([^)]+)\)"") &amp; "" }""
    )
  )
)
"),"#REF!")</f>
        <v>#REF!</v>
      </c>
      <c r="E351" s="664"/>
      <c r="F351" s="664"/>
      <c r="G351" s="664"/>
      <c r="H351" s="664"/>
      <c r="I351" s="664"/>
      <c r="J351" s="664"/>
      <c r="K351" s="664"/>
      <c r="L351" s="664"/>
      <c r="M351" s="664"/>
      <c r="N351" s="664"/>
      <c r="O351" s="664"/>
      <c r="P351" s="664"/>
      <c r="Q351" s="664"/>
      <c r="R351" s="664"/>
      <c r="S351" s="664"/>
      <c r="T351" s="664"/>
      <c r="U351" s="664"/>
      <c r="V351" s="664"/>
      <c r="W351" s="664"/>
      <c r="X351" s="664"/>
    </row>
    <row r="352">
      <c r="A352" s="661">
        <f t="shared" si="1"/>
        <v>352</v>
      </c>
      <c r="B352" s="662" t="str">
        <f t="shared" si="2"/>
        <v>#REF!</v>
      </c>
      <c r="C352" s="662" t="str">
        <f>IFERROR(__xludf.DUMMYFUNCTION("IF(
  REGEXMATCH(B352, ""^First\(λ - λ\) ∪ Follow\(""),
  ""Follow("" &amp; REGEXEXTRACT(B352, ""Follow\(([^)]+)\)"") &amp; "") ="",
  IF(
    OR(
      REGEXMATCH(B352, ""^First\([^&lt;]""),
      REGEXMATCH(B352, ""^First\(&lt;[^A-Za-z_]"")
    ),
    """",
    IF(
 "&amp;"     CFG!D352=""λ"",
      ""Follow("" &amp; CFG!B352 &amp; "") ="",
      ""First("" &amp; CFG!D352 &amp; "") =""
    )
  )
)
"),"#REF!")</f>
        <v>#REF!</v>
      </c>
      <c r="D352" s="663" t="str">
        <f>IFERROR(__xludf.DUMMYFUNCTION("IF(
  $C352="""",
  ""{ "" &amp;
    IF(
      REGEXMATCH(B352, ""^First\(\)""),
      "")"",
      REGEXEXTRACT(B352, ""^First\(([^ )]+)"")
    )
  &amp; "" }"",
  IF(
    REGEXMATCH($C352, ""^First\(&lt;""),
    VLOOKUP(REGEXEXTRACT($C352, ""\(([^)]+)\)""), 'First"&amp;" Set MacroA'!B:D, 3, FALSE),
    IF(
      REGEXMATCH($C352, ""^Follow\(&lt;""),
      VLOOKUP(REGEXEXTRACT($C352, ""\(([^)]+)\)""), 'Follow Set Macros'!B:D, 3, FALSE),
      ""{ "" &amp; REGEXEXTRACT($C352, ""\(([^)]+)\)"") &amp; "" }""
    )
  )
)
"),"#REF!")</f>
        <v>#REF!</v>
      </c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</row>
    <row r="353">
      <c r="A353" s="661">
        <f t="shared" si="1"/>
        <v>353</v>
      </c>
      <c r="B353" s="662" t="str">
        <f t="shared" si="2"/>
        <v>#REF!</v>
      </c>
      <c r="C353" s="662" t="str">
        <f>IFERROR(__xludf.DUMMYFUNCTION("IF(
  REGEXMATCH(B353, ""^First\(λ - λ\) ∪ Follow\(""),
  ""Follow("" &amp; REGEXEXTRACT(B353, ""Follow\(([^)]+)\)"") &amp; "") ="",
  IF(
    OR(
      REGEXMATCH(B353, ""^First\([^&lt;]""),
      REGEXMATCH(B353, ""^First\(&lt;[^A-Za-z_]"")
    ),
    """",
    IF(
 "&amp;"     CFG!D353=""λ"",
      ""Follow("" &amp; CFG!B353 &amp; "") ="",
      ""First("" &amp; CFG!D353 &amp; "") =""
    )
  )
)
"),"#REF!")</f>
        <v>#REF!</v>
      </c>
      <c r="D353" s="663" t="str">
        <f>IFERROR(__xludf.DUMMYFUNCTION("IF(
  $C353="""",
  ""{ "" &amp;
    IF(
      REGEXMATCH(B353, ""^First\(\)""),
      "")"",
      REGEXEXTRACT(B353, ""^First\(([^ )]+)"")
    )
  &amp; "" }"",
  IF(
    REGEXMATCH($C353, ""^First\(&lt;""),
    VLOOKUP(REGEXEXTRACT($C353, ""\(([^)]+)\)""), 'First"&amp;" Set MacroA'!B:D, 3, FALSE),
    IF(
      REGEXMATCH($C353, ""^Follow\(&lt;""),
      VLOOKUP(REGEXEXTRACT($C353, ""\(([^)]+)\)""), 'Follow Set Macros'!B:D, 3, FALSE),
      ""{ "" &amp; REGEXEXTRACT($C353, ""\(([^)]+)\)"") &amp; "" }""
    )
  )
)
"),"#REF!")</f>
        <v>#REF!</v>
      </c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</row>
    <row r="354">
      <c r="A354" s="661">
        <f t="shared" si="1"/>
        <v>354</v>
      </c>
      <c r="B354" s="662" t="str">
        <f t="shared" si="2"/>
        <v>#REF!</v>
      </c>
      <c r="C354" s="662" t="str">
        <f>IFERROR(__xludf.DUMMYFUNCTION("IF(
  REGEXMATCH(B354, ""^First\(λ - λ\) ∪ Follow\(""),
  ""Follow("" &amp; REGEXEXTRACT(B354, ""Follow\(([^)]+)\)"") &amp; "") ="",
  IF(
    OR(
      REGEXMATCH(B354, ""^First\([^&lt;]""),
      REGEXMATCH(B354, ""^First\(&lt;[^A-Za-z_]"")
    ),
    """",
    IF(
 "&amp;"     CFG!D354=""λ"",
      ""Follow("" &amp; CFG!B354 &amp; "") ="",
      ""First("" &amp; CFG!D354 &amp; "") =""
    )
  )
)
"),"#REF!")</f>
        <v>#REF!</v>
      </c>
      <c r="D354" s="663" t="str">
        <f>IFERROR(__xludf.DUMMYFUNCTION("IF(
  $C354="""",
  ""{ "" &amp;
    IF(
      REGEXMATCH(B354, ""^First\(\)""),
      "")"",
      REGEXEXTRACT(B354, ""^First\(([^ )]+)"")
    )
  &amp; "" }"",
  IF(
    REGEXMATCH($C354, ""^First\(&lt;""),
    VLOOKUP(REGEXEXTRACT($C354, ""\(([^)]+)\)""), 'First"&amp;" Set MacroA'!B:D, 3, FALSE),
    IF(
      REGEXMATCH($C354, ""^Follow\(&lt;""),
      VLOOKUP(REGEXEXTRACT($C354, ""\(([^)]+)\)""), 'Follow Set Macros'!B:D, 3, FALSE),
      ""{ "" &amp; REGEXEXTRACT($C354, ""\(([^)]+)\)"") &amp; "" }""
    )
  )
)
"),"#REF!")</f>
        <v>#REF!</v>
      </c>
      <c r="E354" s="664"/>
      <c r="F354" s="664"/>
      <c r="G354" s="664"/>
      <c r="H354" s="664"/>
      <c r="I354" s="664"/>
      <c r="J354" s="664"/>
      <c r="K354" s="664"/>
      <c r="L354" s="664"/>
      <c r="M354" s="664"/>
      <c r="N354" s="664"/>
      <c r="O354" s="664"/>
      <c r="P354" s="664"/>
      <c r="Q354" s="664"/>
      <c r="R354" s="664"/>
      <c r="S354" s="664"/>
      <c r="T354" s="664"/>
      <c r="U354" s="664"/>
      <c r="V354" s="664"/>
      <c r="W354" s="664"/>
      <c r="X354" s="664"/>
    </row>
    <row r="355">
      <c r="A355" s="661">
        <f t="shared" si="1"/>
        <v>355</v>
      </c>
      <c r="B355" s="662" t="str">
        <f t="shared" si="2"/>
        <v>#REF!</v>
      </c>
      <c r="C355" s="662" t="str">
        <f>IFERROR(__xludf.DUMMYFUNCTION("IF(
  REGEXMATCH(B355, ""^First\(λ - λ\) ∪ Follow\(""),
  ""Follow("" &amp; REGEXEXTRACT(B355, ""Follow\(([^)]+)\)"") &amp; "") ="",
  IF(
    OR(
      REGEXMATCH(B355, ""^First\([^&lt;]""),
      REGEXMATCH(B355, ""^First\(&lt;[^A-Za-z_]"")
    ),
    """",
    IF(
 "&amp;"     CFG!D355=""λ"",
      ""Follow("" &amp; CFG!B355 &amp; "") ="",
      ""First("" &amp; CFG!D355 &amp; "") =""
    )
  )
)
"),"#REF!")</f>
        <v>#REF!</v>
      </c>
      <c r="D355" s="663" t="str">
        <f>IFERROR(__xludf.DUMMYFUNCTION("IF(
  $C355="""",
  ""{ "" &amp;
    IF(
      REGEXMATCH(B355, ""^First\(\)""),
      "")"",
      REGEXEXTRACT(B355, ""^First\(([^ )]+)"")
    )
  &amp; "" }"",
  IF(
    REGEXMATCH($C355, ""^First\(&lt;""),
    VLOOKUP(REGEXEXTRACT($C355, ""\(([^)]+)\)""), 'First"&amp;" Set MacroA'!B:D, 3, FALSE),
    IF(
      REGEXMATCH($C355, ""^Follow\(&lt;""),
      VLOOKUP(REGEXEXTRACT($C355, ""\(([^)]+)\)""), 'Follow Set Macros'!B:D, 3, FALSE),
      ""{ "" &amp; REGEXEXTRACT($C355, ""\(([^)]+)\)"") &amp; "" }""
    )
  )
)
"),"#REF!")</f>
        <v>#REF!</v>
      </c>
      <c r="E355" s="664"/>
      <c r="F355" s="664"/>
      <c r="G355" s="664"/>
      <c r="H355" s="664"/>
      <c r="I355" s="664"/>
      <c r="J355" s="664"/>
      <c r="K355" s="664"/>
      <c r="L355" s="664"/>
      <c r="M355" s="664"/>
      <c r="N355" s="664"/>
      <c r="O355" s="664"/>
      <c r="P355" s="664"/>
      <c r="Q355" s="664"/>
      <c r="R355" s="664"/>
      <c r="S355" s="664"/>
      <c r="T355" s="664"/>
      <c r="U355" s="664"/>
      <c r="V355" s="664"/>
      <c r="W355" s="664"/>
      <c r="X355" s="664"/>
    </row>
    <row r="356">
      <c r="A356" s="661">
        <f t="shared" si="1"/>
        <v>356</v>
      </c>
      <c r="B356" s="662" t="str">
        <f t="shared" si="2"/>
        <v>#REF!</v>
      </c>
      <c r="C356" s="662" t="str">
        <f>IFERROR(__xludf.DUMMYFUNCTION("IF(
  REGEXMATCH(B356, ""^First\(λ - λ\) ∪ Follow\(""),
  ""Follow("" &amp; REGEXEXTRACT(B356, ""Follow\(([^)]+)\)"") &amp; "") ="",
  IF(
    OR(
      REGEXMATCH(B356, ""^First\([^&lt;]""),
      REGEXMATCH(B356, ""^First\(&lt;[^A-Za-z_]"")
    ),
    """",
    IF(
 "&amp;"     CFG!D356=""λ"",
      ""Follow("" &amp; CFG!B356 &amp; "") ="",
      ""First("" &amp; CFG!D356 &amp; "") =""
    )
  )
)
"),"#REF!")</f>
        <v>#REF!</v>
      </c>
      <c r="D356" s="663" t="str">
        <f>IFERROR(__xludf.DUMMYFUNCTION("IF(
  $C356="""",
  ""{ "" &amp;
    IF(
      REGEXMATCH(B356, ""^First\(\)""),
      "")"",
      REGEXEXTRACT(B356, ""^First\(([^ )]+)"")
    )
  &amp; "" }"",
  IF(
    REGEXMATCH($C356, ""^First\(&lt;""),
    VLOOKUP(REGEXEXTRACT($C356, ""\(([^)]+)\)""), 'First"&amp;" Set MacroA'!B:D, 3, FALSE),
    IF(
      REGEXMATCH($C356, ""^Follow\(&lt;""),
      VLOOKUP(REGEXEXTRACT($C356, ""\(([^)]+)\)""), 'Follow Set Macros'!B:D, 3, FALSE),
      ""{ "" &amp; REGEXEXTRACT($C356, ""\(([^)]+)\)"") &amp; "" }""
    )
  )
)
"),"#REF!")</f>
        <v>#REF!</v>
      </c>
      <c r="E356" s="664"/>
      <c r="F356" s="664"/>
      <c r="G356" s="664"/>
      <c r="H356" s="664"/>
      <c r="I356" s="664"/>
      <c r="J356" s="664"/>
      <c r="K356" s="664"/>
      <c r="L356" s="664"/>
      <c r="M356" s="664"/>
      <c r="N356" s="664"/>
      <c r="O356" s="664"/>
      <c r="P356" s="664"/>
      <c r="Q356" s="664"/>
      <c r="R356" s="664"/>
      <c r="S356" s="664"/>
      <c r="T356" s="664"/>
      <c r="U356" s="664"/>
      <c r="V356" s="664"/>
      <c r="W356" s="664"/>
      <c r="X356" s="664"/>
    </row>
    <row r="357">
      <c r="A357" s="661">
        <f t="shared" si="1"/>
        <v>357</v>
      </c>
      <c r="B357" s="662" t="str">
        <f t="shared" si="2"/>
        <v>#REF!</v>
      </c>
      <c r="C357" s="662" t="str">
        <f>IFERROR(__xludf.DUMMYFUNCTION("IF(
  REGEXMATCH(B357, ""^First\(λ - λ\) ∪ Follow\(""),
  ""Follow("" &amp; REGEXEXTRACT(B357, ""Follow\(([^)]+)\)"") &amp; "") ="",
  IF(
    OR(
      REGEXMATCH(B357, ""^First\([^&lt;]""),
      REGEXMATCH(B357, ""^First\(&lt;[^A-Za-z_]"")
    ),
    """",
    IF(
 "&amp;"     CFG!D357=""λ"",
      ""Follow("" &amp; CFG!B357 &amp; "") ="",
      ""First("" &amp; CFG!D357 &amp; "") =""
    )
  )
)
"),"#REF!")</f>
        <v>#REF!</v>
      </c>
      <c r="D357" s="663" t="str">
        <f>IFERROR(__xludf.DUMMYFUNCTION("IF(
  $C357="""",
  ""{ "" &amp;
    IF(
      REGEXMATCH(B357, ""^First\(\)""),
      "")"",
      REGEXEXTRACT(B357, ""^First\(([^ )]+)"")
    )
  &amp; "" }"",
  IF(
    REGEXMATCH($C357, ""^First\(&lt;""),
    VLOOKUP(REGEXEXTRACT($C357, ""\(([^)]+)\)""), 'First"&amp;" Set MacroA'!B:D, 3, FALSE),
    IF(
      REGEXMATCH($C357, ""^Follow\(&lt;""),
      VLOOKUP(REGEXEXTRACT($C357, ""\(([^)]+)\)""), 'Follow Set Macros'!B:D, 3, FALSE),
      ""{ "" &amp; REGEXEXTRACT($C357, ""\(([^)]+)\)"") &amp; "" }""
    )
  )
)
"),"#REF!")</f>
        <v>#REF!</v>
      </c>
      <c r="E357" s="664"/>
      <c r="F357" s="664"/>
      <c r="G357" s="664"/>
      <c r="H357" s="664"/>
      <c r="I357" s="664"/>
      <c r="J357" s="664"/>
      <c r="K357" s="664"/>
      <c r="L357" s="664"/>
      <c r="M357" s="664"/>
      <c r="N357" s="664"/>
      <c r="O357" s="664"/>
      <c r="P357" s="664"/>
      <c r="Q357" s="664"/>
      <c r="R357" s="664"/>
      <c r="S357" s="664"/>
      <c r="T357" s="664"/>
      <c r="U357" s="664"/>
      <c r="V357" s="664"/>
      <c r="W357" s="664"/>
      <c r="X357" s="664"/>
    </row>
    <row r="358">
      <c r="A358" s="661">
        <f t="shared" si="1"/>
        <v>358</v>
      </c>
      <c r="B358" s="662" t="str">
        <f t="shared" si="2"/>
        <v>#REF!</v>
      </c>
      <c r="C358" s="662" t="str">
        <f>IFERROR(__xludf.DUMMYFUNCTION("IF(
  REGEXMATCH(B358, ""^First\(λ - λ\) ∪ Follow\(""),
  ""Follow("" &amp; REGEXEXTRACT(B358, ""Follow\(([^)]+)\)"") &amp; "") ="",
  IF(
    OR(
      REGEXMATCH(B358, ""^First\([^&lt;]""),
      REGEXMATCH(B358, ""^First\(&lt;[^A-Za-z_]"")
    ),
    """",
    IF(
 "&amp;"     CFG!D358=""λ"",
      ""Follow("" &amp; CFG!B358 &amp; "") ="",
      ""First("" &amp; CFG!D358 &amp; "") =""
    )
  )
)
"),"#REF!")</f>
        <v>#REF!</v>
      </c>
      <c r="D358" s="663" t="str">
        <f>IFERROR(__xludf.DUMMYFUNCTION("IF(
  $C358="""",
  ""{ "" &amp;
    IF(
      REGEXMATCH(B358, ""^First\(\)""),
      "")"",
      REGEXEXTRACT(B358, ""^First\(([^ )]+)"")
    )
  &amp; "" }"",
  IF(
    REGEXMATCH($C358, ""^First\(&lt;""),
    VLOOKUP(REGEXEXTRACT($C358, ""\(([^)]+)\)""), 'First"&amp;" Set MacroA'!B:D, 3, FALSE),
    IF(
      REGEXMATCH($C358, ""^Follow\(&lt;""),
      VLOOKUP(REGEXEXTRACT($C358, ""\(([^)]+)\)""), 'Follow Set Macros'!B:D, 3, FALSE),
      ""{ "" &amp; REGEXEXTRACT($C358, ""\(([^)]+)\)"") &amp; "" }""
    )
  )
)
"),"#REF!")</f>
        <v>#REF!</v>
      </c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</row>
    <row r="359">
      <c r="A359" s="661">
        <f t="shared" si="1"/>
        <v>359</v>
      </c>
      <c r="B359" s="662" t="str">
        <f t="shared" si="2"/>
        <v>#REF!</v>
      </c>
      <c r="C359" s="662" t="str">
        <f>IFERROR(__xludf.DUMMYFUNCTION("IF(
  REGEXMATCH(B359, ""^First\(λ - λ\) ∪ Follow\(""),
  ""Follow("" &amp; REGEXEXTRACT(B359, ""Follow\(([^)]+)\)"") &amp; "") ="",
  IF(
    OR(
      REGEXMATCH(B359, ""^First\([^&lt;]""),
      REGEXMATCH(B359, ""^First\(&lt;[^A-Za-z_]"")
    ),
    """",
    IF(
 "&amp;"     CFG!D359=""λ"",
      ""Follow("" &amp; CFG!B359 &amp; "") ="",
      ""First("" &amp; CFG!D359 &amp; "") =""
    )
  )
)
"),"#REF!")</f>
        <v>#REF!</v>
      </c>
      <c r="D359" s="663" t="str">
        <f>IFERROR(__xludf.DUMMYFUNCTION("IF(
  $C359="""",
  ""{ "" &amp;
    IF(
      REGEXMATCH(B359, ""^First\(\)""),
      "")"",
      REGEXEXTRACT(B359, ""^First\(([^ )]+)"")
    )
  &amp; "" }"",
  IF(
    REGEXMATCH($C359, ""^First\(&lt;""),
    VLOOKUP(REGEXEXTRACT($C359, ""\(([^)]+)\)""), 'First"&amp;" Set MacroA'!B:D, 3, FALSE),
    IF(
      REGEXMATCH($C359, ""^Follow\(&lt;""),
      VLOOKUP(REGEXEXTRACT($C359, ""\(([^)]+)\)""), 'Follow Set Macros'!B:D, 3, FALSE),
      ""{ "" &amp; REGEXEXTRACT($C359, ""\(([^)]+)\)"") &amp; "" }""
    )
  )
)
"),"#REF!")</f>
        <v>#REF!</v>
      </c>
      <c r="E359" s="664"/>
      <c r="F359" s="664"/>
      <c r="G359" s="664"/>
      <c r="H359" s="664"/>
      <c r="I359" s="664"/>
      <c r="J359" s="664"/>
      <c r="K359" s="664"/>
      <c r="L359" s="664"/>
      <c r="M359" s="664"/>
      <c r="N359" s="664"/>
      <c r="O359" s="664"/>
      <c r="P359" s="664"/>
      <c r="Q359" s="664"/>
      <c r="R359" s="664"/>
      <c r="S359" s="664"/>
      <c r="T359" s="664"/>
      <c r="U359" s="664"/>
      <c r="V359" s="664"/>
      <c r="W359" s="664"/>
      <c r="X359" s="664"/>
    </row>
    <row r="360">
      <c r="A360" s="661">
        <f t="shared" si="1"/>
        <v>360</v>
      </c>
      <c r="B360" s="662" t="str">
        <f t="shared" si="2"/>
        <v>#REF!</v>
      </c>
      <c r="C360" s="662" t="str">
        <f>IFERROR(__xludf.DUMMYFUNCTION("IF(
  REGEXMATCH(B360, ""^First\(λ - λ\) ∪ Follow\(""),
  ""Follow("" &amp; REGEXEXTRACT(B360, ""Follow\(([^)]+)\)"") &amp; "") ="",
  IF(
    OR(
      REGEXMATCH(B360, ""^First\([^&lt;]""),
      REGEXMATCH(B360, ""^First\(&lt;[^A-Za-z_]"")
    ),
    """",
    IF(
 "&amp;"     CFG!D360=""λ"",
      ""Follow("" &amp; CFG!B360 &amp; "") ="",
      ""First("" &amp; CFG!D360 &amp; "") =""
    )
  )
)
"),"#REF!")</f>
        <v>#REF!</v>
      </c>
      <c r="D360" s="663" t="str">
        <f>IFERROR(__xludf.DUMMYFUNCTION("IF(
  $C360="""",
  ""{ "" &amp;
    IF(
      REGEXMATCH(B360, ""^First\(\)""),
      "")"",
      REGEXEXTRACT(B360, ""^First\(([^ )]+)"")
    )
  &amp; "" }"",
  IF(
    REGEXMATCH($C360, ""^First\(&lt;""),
    VLOOKUP(REGEXEXTRACT($C360, ""\(([^)]+)\)""), 'First"&amp;" Set MacroA'!B:D, 3, FALSE),
    IF(
      REGEXMATCH($C360, ""^Follow\(&lt;""),
      VLOOKUP(REGEXEXTRACT($C360, ""\(([^)]+)\)""), 'Follow Set Macros'!B:D, 3, FALSE),
      ""{ "" &amp; REGEXEXTRACT($C360, ""\(([^)]+)\)"") &amp; "" }""
    )
  )
)
"),"#REF!")</f>
        <v>#REF!</v>
      </c>
      <c r="E360" s="664"/>
      <c r="F360" s="664"/>
      <c r="G360" s="664"/>
      <c r="H360" s="664"/>
      <c r="I360" s="664"/>
      <c r="J360" s="664"/>
      <c r="K360" s="664"/>
      <c r="L360" s="664"/>
      <c r="M360" s="664"/>
      <c r="N360" s="664"/>
      <c r="O360" s="664"/>
      <c r="P360" s="664"/>
      <c r="Q360" s="664"/>
      <c r="R360" s="664"/>
      <c r="S360" s="664"/>
      <c r="T360" s="664"/>
      <c r="U360" s="664"/>
      <c r="V360" s="664"/>
      <c r="W360" s="664"/>
      <c r="X360" s="664"/>
    </row>
    <row r="361">
      <c r="A361" s="661">
        <f t="shared" si="1"/>
        <v>361</v>
      </c>
      <c r="B361" s="662" t="str">
        <f t="shared" si="2"/>
        <v>#REF!</v>
      </c>
      <c r="C361" s="662" t="str">
        <f>IFERROR(__xludf.DUMMYFUNCTION("IF(
  REGEXMATCH(B361, ""^First\(λ - λ\) ∪ Follow\(""),
  ""Follow("" &amp; REGEXEXTRACT(B361, ""Follow\(([^)]+)\)"") &amp; "") ="",
  IF(
    OR(
      REGEXMATCH(B361, ""^First\([^&lt;]""),
      REGEXMATCH(B361, ""^First\(&lt;[^A-Za-z_]"")
    ),
    """",
    IF(
 "&amp;"     CFG!D361=""λ"",
      ""Follow("" &amp; CFG!B361 &amp; "") ="",
      ""First("" &amp; CFG!D361 &amp; "") =""
    )
  )
)
"),"#REF!")</f>
        <v>#REF!</v>
      </c>
      <c r="D361" s="663" t="str">
        <f>IFERROR(__xludf.DUMMYFUNCTION("IF(
  $C361="""",
  ""{ "" &amp;
    IF(
      REGEXMATCH(B361, ""^First\(\)""),
      "")"",
      REGEXEXTRACT(B361, ""^First\(([^ )]+)"")
    )
  &amp; "" }"",
  IF(
    REGEXMATCH($C361, ""^First\(&lt;""),
    VLOOKUP(REGEXEXTRACT($C361, ""\(([^)]+)\)""), 'First"&amp;" Set MacroA'!B:D, 3, FALSE),
    IF(
      REGEXMATCH($C361, ""^Follow\(&lt;""),
      VLOOKUP(REGEXEXTRACT($C361, ""\(([^)]+)\)""), 'Follow Set Macros'!B:D, 3, FALSE),
      ""{ "" &amp; REGEXEXTRACT($C361, ""\(([^)]+)\)"") &amp; "" }""
    )
  )
)
"),"#REF!")</f>
        <v>#REF!</v>
      </c>
      <c r="E361" s="664"/>
      <c r="F361" s="664"/>
      <c r="G361" s="664"/>
      <c r="H361" s="664"/>
      <c r="I361" s="664"/>
      <c r="J361" s="664"/>
      <c r="K361" s="664"/>
      <c r="L361" s="664"/>
      <c r="M361" s="664"/>
      <c r="N361" s="664"/>
      <c r="O361" s="664"/>
      <c r="P361" s="664"/>
      <c r="Q361" s="664"/>
      <c r="R361" s="664"/>
      <c r="S361" s="664"/>
      <c r="T361" s="664"/>
      <c r="U361" s="664"/>
      <c r="V361" s="664"/>
      <c r="W361" s="664"/>
      <c r="X361" s="664"/>
    </row>
    <row r="362">
      <c r="A362" s="661">
        <f t="shared" si="1"/>
        <v>362</v>
      </c>
      <c r="B362" s="662" t="str">
        <f t="shared" si="2"/>
        <v>#REF!</v>
      </c>
      <c r="C362" s="662" t="str">
        <f>IFERROR(__xludf.DUMMYFUNCTION("IF(
  REGEXMATCH(B362, ""^First\(λ - λ\) ∪ Follow\(""),
  ""Follow("" &amp; REGEXEXTRACT(B362, ""Follow\(([^)]+)\)"") &amp; "") ="",
  IF(
    OR(
      REGEXMATCH(B362, ""^First\([^&lt;]""),
      REGEXMATCH(B362, ""^First\(&lt;[^A-Za-z_]"")
    ),
    """",
    IF(
 "&amp;"     CFG!D362=""λ"",
      ""Follow("" &amp; CFG!B362 &amp; "") ="",
      ""First("" &amp; CFG!D362 &amp; "") =""
    )
  )
)
"),"#REF!")</f>
        <v>#REF!</v>
      </c>
      <c r="D362" s="663" t="str">
        <f>IFERROR(__xludf.DUMMYFUNCTION("IF(
  $C362="""",
  ""{ "" &amp;
    IF(
      REGEXMATCH(B362, ""^First\(\)""),
      "")"",
      REGEXEXTRACT(B362, ""^First\(([^ )]+)"")
    )
  &amp; "" }"",
  IF(
    REGEXMATCH($C362, ""^First\(&lt;""),
    VLOOKUP(REGEXEXTRACT($C362, ""\(([^)]+)\)""), 'First"&amp;" Set MacroA'!B:D, 3, FALSE),
    IF(
      REGEXMATCH($C362, ""^Follow\(&lt;""),
      VLOOKUP(REGEXEXTRACT($C362, ""\(([^)]+)\)""), 'Follow Set Macros'!B:D, 3, FALSE),
      ""{ "" &amp; REGEXEXTRACT($C362, ""\(([^)]+)\)"") &amp; "" }""
    )
  )
)
"),"#REF!")</f>
        <v>#REF!</v>
      </c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</row>
    <row r="363">
      <c r="A363" s="661">
        <f t="shared" si="1"/>
        <v>363</v>
      </c>
      <c r="B363" s="662" t="str">
        <f t="shared" si="2"/>
        <v>#REF!</v>
      </c>
      <c r="C363" s="662" t="str">
        <f>IFERROR(__xludf.DUMMYFUNCTION("IF(
  REGEXMATCH(B363, ""^First\(λ - λ\) ∪ Follow\(""),
  ""Follow("" &amp; REGEXEXTRACT(B363, ""Follow\(([^)]+)\)"") &amp; "") ="",
  IF(
    OR(
      REGEXMATCH(B363, ""^First\([^&lt;]""),
      REGEXMATCH(B363, ""^First\(&lt;[^A-Za-z_]"")
    ),
    """",
    IF(
 "&amp;"     CFG!D363=""λ"",
      ""Follow("" &amp; CFG!B363 &amp; "") ="",
      ""First("" &amp; CFG!D363 &amp; "") =""
    )
  )
)
"),"#REF!")</f>
        <v>#REF!</v>
      </c>
      <c r="D363" s="663" t="str">
        <f>IFERROR(__xludf.DUMMYFUNCTION("IF(
  $C363="""",
  ""{ "" &amp;
    IF(
      REGEXMATCH(B363, ""^First\(\)""),
      "")"",
      REGEXEXTRACT(B363, ""^First\(([^ )]+)"")
    )
  &amp; "" }"",
  IF(
    REGEXMATCH($C363, ""^First\(&lt;""),
    VLOOKUP(REGEXEXTRACT($C363, ""\(([^)]+)\)""), 'First"&amp;" Set MacroA'!B:D, 3, FALSE),
    IF(
      REGEXMATCH($C363, ""^Follow\(&lt;""),
      VLOOKUP(REGEXEXTRACT($C363, ""\(([^)]+)\)""), 'Follow Set Macros'!B:D, 3, FALSE),
      ""{ "" &amp; REGEXEXTRACT($C363, ""\(([^)]+)\)"") &amp; "" }""
    )
  )
)
"),"#REF!")</f>
        <v>#REF!</v>
      </c>
      <c r="E363" s="664"/>
      <c r="F363" s="664"/>
      <c r="G363" s="664"/>
      <c r="H363" s="664"/>
      <c r="I363" s="664"/>
      <c r="J363" s="664"/>
      <c r="K363" s="664"/>
      <c r="L363" s="664"/>
      <c r="M363" s="664"/>
      <c r="N363" s="664"/>
      <c r="O363" s="664"/>
      <c r="P363" s="664"/>
      <c r="Q363" s="664"/>
      <c r="R363" s="664"/>
      <c r="S363" s="664"/>
      <c r="T363" s="664"/>
      <c r="U363" s="664"/>
      <c r="V363" s="664"/>
      <c r="W363" s="664"/>
      <c r="X363" s="664"/>
    </row>
    <row r="364">
      <c r="A364" s="661">
        <f t="shared" si="1"/>
        <v>364</v>
      </c>
      <c r="B364" s="662" t="str">
        <f t="shared" si="2"/>
        <v>#REF!</v>
      </c>
      <c r="C364" s="662" t="str">
        <f>IFERROR(__xludf.DUMMYFUNCTION("IF(
  REGEXMATCH(B364, ""^First\(λ - λ\) ∪ Follow\(""),
  ""Follow("" &amp; REGEXEXTRACT(B364, ""Follow\(([^)]+)\)"") &amp; "") ="",
  IF(
    OR(
      REGEXMATCH(B364, ""^First\([^&lt;]""),
      REGEXMATCH(B364, ""^First\(&lt;[^A-Za-z_]"")
    ),
    """",
    IF(
 "&amp;"     CFG!D364=""λ"",
      ""Follow("" &amp; CFG!B364 &amp; "") ="",
      ""First("" &amp; CFG!D364 &amp; "") =""
    )
  )
)
"),"#REF!")</f>
        <v>#REF!</v>
      </c>
      <c r="D364" s="663" t="str">
        <f>IFERROR(__xludf.DUMMYFUNCTION("IF(
  $C364="""",
  ""{ "" &amp;
    IF(
      REGEXMATCH(B364, ""^First\(\)""),
      "")"",
      REGEXEXTRACT(B364, ""^First\(([^ )]+)"")
    )
  &amp; "" }"",
  IF(
    REGEXMATCH($C364, ""^First\(&lt;""),
    VLOOKUP(REGEXEXTRACT($C364, ""\(([^)]+)\)""), 'First"&amp;" Set MacroA'!B:D, 3, FALSE),
    IF(
      REGEXMATCH($C364, ""^Follow\(&lt;""),
      VLOOKUP(REGEXEXTRACT($C364, ""\(([^)]+)\)""), 'Follow Set Macros'!B:D, 3, FALSE),
      ""{ "" &amp; REGEXEXTRACT($C364, ""\(([^)]+)\)"") &amp; "" }""
    )
  )
)
"),"#REF!")</f>
        <v>#REF!</v>
      </c>
      <c r="E364" s="664"/>
      <c r="F364" s="664"/>
      <c r="G364" s="664"/>
      <c r="H364" s="664"/>
      <c r="I364" s="664"/>
      <c r="J364" s="664"/>
      <c r="K364" s="664"/>
      <c r="L364" s="664"/>
      <c r="M364" s="664"/>
      <c r="N364" s="664"/>
      <c r="O364" s="664"/>
      <c r="P364" s="664"/>
      <c r="Q364" s="664"/>
      <c r="R364" s="664"/>
      <c r="S364" s="664"/>
      <c r="T364" s="664"/>
      <c r="U364" s="664"/>
      <c r="V364" s="664"/>
      <c r="W364" s="664"/>
      <c r="X364" s="664"/>
    </row>
    <row r="365">
      <c r="A365" s="661">
        <f t="shared" si="1"/>
        <v>365</v>
      </c>
      <c r="B365" s="662" t="str">
        <f t="shared" si="2"/>
        <v>#REF!</v>
      </c>
      <c r="C365" s="662" t="str">
        <f>IFERROR(__xludf.DUMMYFUNCTION("IF(
  REGEXMATCH(B365, ""^First\(λ - λ\) ∪ Follow\(""),
  ""Follow("" &amp; REGEXEXTRACT(B365, ""Follow\(([^)]+)\)"") &amp; "") ="",
  IF(
    OR(
      REGEXMATCH(B365, ""^First\([^&lt;]""),
      REGEXMATCH(B365, ""^First\(&lt;[^A-Za-z_]"")
    ),
    """",
    IF(
 "&amp;"     CFG!D365=""λ"",
      ""Follow("" &amp; CFG!B365 &amp; "") ="",
      ""First("" &amp; CFG!D365 &amp; "") =""
    )
  )
)
"),"#REF!")</f>
        <v>#REF!</v>
      </c>
      <c r="D365" s="663" t="str">
        <f>IFERROR(__xludf.DUMMYFUNCTION("IF(
  $C365="""",
  ""{ "" &amp;
    IF(
      REGEXMATCH(B365, ""^First\(\)""),
      "")"",
      REGEXEXTRACT(B365, ""^First\(([^ )]+)"")
    )
  &amp; "" }"",
  IF(
    REGEXMATCH($C365, ""^First\(&lt;""),
    VLOOKUP(REGEXEXTRACT($C365, ""\(([^)]+)\)""), 'First"&amp;" Set MacroA'!B:D, 3, FALSE),
    IF(
      REGEXMATCH($C365, ""^Follow\(&lt;""),
      VLOOKUP(REGEXEXTRACT($C365, ""\(([^)]+)\)""), 'Follow Set Macros'!B:D, 3, FALSE),
      ""{ "" &amp; REGEXEXTRACT($C365, ""\(([^)]+)\)"") &amp; "" }""
    )
  )
)
"),"#REF!")</f>
        <v>#REF!</v>
      </c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</row>
    <row r="366">
      <c r="A366" s="661">
        <f t="shared" si="1"/>
        <v>366</v>
      </c>
      <c r="B366" s="662" t="str">
        <f t="shared" si="2"/>
        <v>#REF!</v>
      </c>
      <c r="C366" s="662" t="str">
        <f>IFERROR(__xludf.DUMMYFUNCTION("IF(
  REGEXMATCH(B366, ""^First\(λ - λ\) ∪ Follow\(""),
  ""Follow("" &amp; REGEXEXTRACT(B366, ""Follow\(([^)]+)\)"") &amp; "") ="",
  IF(
    OR(
      REGEXMATCH(B366, ""^First\([^&lt;]""),
      REGEXMATCH(B366, ""^First\(&lt;[^A-Za-z_]"")
    ),
    """",
    IF(
 "&amp;"     CFG!D366=""λ"",
      ""Follow("" &amp; CFG!B366 &amp; "") ="",
      ""First("" &amp; CFG!D366 &amp; "") =""
    )
  )
)
"),"#REF!")</f>
        <v>#REF!</v>
      </c>
      <c r="D366" s="663" t="str">
        <f>IFERROR(__xludf.DUMMYFUNCTION("IF(
  $C366="""",
  ""{ "" &amp;
    IF(
      REGEXMATCH(B366, ""^First\(\)""),
      "")"",
      REGEXEXTRACT(B366, ""^First\(([^ )]+)"")
    )
  &amp; "" }"",
  IF(
    REGEXMATCH($C366, ""^First\(&lt;""),
    VLOOKUP(REGEXEXTRACT($C366, ""\(([^)]+)\)""), 'First"&amp;" Set MacroA'!B:D, 3, FALSE),
    IF(
      REGEXMATCH($C366, ""^Follow\(&lt;""),
      VLOOKUP(REGEXEXTRACT($C366, ""\(([^)]+)\)""), 'Follow Set Macros'!B:D, 3, FALSE),
      ""{ "" &amp; REGEXEXTRACT($C366, ""\(([^)]+)\)"") &amp; "" }""
    )
  )
)
"),"#REF!")</f>
        <v>#REF!</v>
      </c>
      <c r="E366" s="664"/>
      <c r="F366" s="664"/>
      <c r="G366" s="664"/>
      <c r="H366" s="664"/>
      <c r="I366" s="664"/>
      <c r="J366" s="664"/>
      <c r="K366" s="664"/>
      <c r="L366" s="664"/>
      <c r="M366" s="664"/>
      <c r="N366" s="664"/>
      <c r="O366" s="664"/>
      <c r="P366" s="664"/>
      <c r="Q366" s="664"/>
      <c r="R366" s="664"/>
      <c r="S366" s="664"/>
      <c r="T366" s="664"/>
      <c r="U366" s="664"/>
      <c r="V366" s="664"/>
      <c r="W366" s="664"/>
      <c r="X366" s="664"/>
    </row>
    <row r="367">
      <c r="A367" s="661">
        <f t="shared" si="1"/>
        <v>367</v>
      </c>
      <c r="B367" s="662" t="str">
        <f t="shared" si="2"/>
        <v>#REF!</v>
      </c>
      <c r="C367" s="662" t="str">
        <f>IFERROR(__xludf.DUMMYFUNCTION("IF(
  REGEXMATCH(B367, ""^First\(λ - λ\) ∪ Follow\(""),
  ""Follow("" &amp; REGEXEXTRACT(B367, ""Follow\(([^)]+)\)"") &amp; "") ="",
  IF(
    OR(
      REGEXMATCH(B367, ""^First\([^&lt;]""),
      REGEXMATCH(B367, ""^First\(&lt;[^A-Za-z_]"")
    ),
    """",
    IF(
 "&amp;"     CFG!D367=""λ"",
      ""Follow("" &amp; CFG!B367 &amp; "") ="",
      ""First("" &amp; CFG!D367 &amp; "") =""
    )
  )
)
"),"#REF!")</f>
        <v>#REF!</v>
      </c>
      <c r="D367" s="663" t="str">
        <f>IFERROR(__xludf.DUMMYFUNCTION("IF(
  $C367="""",
  ""{ "" &amp;
    IF(
      REGEXMATCH(B367, ""^First\(\)""),
      "")"",
      REGEXEXTRACT(B367, ""^First\(([^ )]+)"")
    )
  &amp; "" }"",
  IF(
    REGEXMATCH($C367, ""^First\(&lt;""),
    VLOOKUP(REGEXEXTRACT($C367, ""\(([^)]+)\)""), 'First"&amp;" Set MacroA'!B:D, 3, FALSE),
    IF(
      REGEXMATCH($C367, ""^Follow\(&lt;""),
      VLOOKUP(REGEXEXTRACT($C367, ""\(([^)]+)\)""), 'Follow Set Macros'!B:D, 3, FALSE),
      ""{ "" &amp; REGEXEXTRACT($C367, ""\(([^)]+)\)"") &amp; "" }""
    )
  )
)
"),"#REF!")</f>
        <v>#REF!</v>
      </c>
      <c r="E367" s="664"/>
      <c r="F367" s="664"/>
      <c r="G367" s="664"/>
      <c r="H367" s="664"/>
      <c r="I367" s="664"/>
      <c r="J367" s="664"/>
      <c r="K367" s="664"/>
      <c r="L367" s="664"/>
      <c r="M367" s="664"/>
      <c r="N367" s="664"/>
      <c r="O367" s="664"/>
      <c r="P367" s="664"/>
      <c r="Q367" s="664"/>
      <c r="R367" s="664"/>
      <c r="S367" s="664"/>
      <c r="T367" s="664"/>
      <c r="U367" s="664"/>
      <c r="V367" s="664"/>
      <c r="W367" s="664"/>
      <c r="X367" s="664"/>
    </row>
    <row r="368">
      <c r="A368" s="661">
        <f t="shared" si="1"/>
        <v>368</v>
      </c>
      <c r="B368" s="662" t="str">
        <f t="shared" si="2"/>
        <v>#REF!</v>
      </c>
      <c r="C368" s="662" t="str">
        <f>IFERROR(__xludf.DUMMYFUNCTION("IF(
  REGEXMATCH(B368, ""^First\(λ - λ\) ∪ Follow\(""),
  ""Follow("" &amp; REGEXEXTRACT(B368, ""Follow\(([^)]+)\)"") &amp; "") ="",
  IF(
    OR(
      REGEXMATCH(B368, ""^First\([^&lt;]""),
      REGEXMATCH(B368, ""^First\(&lt;[^A-Za-z_]"")
    ),
    """",
    IF(
 "&amp;"     CFG!D368=""λ"",
      ""Follow("" &amp; CFG!B368 &amp; "") ="",
      ""First("" &amp; CFG!D368 &amp; "") =""
    )
  )
)
"),"#REF!")</f>
        <v>#REF!</v>
      </c>
      <c r="D368" s="663" t="str">
        <f>IFERROR(__xludf.DUMMYFUNCTION("IF(
  $C368="""",
  ""{ "" &amp;
    IF(
      REGEXMATCH(B368, ""^First\(\)""),
      "")"",
      REGEXEXTRACT(B368, ""^First\(([^ )]+)"")
    )
  &amp; "" }"",
  IF(
    REGEXMATCH($C368, ""^First\(&lt;""),
    VLOOKUP(REGEXEXTRACT($C368, ""\(([^)]+)\)""), 'First"&amp;" Set MacroA'!B:D, 3, FALSE),
    IF(
      REGEXMATCH($C368, ""^Follow\(&lt;""),
      VLOOKUP(REGEXEXTRACT($C368, ""\(([^)]+)\)""), 'Follow Set Macros'!B:D, 3, FALSE),
      ""{ "" &amp; REGEXEXTRACT($C368, ""\(([^)]+)\)"") &amp; "" }""
    )
  )
)
"),"#REF!")</f>
        <v>#REF!</v>
      </c>
      <c r="E368" s="664"/>
      <c r="F368" s="664"/>
      <c r="G368" s="664"/>
      <c r="H368" s="664"/>
      <c r="I368" s="664"/>
      <c r="J368" s="664"/>
      <c r="K368" s="664"/>
      <c r="L368" s="664"/>
      <c r="M368" s="664"/>
      <c r="N368" s="664"/>
      <c r="O368" s="664"/>
      <c r="P368" s="664"/>
      <c r="Q368" s="664"/>
      <c r="R368" s="664"/>
      <c r="S368" s="664"/>
      <c r="T368" s="664"/>
      <c r="U368" s="664"/>
      <c r="V368" s="664"/>
      <c r="W368" s="664"/>
      <c r="X368" s="664"/>
    </row>
    <row r="369">
      <c r="A369" s="661">
        <f t="shared" si="1"/>
        <v>369</v>
      </c>
      <c r="B369" s="662" t="str">
        <f t="shared" si="2"/>
        <v>#REF!</v>
      </c>
      <c r="C369" s="662" t="str">
        <f>IFERROR(__xludf.DUMMYFUNCTION("IF(
  REGEXMATCH(B369, ""^First\(λ - λ\) ∪ Follow\(""),
  ""Follow("" &amp; REGEXEXTRACT(B369, ""Follow\(([^)]+)\)"") &amp; "") ="",
  IF(
    OR(
      REGEXMATCH(B369, ""^First\([^&lt;]""),
      REGEXMATCH(B369, ""^First\(&lt;[^A-Za-z_]"")
    ),
    """",
    IF(
 "&amp;"     CFG!D369=""λ"",
      ""Follow("" &amp; CFG!B369 &amp; "") ="",
      ""First("" &amp; CFG!D369 &amp; "") =""
    )
  )
)
"),"#REF!")</f>
        <v>#REF!</v>
      </c>
      <c r="D369" s="663" t="str">
        <f>IFERROR(__xludf.DUMMYFUNCTION("IF(
  $C369="""",
  ""{ "" &amp;
    IF(
      REGEXMATCH(B369, ""^First\(\)""),
      "")"",
      REGEXEXTRACT(B369, ""^First\(([^ )]+)"")
    )
  &amp; "" }"",
  IF(
    REGEXMATCH($C369, ""^First\(&lt;""),
    VLOOKUP(REGEXEXTRACT($C369, ""\(([^)]+)\)""), 'First"&amp;" Set MacroA'!B:D, 3, FALSE),
    IF(
      REGEXMATCH($C369, ""^Follow\(&lt;""),
      VLOOKUP(REGEXEXTRACT($C369, ""\(([^)]+)\)""), 'Follow Set Macros'!B:D, 3, FALSE),
      ""{ "" &amp; REGEXEXTRACT($C369, ""\(([^)]+)\)"") &amp; "" }""
    )
  )
)
"),"#REF!")</f>
        <v>#REF!</v>
      </c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</row>
    <row r="370">
      <c r="A370" s="661">
        <f t="shared" si="1"/>
        <v>370</v>
      </c>
      <c r="B370" s="662" t="str">
        <f t="shared" si="2"/>
        <v>#REF!</v>
      </c>
      <c r="C370" s="662" t="str">
        <f>IFERROR(__xludf.DUMMYFUNCTION("IF(
  REGEXMATCH(B370, ""^First\(λ - λ\) ∪ Follow\(""),
  ""Follow("" &amp; REGEXEXTRACT(B370, ""Follow\(([^)]+)\)"") &amp; "") ="",
  IF(
    OR(
      REGEXMATCH(B370, ""^First\([^&lt;]""),
      REGEXMATCH(B370, ""^First\(&lt;[^A-Za-z_]"")
    ),
    """",
    IF(
 "&amp;"     CFG!D370=""λ"",
      ""Follow("" &amp; CFG!B370 &amp; "") ="",
      ""First("" &amp; CFG!D370 &amp; "") =""
    )
  )
)
"),"#REF!")</f>
        <v>#REF!</v>
      </c>
      <c r="D370" s="663" t="str">
        <f>IFERROR(__xludf.DUMMYFUNCTION("IF(
  $C370="""",
  ""{ "" &amp;
    IF(
      REGEXMATCH(B370, ""^First\(\)""),
      "")"",
      REGEXEXTRACT(B370, ""^First\(([^ )]+)"")
    )
  &amp; "" }"",
  IF(
    REGEXMATCH($C370, ""^First\(&lt;""),
    VLOOKUP(REGEXEXTRACT($C370, ""\(([^)]+)\)""), 'First"&amp;" Set MacroA'!B:D, 3, FALSE),
    IF(
      REGEXMATCH($C370, ""^Follow\(&lt;""),
      VLOOKUP(REGEXEXTRACT($C370, ""\(([^)]+)\)""), 'Follow Set Macros'!B:D, 3, FALSE),
      ""{ "" &amp; REGEXEXTRACT($C370, ""\(([^)]+)\)"") &amp; "" }""
    )
  )
)
"),"#REF!")</f>
        <v>#REF!</v>
      </c>
      <c r="E370" s="664"/>
      <c r="F370" s="664"/>
      <c r="G370" s="664"/>
      <c r="H370" s="664"/>
      <c r="I370" s="664"/>
      <c r="J370" s="664"/>
      <c r="K370" s="664"/>
      <c r="L370" s="664"/>
      <c r="M370" s="664"/>
      <c r="N370" s="664"/>
      <c r="O370" s="664"/>
      <c r="P370" s="664"/>
      <c r="Q370" s="664"/>
      <c r="R370" s="664"/>
      <c r="S370" s="664"/>
      <c r="T370" s="664"/>
      <c r="U370" s="664"/>
      <c r="V370" s="664"/>
      <c r="W370" s="664"/>
      <c r="X370" s="664"/>
    </row>
    <row r="371">
      <c r="A371" s="661">
        <f t="shared" si="1"/>
        <v>371</v>
      </c>
      <c r="B371" s="662" t="str">
        <f t="shared" si="2"/>
        <v>#REF!</v>
      </c>
      <c r="C371" s="662" t="str">
        <f>IFERROR(__xludf.DUMMYFUNCTION("IF(
  REGEXMATCH(B371, ""^First\(λ - λ\) ∪ Follow\(""),
  ""Follow("" &amp; REGEXEXTRACT(B371, ""Follow\(([^)]+)\)"") &amp; "") ="",
  IF(
    OR(
      REGEXMATCH(B371, ""^First\([^&lt;]""),
      REGEXMATCH(B371, ""^First\(&lt;[^A-Za-z_]"")
    ),
    """",
    IF(
 "&amp;"     CFG!D371=""λ"",
      ""Follow("" &amp; CFG!B371 &amp; "") ="",
      ""First("" &amp; CFG!D371 &amp; "") =""
    )
  )
)
"),"#REF!")</f>
        <v>#REF!</v>
      </c>
      <c r="D371" s="663" t="str">
        <f>IFERROR(__xludf.DUMMYFUNCTION("IF(
  $C371="""",
  ""{ "" &amp;
    IF(
      REGEXMATCH(B371, ""^First\(\)""),
      "")"",
      REGEXEXTRACT(B371, ""^First\(([^ )]+)"")
    )
  &amp; "" }"",
  IF(
    REGEXMATCH($C371, ""^First\(&lt;""),
    VLOOKUP(REGEXEXTRACT($C371, ""\(([^)]+)\)""), 'First"&amp;" Set MacroA'!B:D, 3, FALSE),
    IF(
      REGEXMATCH($C371, ""^Follow\(&lt;""),
      VLOOKUP(REGEXEXTRACT($C371, ""\(([^)]+)\)""), 'Follow Set Macros'!B:D, 3, FALSE),
      ""{ "" &amp; REGEXEXTRACT($C371, ""\(([^)]+)\)"") &amp; "" }""
    )
  )
)
"),"#REF!")</f>
        <v>#REF!</v>
      </c>
      <c r="E371" s="664"/>
      <c r="F371" s="664"/>
      <c r="G371" s="664"/>
      <c r="H371" s="664"/>
      <c r="I371" s="664"/>
      <c r="J371" s="664"/>
      <c r="K371" s="664"/>
      <c r="L371" s="664"/>
      <c r="M371" s="664"/>
      <c r="N371" s="664"/>
      <c r="O371" s="664"/>
      <c r="P371" s="664"/>
      <c r="Q371" s="664"/>
      <c r="R371" s="664"/>
      <c r="S371" s="664"/>
      <c r="T371" s="664"/>
      <c r="U371" s="664"/>
      <c r="V371" s="664"/>
      <c r="W371" s="664"/>
      <c r="X371" s="664"/>
    </row>
    <row r="372">
      <c r="A372" s="661">
        <f t="shared" si="1"/>
        <v>372</v>
      </c>
      <c r="B372" s="662" t="str">
        <f t="shared" si="2"/>
        <v>#REF!</v>
      </c>
      <c r="C372" s="662" t="str">
        <f>IFERROR(__xludf.DUMMYFUNCTION("IF(
  REGEXMATCH(B372, ""^First\(λ - λ\) ∪ Follow\(""),
  ""Follow("" &amp; REGEXEXTRACT(B372, ""Follow\(([^)]+)\)"") &amp; "") ="",
  IF(
    OR(
      REGEXMATCH(B372, ""^First\([^&lt;]""),
      REGEXMATCH(B372, ""^First\(&lt;[^A-Za-z_]"")
    ),
    """",
    IF(
 "&amp;"     CFG!D372=""λ"",
      ""Follow("" &amp; CFG!B372 &amp; "") ="",
      ""First("" &amp; CFG!D372 &amp; "") =""
    )
  )
)
"),"#REF!")</f>
        <v>#REF!</v>
      </c>
      <c r="D372" s="663" t="str">
        <f>IFERROR(__xludf.DUMMYFUNCTION("IF(
  $C372="""",
  ""{ "" &amp;
    IF(
      REGEXMATCH(B372, ""^First\(\)""),
      "")"",
      REGEXEXTRACT(B372, ""^First\(([^ )]+)"")
    )
  &amp; "" }"",
  IF(
    REGEXMATCH($C372, ""^First\(&lt;""),
    VLOOKUP(REGEXEXTRACT($C372, ""\(([^)]+)\)""), 'First"&amp;" Set MacroA'!B:D, 3, FALSE),
    IF(
      REGEXMATCH($C372, ""^Follow\(&lt;""),
      VLOOKUP(REGEXEXTRACT($C372, ""\(([^)]+)\)""), 'Follow Set Macros'!B:D, 3, FALSE),
      ""{ "" &amp; REGEXEXTRACT($C372, ""\(([^)]+)\)"") &amp; "" }""
    )
  )
)
"),"#REF!")</f>
        <v>#REF!</v>
      </c>
      <c r="E372" s="664"/>
      <c r="F372" s="664"/>
      <c r="G372" s="664"/>
      <c r="H372" s="664"/>
      <c r="I372" s="664"/>
      <c r="J372" s="664"/>
      <c r="K372" s="664"/>
      <c r="L372" s="664"/>
      <c r="M372" s="664"/>
      <c r="N372" s="664"/>
      <c r="O372" s="664"/>
      <c r="P372" s="664"/>
      <c r="Q372" s="664"/>
      <c r="R372" s="664"/>
      <c r="S372" s="664"/>
      <c r="T372" s="664"/>
      <c r="U372" s="664"/>
      <c r="V372" s="664"/>
      <c r="W372" s="664"/>
      <c r="X372" s="664"/>
    </row>
    <row r="373">
      <c r="A373" s="661">
        <f t="shared" si="1"/>
        <v>373</v>
      </c>
      <c r="B373" s="662" t="str">
        <f t="shared" si="2"/>
        <v>#REF!</v>
      </c>
      <c r="C373" s="662" t="str">
        <f>IFERROR(__xludf.DUMMYFUNCTION("IF(
  REGEXMATCH(B373, ""^First\(λ - λ\) ∪ Follow\(""),
  ""Follow("" &amp; REGEXEXTRACT(B373, ""Follow\(([^)]+)\)"") &amp; "") ="",
  IF(
    OR(
      REGEXMATCH(B373, ""^First\([^&lt;]""),
      REGEXMATCH(B373, ""^First\(&lt;[^A-Za-z_]"")
    ),
    """",
    IF(
 "&amp;"     CFG!D373=""λ"",
      ""Follow("" &amp; CFG!B373 &amp; "") ="",
      ""First("" &amp; CFG!D373 &amp; "") =""
    )
  )
)
"),"#REF!")</f>
        <v>#REF!</v>
      </c>
      <c r="D373" s="663" t="str">
        <f>IFERROR(__xludf.DUMMYFUNCTION("IF(
  $C373="""",
  ""{ "" &amp;
    IF(
      REGEXMATCH(B373, ""^First\(\)""),
      "")"",
      REGEXEXTRACT(B373, ""^First\(([^ )]+)"")
    )
  &amp; "" }"",
  IF(
    REGEXMATCH($C373, ""^First\(&lt;""),
    VLOOKUP(REGEXEXTRACT($C373, ""\(([^)]+)\)""), 'First"&amp;" Set MacroA'!B:D, 3, FALSE),
    IF(
      REGEXMATCH($C373, ""^Follow\(&lt;""),
      VLOOKUP(REGEXEXTRACT($C373, ""\(([^)]+)\)""), 'Follow Set Macros'!B:D, 3, FALSE),
      ""{ "" &amp; REGEXEXTRACT($C373, ""\(([^)]+)\)"") &amp; "" }""
    )
  )
)
"),"#REF!")</f>
        <v>#REF!</v>
      </c>
      <c r="E373" s="664"/>
      <c r="F373" s="664"/>
      <c r="G373" s="664"/>
      <c r="H373" s="664"/>
      <c r="I373" s="664"/>
      <c r="J373" s="664"/>
      <c r="K373" s="664"/>
      <c r="L373" s="664"/>
      <c r="M373" s="664"/>
      <c r="N373" s="664"/>
      <c r="O373" s="664"/>
      <c r="P373" s="664"/>
      <c r="Q373" s="664"/>
      <c r="R373" s="664"/>
      <c r="S373" s="664"/>
      <c r="T373" s="664"/>
      <c r="U373" s="664"/>
      <c r="V373" s="664"/>
      <c r="W373" s="664"/>
      <c r="X373" s="664"/>
    </row>
    <row r="374">
      <c r="A374" s="661">
        <f t="shared" si="1"/>
        <v>374</v>
      </c>
      <c r="B374" s="662" t="str">
        <f t="shared" si="2"/>
        <v>#REF!</v>
      </c>
      <c r="C374" s="662" t="str">
        <f>IFERROR(__xludf.DUMMYFUNCTION("IF(
  REGEXMATCH(B374, ""^First\(λ - λ\) ∪ Follow\(""),
  ""Follow("" &amp; REGEXEXTRACT(B374, ""Follow\(([^)]+)\)"") &amp; "") ="",
  IF(
    OR(
      REGEXMATCH(B374, ""^First\([^&lt;]""),
      REGEXMATCH(B374, ""^First\(&lt;[^A-Za-z_]"")
    ),
    """",
    IF(
 "&amp;"     CFG!D374=""λ"",
      ""Follow("" &amp; CFG!B374 &amp; "") ="",
      ""First("" &amp; CFG!D374 &amp; "") =""
    )
  )
)
"),"#REF!")</f>
        <v>#REF!</v>
      </c>
      <c r="D374" s="663" t="str">
        <f>IFERROR(__xludf.DUMMYFUNCTION("IF(
  $C374="""",
  ""{ "" &amp;
    IF(
      REGEXMATCH(B374, ""^First\(\)""),
      "")"",
      REGEXEXTRACT(B374, ""^First\(([^ )]+)"")
    )
  &amp; "" }"",
  IF(
    REGEXMATCH($C374, ""^First\(&lt;""),
    VLOOKUP(REGEXEXTRACT($C374, ""\(([^)]+)\)""), 'First"&amp;" Set MacroA'!B:D, 3, FALSE),
    IF(
      REGEXMATCH($C374, ""^Follow\(&lt;""),
      VLOOKUP(REGEXEXTRACT($C374, ""\(([^)]+)\)""), 'Follow Set Macros'!B:D, 3, FALSE),
      ""{ "" &amp; REGEXEXTRACT($C374, ""\(([^)]+)\)"") &amp; "" }""
    )
  )
)
"),"#REF!")</f>
        <v>#REF!</v>
      </c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</row>
    <row r="375">
      <c r="A375" s="661">
        <f t="shared" si="1"/>
        <v>375</v>
      </c>
      <c r="B375" s="662" t="str">
        <f t="shared" si="2"/>
        <v>#REF!</v>
      </c>
      <c r="C375" s="662" t="str">
        <f>IFERROR(__xludf.DUMMYFUNCTION("IF(
  REGEXMATCH(B375, ""^First\(λ - λ\) ∪ Follow\(""),
  ""Follow("" &amp; REGEXEXTRACT(B375, ""Follow\(([^)]+)\)"") &amp; "") ="",
  IF(
    OR(
      REGEXMATCH(B375, ""^First\([^&lt;]""),
      REGEXMATCH(B375, ""^First\(&lt;[^A-Za-z_]"")
    ),
    """",
    IF(
 "&amp;"     CFG!D375=""λ"",
      ""Follow("" &amp; CFG!B375 &amp; "") ="",
      ""First("" &amp; CFG!D375 &amp; "") =""
    )
  )
)
"),"#REF!")</f>
        <v>#REF!</v>
      </c>
      <c r="D375" s="663" t="str">
        <f>IFERROR(__xludf.DUMMYFUNCTION("IF(
  $C375="""",
  ""{ "" &amp;
    IF(
      REGEXMATCH(B375, ""^First\(\)""),
      "")"",
      REGEXEXTRACT(B375, ""^First\(([^ )]+)"")
    )
  &amp; "" }"",
  IF(
    REGEXMATCH($C375, ""^First\(&lt;""),
    VLOOKUP(REGEXEXTRACT($C375, ""\(([^)]+)\)""), 'First"&amp;" Set MacroA'!B:D, 3, FALSE),
    IF(
      REGEXMATCH($C375, ""^Follow\(&lt;""),
      VLOOKUP(REGEXEXTRACT($C375, ""\(([^)]+)\)""), 'Follow Set Macros'!B:D, 3, FALSE),
      ""{ "" &amp; REGEXEXTRACT($C375, ""\(([^)]+)\)"") &amp; "" }""
    )
  )
)
"),"#REF!")</f>
        <v>#REF!</v>
      </c>
      <c r="E375" s="664"/>
      <c r="F375" s="664"/>
      <c r="G375" s="664"/>
      <c r="H375" s="664"/>
      <c r="I375" s="664"/>
      <c r="J375" s="664"/>
      <c r="K375" s="664"/>
      <c r="L375" s="664"/>
      <c r="M375" s="664"/>
      <c r="N375" s="664"/>
      <c r="O375" s="664"/>
      <c r="P375" s="664"/>
      <c r="Q375" s="664"/>
      <c r="R375" s="664"/>
      <c r="S375" s="664"/>
      <c r="T375" s="664"/>
      <c r="U375" s="664"/>
      <c r="V375" s="664"/>
      <c r="W375" s="664"/>
      <c r="X375" s="664"/>
    </row>
    <row r="376">
      <c r="A376" s="661">
        <f t="shared" si="1"/>
        <v>376</v>
      </c>
      <c r="B376" s="662" t="str">
        <f t="shared" si="2"/>
        <v>#REF!</v>
      </c>
      <c r="C376" s="662" t="str">
        <f>IFERROR(__xludf.DUMMYFUNCTION("IF(
  REGEXMATCH(B376, ""^First\(λ - λ\) ∪ Follow\(""),
  ""Follow("" &amp; REGEXEXTRACT(B376, ""Follow\(([^)]+)\)"") &amp; "") ="",
  IF(
    OR(
      REGEXMATCH(B376, ""^First\([^&lt;]""),
      REGEXMATCH(B376, ""^First\(&lt;[^A-Za-z_]"")
    ),
    """",
    IF(
 "&amp;"     CFG!D376=""λ"",
      ""Follow("" &amp; CFG!B376 &amp; "") ="",
      ""First("" &amp; CFG!D376 &amp; "") =""
    )
  )
)
"),"#REF!")</f>
        <v>#REF!</v>
      </c>
      <c r="D376" s="663" t="str">
        <f>IFERROR(__xludf.DUMMYFUNCTION("IF(
  $C376="""",
  ""{ "" &amp;
    IF(
      REGEXMATCH(B376, ""^First\(\)""),
      "")"",
      REGEXEXTRACT(B376, ""^First\(([^ )]+)"")
    )
  &amp; "" }"",
  IF(
    REGEXMATCH($C376, ""^First\(&lt;""),
    VLOOKUP(REGEXEXTRACT($C376, ""\(([^)]+)\)""), 'First"&amp;" Set MacroA'!B:D, 3, FALSE),
    IF(
      REGEXMATCH($C376, ""^Follow\(&lt;""),
      VLOOKUP(REGEXEXTRACT($C376, ""\(([^)]+)\)""), 'Follow Set Macros'!B:D, 3, FALSE),
      ""{ "" &amp; REGEXEXTRACT($C376, ""\(([^)]+)\)"") &amp; "" }""
    )
  )
)
"),"#REF!")</f>
        <v>#REF!</v>
      </c>
      <c r="E376" s="664"/>
      <c r="F376" s="664"/>
      <c r="G376" s="664"/>
      <c r="H376" s="664"/>
      <c r="I376" s="664"/>
      <c r="J376" s="664"/>
      <c r="K376" s="664"/>
      <c r="L376" s="664"/>
      <c r="M376" s="664"/>
      <c r="N376" s="664"/>
      <c r="O376" s="664"/>
      <c r="P376" s="664"/>
      <c r="Q376" s="664"/>
      <c r="R376" s="664"/>
      <c r="S376" s="664"/>
      <c r="T376" s="664"/>
      <c r="U376" s="664"/>
      <c r="V376" s="664"/>
      <c r="W376" s="664"/>
      <c r="X376" s="664"/>
    </row>
    <row r="377">
      <c r="A377" s="661">
        <f t="shared" si="1"/>
        <v>377</v>
      </c>
      <c r="B377" s="662" t="str">
        <f t="shared" si="2"/>
        <v>#REF!</v>
      </c>
      <c r="C377" s="662" t="str">
        <f>IFERROR(__xludf.DUMMYFUNCTION("IF(
  REGEXMATCH(B377, ""^First\(λ - λ\) ∪ Follow\(""),
  ""Follow("" &amp; REGEXEXTRACT(B377, ""Follow\(([^)]+)\)"") &amp; "") ="",
  IF(
    OR(
      REGEXMATCH(B377, ""^First\([^&lt;]""),
      REGEXMATCH(B377, ""^First\(&lt;[^A-Za-z_]"")
    ),
    """",
    IF(
 "&amp;"     CFG!D377=""λ"",
      ""Follow("" &amp; CFG!B377 &amp; "") ="",
      ""First("" &amp; CFG!D377 &amp; "") =""
    )
  )
)
"),"#REF!")</f>
        <v>#REF!</v>
      </c>
      <c r="D377" s="663" t="str">
        <f>IFERROR(__xludf.DUMMYFUNCTION("IF(
  $C377="""",
  ""{ "" &amp;
    IF(
      REGEXMATCH(B377, ""^First\(\)""),
      "")"",
      REGEXEXTRACT(B377, ""^First\(([^ )]+)"")
    )
  &amp; "" }"",
  IF(
    REGEXMATCH($C377, ""^First\(&lt;""),
    VLOOKUP(REGEXEXTRACT($C377, ""\(([^)]+)\)""), 'First"&amp;" Set MacroA'!B:D, 3, FALSE),
    IF(
      REGEXMATCH($C377, ""^Follow\(&lt;""),
      VLOOKUP(REGEXEXTRACT($C377, ""\(([^)]+)\)""), 'Follow Set Macros'!B:D, 3, FALSE),
      ""{ "" &amp; REGEXEXTRACT($C377, ""\(([^)]+)\)"") &amp; "" }""
    )
  )
)
"),"#REF!")</f>
        <v>#REF!</v>
      </c>
      <c r="E377" s="664"/>
      <c r="F377" s="664"/>
      <c r="G377" s="664"/>
      <c r="H377" s="664"/>
      <c r="I377" s="664"/>
      <c r="J377" s="664"/>
      <c r="K377" s="664"/>
      <c r="L377" s="664"/>
      <c r="M377" s="664"/>
      <c r="N377" s="664"/>
      <c r="O377" s="664"/>
      <c r="P377" s="664"/>
      <c r="Q377" s="664"/>
      <c r="R377" s="664"/>
      <c r="S377" s="664"/>
      <c r="T377" s="664"/>
      <c r="U377" s="664"/>
      <c r="V377" s="664"/>
      <c r="W377" s="664"/>
      <c r="X377" s="664"/>
    </row>
    <row r="378">
      <c r="A378" s="661">
        <f t="shared" si="1"/>
        <v>378</v>
      </c>
      <c r="B378" s="662" t="str">
        <f t="shared" si="2"/>
        <v>#REF!</v>
      </c>
      <c r="C378" s="662" t="str">
        <f>IFERROR(__xludf.DUMMYFUNCTION("IF(
  REGEXMATCH(B378, ""^First\(λ - λ\) ∪ Follow\(""),
  ""Follow("" &amp; REGEXEXTRACT(B378, ""Follow\(([^)]+)\)"") &amp; "") ="",
  IF(
    OR(
      REGEXMATCH(B378, ""^First\([^&lt;]""),
      REGEXMATCH(B378, ""^First\(&lt;[^A-Za-z_]"")
    ),
    """",
    IF(
 "&amp;"     CFG!D378=""λ"",
      ""Follow("" &amp; CFG!B378 &amp; "") ="",
      ""First("" &amp; CFG!D378 &amp; "") =""
    )
  )
)
"),"#REF!")</f>
        <v>#REF!</v>
      </c>
      <c r="D378" s="663" t="str">
        <f>IFERROR(__xludf.DUMMYFUNCTION("IF(
  $C378="""",
  ""{ "" &amp;
    IF(
      REGEXMATCH(B378, ""^First\(\)""),
      "")"",
      REGEXEXTRACT(B378, ""^First\(([^ )]+)"")
    )
  &amp; "" }"",
  IF(
    REGEXMATCH($C378, ""^First\(&lt;""),
    VLOOKUP(REGEXEXTRACT($C378, ""\(([^)]+)\)""), 'First"&amp;" Set MacroA'!B:D, 3, FALSE),
    IF(
      REGEXMATCH($C378, ""^Follow\(&lt;""),
      VLOOKUP(REGEXEXTRACT($C378, ""\(([^)]+)\)""), 'Follow Set Macros'!B:D, 3, FALSE),
      ""{ "" &amp; REGEXEXTRACT($C378, ""\(([^)]+)\)"") &amp; "" }""
    )
  )
)
"),"#REF!")</f>
        <v>#REF!</v>
      </c>
      <c r="E378" s="664"/>
      <c r="F378" s="664"/>
      <c r="G378" s="664"/>
      <c r="H378" s="664"/>
      <c r="I378" s="664"/>
      <c r="J378" s="664"/>
      <c r="K378" s="664"/>
      <c r="L378" s="664"/>
      <c r="M378" s="664"/>
      <c r="N378" s="664"/>
      <c r="O378" s="664"/>
      <c r="P378" s="664"/>
      <c r="Q378" s="664"/>
      <c r="R378" s="664"/>
      <c r="S378" s="664"/>
      <c r="T378" s="664"/>
      <c r="U378" s="664"/>
      <c r="V378" s="664"/>
      <c r="W378" s="664"/>
      <c r="X378" s="664"/>
    </row>
    <row r="379">
      <c r="A379" s="661">
        <f t="shared" si="1"/>
        <v>379</v>
      </c>
      <c r="B379" s="662" t="str">
        <f t="shared" si="2"/>
        <v>#REF!</v>
      </c>
      <c r="C379" s="662" t="str">
        <f>IFERROR(__xludf.DUMMYFUNCTION("IF(
  REGEXMATCH(B379, ""^First\(λ - λ\) ∪ Follow\(""),
  ""Follow("" &amp; REGEXEXTRACT(B379, ""Follow\(([^)]+)\)"") &amp; "") ="",
  IF(
    OR(
      REGEXMATCH(B379, ""^First\([^&lt;]""),
      REGEXMATCH(B379, ""^First\(&lt;[^A-Za-z_]"")
    ),
    """",
    IF(
 "&amp;"     CFG!D379=""λ"",
      ""Follow("" &amp; CFG!B379 &amp; "") ="",
      ""First("" &amp; CFG!D379 &amp; "") =""
    )
  )
)
"),"#REF!")</f>
        <v>#REF!</v>
      </c>
      <c r="D379" s="663" t="str">
        <f>IFERROR(__xludf.DUMMYFUNCTION("IF(
  $C379="""",
  ""{ "" &amp;
    IF(
      REGEXMATCH(B379, ""^First\(\)""),
      "")"",
      REGEXEXTRACT(B379, ""^First\(([^ )]+)"")
    )
  &amp; "" }"",
  IF(
    REGEXMATCH($C379, ""^First\(&lt;""),
    VLOOKUP(REGEXEXTRACT($C379, ""\(([^)]+)\)""), 'First"&amp;" Set MacroA'!B:D, 3, FALSE),
    IF(
      REGEXMATCH($C379, ""^Follow\(&lt;""),
      VLOOKUP(REGEXEXTRACT($C379, ""\(([^)]+)\)""), 'Follow Set Macros'!B:D, 3, FALSE),
      ""{ "" &amp; REGEXEXTRACT($C379, ""\(([^)]+)\)"") &amp; "" }""
    )
  )
)
"),"#REF!")</f>
        <v>#REF!</v>
      </c>
      <c r="E379" s="664"/>
      <c r="F379" s="664"/>
      <c r="G379" s="664"/>
      <c r="H379" s="664"/>
      <c r="I379" s="664"/>
      <c r="J379" s="664"/>
      <c r="K379" s="664"/>
      <c r="L379" s="664"/>
      <c r="M379" s="664"/>
      <c r="N379" s="664"/>
      <c r="O379" s="664"/>
      <c r="P379" s="664"/>
      <c r="Q379" s="664"/>
      <c r="R379" s="664"/>
      <c r="S379" s="664"/>
      <c r="T379" s="664"/>
      <c r="U379" s="664"/>
      <c r="V379" s="664"/>
      <c r="W379" s="664"/>
      <c r="X379" s="664"/>
    </row>
    <row r="380">
      <c r="A380" s="661">
        <f t="shared" si="1"/>
        <v>380</v>
      </c>
      <c r="B380" s="662" t="str">
        <f t="shared" si="2"/>
        <v>#REF!</v>
      </c>
      <c r="C380" s="662" t="str">
        <f>IFERROR(__xludf.DUMMYFUNCTION("IF(
  REGEXMATCH(B380, ""^First\(λ - λ\) ∪ Follow\(""),
  ""Follow("" &amp; REGEXEXTRACT(B380, ""Follow\(([^)]+)\)"") &amp; "") ="",
  IF(
    OR(
      REGEXMATCH(B380, ""^First\([^&lt;]""),
      REGEXMATCH(B380, ""^First\(&lt;[^A-Za-z_]"")
    ),
    """",
    IF(
 "&amp;"     CFG!D380=""λ"",
      ""Follow("" &amp; CFG!B380 &amp; "") ="",
      ""First("" &amp; CFG!D380 &amp; "") =""
    )
  )
)
"),"#REF!")</f>
        <v>#REF!</v>
      </c>
      <c r="D380" s="663" t="str">
        <f>IFERROR(__xludf.DUMMYFUNCTION("IF(
  $C380="""",
  ""{ "" &amp;
    IF(
      REGEXMATCH(B380, ""^First\(\)""),
      "")"",
      REGEXEXTRACT(B380, ""^First\(([^ )]+)"")
    )
  &amp; "" }"",
  IF(
    REGEXMATCH($C380, ""^First\(&lt;""),
    VLOOKUP(REGEXEXTRACT($C380, ""\(([^)]+)\)""), 'First"&amp;" Set MacroA'!B:D, 3, FALSE),
    IF(
      REGEXMATCH($C380, ""^Follow\(&lt;""),
      VLOOKUP(REGEXEXTRACT($C380, ""\(([^)]+)\)""), 'Follow Set Macros'!B:D, 3, FALSE),
      ""{ "" &amp; REGEXEXTRACT($C380, ""\(([^)]+)\)"") &amp; "" }""
    )
  )
)
"),"#REF!")</f>
        <v>#REF!</v>
      </c>
      <c r="E380" s="664"/>
      <c r="F380" s="664"/>
      <c r="G380" s="664"/>
      <c r="H380" s="664"/>
      <c r="I380" s="664"/>
      <c r="J380" s="664"/>
      <c r="K380" s="664"/>
      <c r="L380" s="664"/>
      <c r="M380" s="664"/>
      <c r="N380" s="664"/>
      <c r="O380" s="664"/>
      <c r="P380" s="664"/>
      <c r="Q380" s="664"/>
      <c r="R380" s="664"/>
      <c r="S380" s="664"/>
      <c r="T380" s="664"/>
      <c r="U380" s="664"/>
      <c r="V380" s="664"/>
      <c r="W380" s="664"/>
      <c r="X380" s="664"/>
    </row>
    <row r="381">
      <c r="A381" s="661">
        <f t="shared" si="1"/>
        <v>381</v>
      </c>
      <c r="B381" s="662" t="str">
        <f t="shared" si="2"/>
        <v>#REF!</v>
      </c>
      <c r="C381" s="662" t="str">
        <f>IFERROR(__xludf.DUMMYFUNCTION("IF(
  REGEXMATCH(B381, ""^First\(λ - λ\) ∪ Follow\(""),
  ""Follow("" &amp; REGEXEXTRACT(B381, ""Follow\(([^)]+)\)"") &amp; "") ="",
  IF(
    OR(
      REGEXMATCH(B381, ""^First\([^&lt;]""),
      REGEXMATCH(B381, ""^First\(&lt;[^A-Za-z_]"")
    ),
    """",
    IF(
 "&amp;"     CFG!D381=""λ"",
      ""Follow("" &amp; CFG!B381 &amp; "") ="",
      ""First("" &amp; CFG!D381 &amp; "") =""
    )
  )
)
"),"#REF!")</f>
        <v>#REF!</v>
      </c>
      <c r="D381" s="663" t="str">
        <f>IFERROR(__xludf.DUMMYFUNCTION("IF(
  $C381="""",
  ""{ "" &amp;
    IF(
      REGEXMATCH(B381, ""^First\(\)""),
      "")"",
      REGEXEXTRACT(B381, ""^First\(([^ )]+)"")
    )
  &amp; "" }"",
  IF(
    REGEXMATCH($C381, ""^First\(&lt;""),
    VLOOKUP(REGEXEXTRACT($C381, ""\(([^)]+)\)""), 'First"&amp;" Set MacroA'!B:D, 3, FALSE),
    IF(
      REGEXMATCH($C381, ""^Follow\(&lt;""),
      VLOOKUP(REGEXEXTRACT($C381, ""\(([^)]+)\)""), 'Follow Set Macros'!B:D, 3, FALSE),
      ""{ "" &amp; REGEXEXTRACT($C381, ""\(([^)]+)\)"") &amp; "" }""
    )
  )
)
"),"#REF!")</f>
        <v>#REF!</v>
      </c>
      <c r="E381" s="664"/>
      <c r="F381" s="664"/>
      <c r="G381" s="664"/>
      <c r="H381" s="664"/>
      <c r="I381" s="664"/>
      <c r="J381" s="664"/>
      <c r="K381" s="664"/>
      <c r="L381" s="664"/>
      <c r="M381" s="664"/>
      <c r="N381" s="664"/>
      <c r="O381" s="664"/>
      <c r="P381" s="664"/>
      <c r="Q381" s="664"/>
      <c r="R381" s="664"/>
      <c r="S381" s="664"/>
      <c r="T381" s="664"/>
      <c r="U381" s="664"/>
      <c r="V381" s="664"/>
      <c r="W381" s="664"/>
      <c r="X381" s="664"/>
    </row>
    <row r="382">
      <c r="A382" s="661">
        <f t="shared" si="1"/>
        <v>382</v>
      </c>
      <c r="B382" s="662" t="str">
        <f t="shared" si="2"/>
        <v>#REF!</v>
      </c>
      <c r="C382" s="662" t="str">
        <f>IFERROR(__xludf.DUMMYFUNCTION("IF(
  REGEXMATCH(B382, ""^First\(λ - λ\) ∪ Follow\(""),
  ""Follow("" &amp; REGEXEXTRACT(B382, ""Follow\(([^)]+)\)"") &amp; "") ="",
  IF(
    OR(
      REGEXMATCH(B382, ""^First\([^&lt;]""),
      REGEXMATCH(B382, ""^First\(&lt;[^A-Za-z_]"")
    ),
    """",
    IF(
 "&amp;"     CFG!D382=""λ"",
      ""Follow("" &amp; CFG!B382 &amp; "") ="",
      ""First("" &amp; CFG!D382 &amp; "") =""
    )
  )
)
"),"#REF!")</f>
        <v>#REF!</v>
      </c>
      <c r="D382" s="663" t="str">
        <f>IFERROR(__xludf.DUMMYFUNCTION("IF(
  $C382="""",
  ""{ "" &amp;
    IF(
      REGEXMATCH(B382, ""^First\(\)""),
      "")"",
      REGEXEXTRACT(B382, ""^First\(([^ )]+)"")
    )
  &amp; "" }"",
  IF(
    REGEXMATCH($C382, ""^First\(&lt;""),
    VLOOKUP(REGEXEXTRACT($C382, ""\(([^)]+)\)""), 'First"&amp;" Set MacroA'!B:D, 3, FALSE),
    IF(
      REGEXMATCH($C382, ""^Follow\(&lt;""),
      VLOOKUP(REGEXEXTRACT($C382, ""\(([^)]+)\)""), 'Follow Set Macros'!B:D, 3, FALSE),
      ""{ "" &amp; REGEXEXTRACT($C382, ""\(([^)]+)\)"") &amp; "" }""
    )
  )
)
"),"#REF!")</f>
        <v>#REF!</v>
      </c>
      <c r="E382" s="664"/>
      <c r="F382" s="664"/>
      <c r="G382" s="664"/>
      <c r="H382" s="664"/>
      <c r="I382" s="664"/>
      <c r="J382" s="664"/>
      <c r="K382" s="664"/>
      <c r="L382" s="664"/>
      <c r="M382" s="664"/>
      <c r="N382" s="664"/>
      <c r="O382" s="664"/>
      <c r="P382" s="664"/>
      <c r="Q382" s="664"/>
      <c r="R382" s="664"/>
      <c r="S382" s="664"/>
      <c r="T382" s="664"/>
      <c r="U382" s="664"/>
      <c r="V382" s="664"/>
      <c r="W382" s="664"/>
      <c r="X382" s="664"/>
    </row>
    <row r="383">
      <c r="A383" s="661">
        <f t="shared" si="1"/>
        <v>383</v>
      </c>
      <c r="B383" s="662" t="str">
        <f t="shared" si="2"/>
        <v>#REF!</v>
      </c>
      <c r="C383" s="662" t="str">
        <f>IFERROR(__xludf.DUMMYFUNCTION("IF(
  REGEXMATCH(B383, ""^First\(λ - λ\) ∪ Follow\(""),
  ""Follow("" &amp; REGEXEXTRACT(B383, ""Follow\(([^)]+)\)"") &amp; "") ="",
  IF(
    OR(
      REGEXMATCH(B383, ""^First\([^&lt;]""),
      REGEXMATCH(B383, ""^First\(&lt;[^A-Za-z_]"")
    ),
    """",
    IF(
 "&amp;"     CFG!D383=""λ"",
      ""Follow("" &amp; CFG!B383 &amp; "") ="",
      ""First("" &amp; CFG!D383 &amp; "") =""
    )
  )
)
"),"#REF!")</f>
        <v>#REF!</v>
      </c>
      <c r="D383" s="663" t="str">
        <f>IFERROR(__xludf.DUMMYFUNCTION("IF(
  $C383="""",
  ""{ "" &amp;
    IF(
      REGEXMATCH(B383, ""^First\(\)""),
      "")"",
      REGEXEXTRACT(B383, ""^First\(([^ )]+)"")
    )
  &amp; "" }"",
  IF(
    REGEXMATCH($C383, ""^First\(&lt;""),
    VLOOKUP(REGEXEXTRACT($C383, ""\(([^)]+)\)""), 'First"&amp;" Set MacroA'!B:D, 3, FALSE),
    IF(
      REGEXMATCH($C383, ""^Follow\(&lt;""),
      VLOOKUP(REGEXEXTRACT($C383, ""\(([^)]+)\)""), 'Follow Set Macros'!B:D, 3, FALSE),
      ""{ "" &amp; REGEXEXTRACT($C383, ""\(([^)]+)\)"") &amp; "" }""
    )
  )
)
"),"#REF!")</f>
        <v>#REF!</v>
      </c>
      <c r="E383" s="664"/>
      <c r="F383" s="664"/>
      <c r="G383" s="664"/>
      <c r="H383" s="664"/>
      <c r="I383" s="664"/>
      <c r="J383" s="664"/>
      <c r="K383" s="664"/>
      <c r="L383" s="664"/>
      <c r="M383" s="664"/>
      <c r="N383" s="664"/>
      <c r="O383" s="664"/>
      <c r="P383" s="664"/>
      <c r="Q383" s="664"/>
      <c r="R383" s="664"/>
      <c r="S383" s="664"/>
      <c r="T383" s="664"/>
      <c r="U383" s="664"/>
      <c r="V383" s="664"/>
      <c r="W383" s="664"/>
      <c r="X383" s="664"/>
    </row>
    <row r="384">
      <c r="A384" s="661">
        <f t="shared" si="1"/>
        <v>384</v>
      </c>
      <c r="B384" s="662" t="str">
        <f t="shared" si="2"/>
        <v>#REF!</v>
      </c>
      <c r="C384" s="662" t="str">
        <f>IFERROR(__xludf.DUMMYFUNCTION("IF(
  REGEXMATCH(B384, ""^First\(λ - λ\) ∪ Follow\(""),
  ""Follow("" &amp; REGEXEXTRACT(B384, ""Follow\(([^)]+)\)"") &amp; "") ="",
  IF(
    OR(
      REGEXMATCH(B384, ""^First\([^&lt;]""),
      REGEXMATCH(B384, ""^First\(&lt;[^A-Za-z_]"")
    ),
    """",
    IF(
 "&amp;"     CFG!D384=""λ"",
      ""Follow("" &amp; CFG!B384 &amp; "") ="",
      ""First("" &amp; CFG!D384 &amp; "") =""
    )
  )
)
"),"#REF!")</f>
        <v>#REF!</v>
      </c>
      <c r="D384" s="663" t="str">
        <f>IFERROR(__xludf.DUMMYFUNCTION("IF(
  $C384="""",
  ""{ "" &amp;
    IF(
      REGEXMATCH(B384, ""^First\(\)""),
      "")"",
      REGEXEXTRACT(B384, ""^First\(([^ )]+)"")
    )
  &amp; "" }"",
  IF(
    REGEXMATCH($C384, ""^First\(&lt;""),
    VLOOKUP(REGEXEXTRACT($C384, ""\(([^)]+)\)""), 'First"&amp;" Set MacroA'!B:D, 3, FALSE),
    IF(
      REGEXMATCH($C384, ""^Follow\(&lt;""),
      VLOOKUP(REGEXEXTRACT($C384, ""\(([^)]+)\)""), 'Follow Set Macros'!B:D, 3, FALSE),
      ""{ "" &amp; REGEXEXTRACT($C384, ""\(([^)]+)\)"") &amp; "" }""
    )
  )
)
"),"#REF!")</f>
        <v>#REF!</v>
      </c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</row>
    <row r="385">
      <c r="A385" s="661">
        <f t="shared" si="1"/>
        <v>385</v>
      </c>
      <c r="B385" s="662" t="str">
        <f t="shared" si="2"/>
        <v>#REF!</v>
      </c>
      <c r="C385" s="662" t="str">
        <f>IFERROR(__xludf.DUMMYFUNCTION("IF(
  REGEXMATCH(B385, ""^First\(λ - λ\) ∪ Follow\(""),
  ""Follow("" &amp; REGEXEXTRACT(B385, ""Follow\(([^)]+)\)"") &amp; "") ="",
  IF(
    OR(
      REGEXMATCH(B385, ""^First\([^&lt;]""),
      REGEXMATCH(B385, ""^First\(&lt;[^A-Za-z_]"")
    ),
    """",
    IF(
 "&amp;"     CFG!D385=""λ"",
      ""Follow("" &amp; CFG!B385 &amp; "") ="",
      ""First("" &amp; CFG!D385 &amp; "") =""
    )
  )
)
"),"#REF!")</f>
        <v>#REF!</v>
      </c>
      <c r="D385" s="663" t="str">
        <f>IFERROR(__xludf.DUMMYFUNCTION("IF(
  $C385="""",
  ""{ "" &amp;
    IF(
      REGEXMATCH(B385, ""^First\(\)""),
      "")"",
      REGEXEXTRACT(B385, ""^First\(([^ )]+)"")
    )
  &amp; "" }"",
  IF(
    REGEXMATCH($C385, ""^First\(&lt;""),
    VLOOKUP(REGEXEXTRACT($C385, ""\(([^)]+)\)""), 'First"&amp;" Set MacroA'!B:D, 3, FALSE),
    IF(
      REGEXMATCH($C385, ""^Follow\(&lt;""),
      VLOOKUP(REGEXEXTRACT($C385, ""\(([^)]+)\)""), 'Follow Set Macros'!B:D, 3, FALSE),
      ""{ "" &amp; REGEXEXTRACT($C385, ""\(([^)]+)\)"") &amp; "" }""
    )
  )
)
"),"#REF!")</f>
        <v>#REF!</v>
      </c>
      <c r="E385" s="664"/>
      <c r="F385" s="664"/>
      <c r="G385" s="664"/>
      <c r="H385" s="664"/>
      <c r="I385" s="664"/>
      <c r="J385" s="664"/>
      <c r="K385" s="664"/>
      <c r="L385" s="664"/>
      <c r="M385" s="664"/>
      <c r="N385" s="664"/>
      <c r="O385" s="664"/>
      <c r="P385" s="664"/>
      <c r="Q385" s="664"/>
      <c r="R385" s="664"/>
      <c r="S385" s="664"/>
      <c r="T385" s="664"/>
      <c r="U385" s="664"/>
      <c r="V385" s="664"/>
      <c r="W385" s="664"/>
      <c r="X385" s="664"/>
    </row>
    <row r="386">
      <c r="A386" s="661">
        <f t="shared" si="1"/>
        <v>386</v>
      </c>
      <c r="B386" s="662" t="str">
        <f t="shared" si="2"/>
        <v>#REF!</v>
      </c>
      <c r="C386" s="662" t="str">
        <f>IFERROR(__xludf.DUMMYFUNCTION("IF(
  REGEXMATCH(B386, ""^First\(λ - λ\) ∪ Follow\(""),
  ""Follow("" &amp; REGEXEXTRACT(B386, ""Follow\(([^)]+)\)"") &amp; "") ="",
  IF(
    OR(
      REGEXMATCH(B386, ""^First\([^&lt;]""),
      REGEXMATCH(B386, ""^First\(&lt;[^A-Za-z_]"")
    ),
    """",
    IF(
 "&amp;"     CFG!D386=""λ"",
      ""Follow("" &amp; CFG!B386 &amp; "") ="",
      ""First("" &amp; CFG!D386 &amp; "") =""
    )
  )
)
"),"#REF!")</f>
        <v>#REF!</v>
      </c>
      <c r="D386" s="663" t="str">
        <f>IFERROR(__xludf.DUMMYFUNCTION("IF(
  $C386="""",
  ""{ "" &amp;
    IF(
      REGEXMATCH(B386, ""^First\(\)""),
      "")"",
      REGEXEXTRACT(B386, ""^First\(([^ )]+)"")
    )
  &amp; "" }"",
  IF(
    REGEXMATCH($C386, ""^First\(&lt;""),
    VLOOKUP(REGEXEXTRACT($C386, ""\(([^)]+)\)""), 'First"&amp;" Set MacroA'!B:D, 3, FALSE),
    IF(
      REGEXMATCH($C386, ""^Follow\(&lt;""),
      VLOOKUP(REGEXEXTRACT($C386, ""\(([^)]+)\)""), 'Follow Set Macros'!B:D, 3, FALSE),
      ""{ "" &amp; REGEXEXTRACT($C386, ""\(([^)]+)\)"") &amp; "" }""
    )
  )
)
"),"#REF!")</f>
        <v>#REF!</v>
      </c>
      <c r="E386" s="664"/>
      <c r="F386" s="664"/>
      <c r="G386" s="664"/>
      <c r="H386" s="664"/>
      <c r="I386" s="664"/>
      <c r="J386" s="664"/>
      <c r="K386" s="664"/>
      <c r="L386" s="664"/>
      <c r="M386" s="664"/>
      <c r="N386" s="664"/>
      <c r="O386" s="664"/>
      <c r="P386" s="664"/>
      <c r="Q386" s="664"/>
      <c r="R386" s="664"/>
      <c r="S386" s="664"/>
      <c r="T386" s="664"/>
      <c r="U386" s="664"/>
      <c r="V386" s="664"/>
      <c r="W386" s="664"/>
      <c r="X386" s="664"/>
    </row>
    <row r="387">
      <c r="A387" s="661">
        <f t="shared" si="1"/>
        <v>387</v>
      </c>
      <c r="B387" s="662" t="str">
        <f t="shared" si="2"/>
        <v>#REF!</v>
      </c>
      <c r="C387" s="662" t="str">
        <f>IFERROR(__xludf.DUMMYFUNCTION("IF(
  REGEXMATCH(B387, ""^First\(λ - λ\) ∪ Follow\(""),
  ""Follow("" &amp; REGEXEXTRACT(B387, ""Follow\(([^)]+)\)"") &amp; "") ="",
  IF(
    OR(
      REGEXMATCH(B387, ""^First\([^&lt;]""),
      REGEXMATCH(B387, ""^First\(&lt;[^A-Za-z_]"")
    ),
    """",
    IF(
 "&amp;"     CFG!D387=""λ"",
      ""Follow("" &amp; CFG!B387 &amp; "") ="",
      ""First("" &amp; CFG!D387 &amp; "") =""
    )
  )
)
"),"#REF!")</f>
        <v>#REF!</v>
      </c>
      <c r="D387" s="663" t="str">
        <f>IFERROR(__xludf.DUMMYFUNCTION("IF(
  $C387="""",
  ""{ "" &amp;
    IF(
      REGEXMATCH(B387, ""^First\(\)""),
      "")"",
      REGEXEXTRACT(B387, ""^First\(([^ )]+)"")
    )
  &amp; "" }"",
  IF(
    REGEXMATCH($C387, ""^First\(&lt;""),
    VLOOKUP(REGEXEXTRACT($C387, ""\(([^)]+)\)""), 'First"&amp;" Set MacroA'!B:D, 3, FALSE),
    IF(
      REGEXMATCH($C387, ""^Follow\(&lt;""),
      VLOOKUP(REGEXEXTRACT($C387, ""\(([^)]+)\)""), 'Follow Set Macros'!B:D, 3, FALSE),
      ""{ "" &amp; REGEXEXTRACT($C387, ""\(([^)]+)\)"") &amp; "" }""
    )
  )
)
"),"#REF!")</f>
        <v>#REF!</v>
      </c>
      <c r="E387" s="664"/>
      <c r="F387" s="664"/>
      <c r="G387" s="664"/>
      <c r="H387" s="664"/>
      <c r="I387" s="664"/>
      <c r="J387" s="664"/>
      <c r="K387" s="664"/>
      <c r="L387" s="664"/>
      <c r="M387" s="664"/>
      <c r="N387" s="664"/>
      <c r="O387" s="664"/>
      <c r="P387" s="664"/>
      <c r="Q387" s="664"/>
      <c r="R387" s="664"/>
      <c r="S387" s="664"/>
      <c r="T387" s="664"/>
      <c r="U387" s="664"/>
      <c r="V387" s="664"/>
      <c r="W387" s="664"/>
      <c r="X387" s="664"/>
    </row>
    <row r="388">
      <c r="A388" s="661">
        <f t="shared" si="1"/>
        <v>388</v>
      </c>
      <c r="B388" s="662" t="str">
        <f t="shared" si="2"/>
        <v>#REF!</v>
      </c>
      <c r="C388" s="662" t="str">
        <f>IFERROR(__xludf.DUMMYFUNCTION("IF(
  REGEXMATCH(B388, ""^First\(λ - λ\) ∪ Follow\(""),
  ""Follow("" &amp; REGEXEXTRACT(B388, ""Follow\(([^)]+)\)"") &amp; "") ="",
  IF(
    OR(
      REGEXMATCH(B388, ""^First\([^&lt;]""),
      REGEXMATCH(B388, ""^First\(&lt;[^A-Za-z_]"")
    ),
    """",
    IF(
 "&amp;"     CFG!D388=""λ"",
      ""Follow("" &amp; CFG!B388 &amp; "") ="",
      ""First("" &amp; CFG!D388 &amp; "") =""
    )
  )
)
"),"#REF!")</f>
        <v>#REF!</v>
      </c>
      <c r="D388" s="663" t="str">
        <f>IFERROR(__xludf.DUMMYFUNCTION("IF(
  $C388="""",
  ""{ "" &amp;
    IF(
      REGEXMATCH(B388, ""^First\(\)""),
      "")"",
      REGEXEXTRACT(B388, ""^First\(([^ )]+)"")
    )
  &amp; "" }"",
  IF(
    REGEXMATCH($C388, ""^First\(&lt;""),
    VLOOKUP(REGEXEXTRACT($C388, ""\(([^)]+)\)""), 'First"&amp;" Set MacroA'!B:D, 3, FALSE),
    IF(
      REGEXMATCH($C388, ""^Follow\(&lt;""),
      VLOOKUP(REGEXEXTRACT($C388, ""\(([^)]+)\)""), 'Follow Set Macros'!B:D, 3, FALSE),
      ""{ "" &amp; REGEXEXTRACT($C388, ""\(([^)]+)\)"") &amp; "" }""
    )
  )
)
"),"#REF!")</f>
        <v>#REF!</v>
      </c>
      <c r="E388" s="664"/>
      <c r="F388" s="664"/>
      <c r="G388" s="664"/>
      <c r="H388" s="664"/>
      <c r="I388" s="664"/>
      <c r="J388" s="664"/>
      <c r="K388" s="664"/>
      <c r="L388" s="664"/>
      <c r="M388" s="664"/>
      <c r="N388" s="664"/>
      <c r="O388" s="664"/>
      <c r="P388" s="664"/>
      <c r="Q388" s="664"/>
      <c r="R388" s="664"/>
      <c r="S388" s="664"/>
      <c r="T388" s="664"/>
      <c r="U388" s="664"/>
      <c r="V388" s="664"/>
      <c r="W388" s="664"/>
      <c r="X388" s="664"/>
    </row>
    <row r="389">
      <c r="A389" s="661">
        <f t="shared" si="1"/>
        <v>389</v>
      </c>
      <c r="B389" s="662" t="str">
        <f t="shared" si="2"/>
        <v>#REF!</v>
      </c>
      <c r="C389" s="662" t="str">
        <f>IFERROR(__xludf.DUMMYFUNCTION("IF(
  REGEXMATCH(B389, ""^First\(λ - λ\) ∪ Follow\(""),
  ""Follow("" &amp; REGEXEXTRACT(B389, ""Follow\(([^)]+)\)"") &amp; "") ="",
  IF(
    OR(
      REGEXMATCH(B389, ""^First\([^&lt;]""),
      REGEXMATCH(B389, ""^First\(&lt;[^A-Za-z_]"")
    ),
    """",
    IF(
 "&amp;"     CFG!D389=""λ"",
      ""Follow("" &amp; CFG!B389 &amp; "") ="",
      ""First("" &amp; CFG!D389 &amp; "") =""
    )
  )
)
"),"#REF!")</f>
        <v>#REF!</v>
      </c>
      <c r="D389" s="663" t="str">
        <f>IFERROR(__xludf.DUMMYFUNCTION("IF(
  $C389="""",
  ""{ "" &amp;
    IF(
      REGEXMATCH(B389, ""^First\(\)""),
      "")"",
      REGEXEXTRACT(B389, ""^First\(([^ )]+)"")
    )
  &amp; "" }"",
  IF(
    REGEXMATCH($C389, ""^First\(&lt;""),
    VLOOKUP(REGEXEXTRACT($C389, ""\(([^)]+)\)""), 'First"&amp;" Set MacroA'!B:D, 3, FALSE),
    IF(
      REGEXMATCH($C389, ""^Follow\(&lt;""),
      VLOOKUP(REGEXEXTRACT($C389, ""\(([^)]+)\)""), 'Follow Set Macros'!B:D, 3, FALSE),
      ""{ "" &amp; REGEXEXTRACT($C389, ""\(([^)]+)\)"") &amp; "" }""
    )
  )
)
"),"#REF!")</f>
        <v>#REF!</v>
      </c>
      <c r="E389" s="664"/>
      <c r="F389" s="664"/>
      <c r="G389" s="664"/>
      <c r="H389" s="664"/>
      <c r="I389" s="664"/>
      <c r="J389" s="664"/>
      <c r="K389" s="664"/>
      <c r="L389" s="664"/>
      <c r="M389" s="664"/>
      <c r="N389" s="664"/>
      <c r="O389" s="664"/>
      <c r="P389" s="664"/>
      <c r="Q389" s="664"/>
      <c r="R389" s="664"/>
      <c r="S389" s="664"/>
      <c r="T389" s="664"/>
      <c r="U389" s="664"/>
      <c r="V389" s="664"/>
      <c r="W389" s="664"/>
      <c r="X389" s="664"/>
    </row>
    <row r="390">
      <c r="A390" s="661">
        <f t="shared" si="1"/>
        <v>390</v>
      </c>
      <c r="B390" s="662" t="str">
        <f t="shared" si="2"/>
        <v>#REF!</v>
      </c>
      <c r="C390" s="662" t="str">
        <f>IFERROR(__xludf.DUMMYFUNCTION("IF(
  REGEXMATCH(B390, ""^First\(λ - λ\) ∪ Follow\(""),
  ""Follow("" &amp; REGEXEXTRACT(B390, ""Follow\(([^)]+)\)"") &amp; "") ="",
  IF(
    OR(
      REGEXMATCH(B390, ""^First\([^&lt;]""),
      REGEXMATCH(B390, ""^First\(&lt;[^A-Za-z_]"")
    ),
    """",
    IF(
 "&amp;"     CFG!D390=""λ"",
      ""Follow("" &amp; CFG!B390 &amp; "") ="",
      ""First("" &amp; CFG!D390 &amp; "") =""
    )
  )
)
"),"#REF!")</f>
        <v>#REF!</v>
      </c>
      <c r="D390" s="663" t="str">
        <f>IFERROR(__xludf.DUMMYFUNCTION("IF(
  $C390="""",
  ""{ "" &amp;
    IF(
      REGEXMATCH(B390, ""^First\(\)""),
      "")"",
      REGEXEXTRACT(B390, ""^First\(([^ )]+)"")
    )
  &amp; "" }"",
  IF(
    REGEXMATCH($C390, ""^First\(&lt;""),
    VLOOKUP(REGEXEXTRACT($C390, ""\(([^)]+)\)""), 'First"&amp;" Set MacroA'!B:D, 3, FALSE),
    IF(
      REGEXMATCH($C390, ""^Follow\(&lt;""),
      VLOOKUP(REGEXEXTRACT($C390, ""\(([^)]+)\)""), 'Follow Set Macros'!B:D, 3, FALSE),
      ""{ "" &amp; REGEXEXTRACT($C390, ""\(([^)]+)\)"") &amp; "" }""
    )
  )
)
"),"#REF!")</f>
        <v>#REF!</v>
      </c>
      <c r="E390" s="664"/>
      <c r="F390" s="664"/>
      <c r="G390" s="664"/>
      <c r="H390" s="664"/>
      <c r="I390" s="664"/>
      <c r="J390" s="664"/>
      <c r="K390" s="664"/>
      <c r="L390" s="664"/>
      <c r="M390" s="664"/>
      <c r="N390" s="664"/>
      <c r="O390" s="664"/>
      <c r="P390" s="664"/>
      <c r="Q390" s="664"/>
      <c r="R390" s="664"/>
      <c r="S390" s="664"/>
      <c r="T390" s="664"/>
      <c r="U390" s="664"/>
      <c r="V390" s="664"/>
      <c r="W390" s="664"/>
      <c r="X390" s="664"/>
    </row>
    <row r="391">
      <c r="A391" s="661">
        <f t="shared" si="1"/>
        <v>391</v>
      </c>
      <c r="B391" s="662" t="str">
        <f t="shared" si="2"/>
        <v>#REF!</v>
      </c>
      <c r="C391" s="662" t="str">
        <f>IFERROR(__xludf.DUMMYFUNCTION("IF(
  REGEXMATCH(B391, ""^First\(λ - λ\) ∪ Follow\(""),
  ""Follow("" &amp; REGEXEXTRACT(B391, ""Follow\(([^)]+)\)"") &amp; "") ="",
  IF(
    OR(
      REGEXMATCH(B391, ""^First\([^&lt;]""),
      REGEXMATCH(B391, ""^First\(&lt;[^A-Za-z_]"")
    ),
    """",
    IF(
 "&amp;"     CFG!D391=""λ"",
      ""Follow("" &amp; CFG!B391 &amp; "") ="",
      ""First("" &amp; CFG!D391 &amp; "") =""
    )
  )
)
"),"#REF!")</f>
        <v>#REF!</v>
      </c>
      <c r="D391" s="663" t="str">
        <f>IFERROR(__xludf.DUMMYFUNCTION("IF(
  $C391="""",
  ""{ "" &amp;
    IF(
      REGEXMATCH(B391, ""^First\(\)""),
      "")"",
      REGEXEXTRACT(B391, ""^First\(([^ )]+)"")
    )
  &amp; "" }"",
  IF(
    REGEXMATCH($C391, ""^First\(&lt;""),
    VLOOKUP(REGEXEXTRACT($C391, ""\(([^)]+)\)""), 'First"&amp;" Set MacroA'!B:D, 3, FALSE),
    IF(
      REGEXMATCH($C391, ""^Follow\(&lt;""),
      VLOOKUP(REGEXEXTRACT($C391, ""\(([^)]+)\)""), 'Follow Set Macros'!B:D, 3, FALSE),
      ""{ "" &amp; REGEXEXTRACT($C391, ""\(([^)]+)\)"") &amp; "" }""
    )
  )
)
"),"#REF!")</f>
        <v>#REF!</v>
      </c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</row>
    <row r="392">
      <c r="A392" s="661">
        <f t="shared" si="1"/>
        <v>392</v>
      </c>
      <c r="B392" s="662" t="str">
        <f t="shared" si="2"/>
        <v>#REF!</v>
      </c>
      <c r="C392" s="662" t="str">
        <f>IFERROR(__xludf.DUMMYFUNCTION("IF(
  REGEXMATCH(B392, ""^First\(λ - λ\) ∪ Follow\(""),
  ""Follow("" &amp; REGEXEXTRACT(B392, ""Follow\(([^)]+)\)"") &amp; "") ="",
  IF(
    OR(
      REGEXMATCH(B392, ""^First\([^&lt;]""),
      REGEXMATCH(B392, ""^First\(&lt;[^A-Za-z_]"")
    ),
    """",
    IF(
 "&amp;"     CFG!D392=""λ"",
      ""Follow("" &amp; CFG!B392 &amp; "") ="",
      ""First("" &amp; CFG!D392 &amp; "") =""
    )
  )
)
"),"#REF!")</f>
        <v>#REF!</v>
      </c>
      <c r="D392" s="663" t="str">
        <f>IFERROR(__xludf.DUMMYFUNCTION("IF(
  $C392="""",
  ""{ "" &amp;
    IF(
      REGEXMATCH(B392, ""^First\(\)""),
      "")"",
      REGEXEXTRACT(B392, ""^First\(([^ )]+)"")
    )
  &amp; "" }"",
  IF(
    REGEXMATCH($C392, ""^First\(&lt;""),
    VLOOKUP(REGEXEXTRACT($C392, ""\(([^)]+)\)""), 'First"&amp;" Set MacroA'!B:D, 3, FALSE),
    IF(
      REGEXMATCH($C392, ""^Follow\(&lt;""),
      VLOOKUP(REGEXEXTRACT($C392, ""\(([^)]+)\)""), 'Follow Set Macros'!B:D, 3, FALSE),
      ""{ "" &amp; REGEXEXTRACT($C392, ""\(([^)]+)\)"") &amp; "" }""
    )
  )
)
"),"#REF!")</f>
        <v>#REF!</v>
      </c>
      <c r="E392" s="664"/>
      <c r="F392" s="664"/>
      <c r="G392" s="664"/>
      <c r="H392" s="664"/>
      <c r="I392" s="664"/>
      <c r="J392" s="664"/>
      <c r="K392" s="664"/>
      <c r="L392" s="664"/>
      <c r="M392" s="664"/>
      <c r="N392" s="664"/>
      <c r="O392" s="664"/>
      <c r="P392" s="664"/>
      <c r="Q392" s="664"/>
      <c r="R392" s="664"/>
      <c r="S392" s="664"/>
      <c r="T392" s="664"/>
      <c r="U392" s="664"/>
      <c r="V392" s="664"/>
      <c r="W392" s="664"/>
      <c r="X392" s="664"/>
    </row>
    <row r="393">
      <c r="A393" s="661">
        <f t="shared" si="1"/>
        <v>393</v>
      </c>
      <c r="B393" s="662" t="str">
        <f t="shared" si="2"/>
        <v>#REF!</v>
      </c>
      <c r="C393" s="662" t="str">
        <f>IFERROR(__xludf.DUMMYFUNCTION("IF(
  REGEXMATCH(B393, ""^First\(λ - λ\) ∪ Follow\(""),
  ""Follow("" &amp; REGEXEXTRACT(B393, ""Follow\(([^)]+)\)"") &amp; "") ="",
  IF(
    OR(
      REGEXMATCH(B393, ""^First\([^&lt;]""),
      REGEXMATCH(B393, ""^First\(&lt;[^A-Za-z_]"")
    ),
    """",
    IF(
 "&amp;"     CFG!D393=""λ"",
      ""Follow("" &amp; CFG!B393 &amp; "") ="",
      ""First("" &amp; CFG!D393 &amp; "") =""
    )
  )
)
"),"#REF!")</f>
        <v>#REF!</v>
      </c>
      <c r="D393" s="663" t="str">
        <f>IFERROR(__xludf.DUMMYFUNCTION("IF(
  $C393="""",
  ""{ "" &amp;
    IF(
      REGEXMATCH(B393, ""^First\(\)""),
      "")"",
      REGEXEXTRACT(B393, ""^First\(([^ )]+)"")
    )
  &amp; "" }"",
  IF(
    REGEXMATCH($C393, ""^First\(&lt;""),
    VLOOKUP(REGEXEXTRACT($C393, ""\(([^)]+)\)""), 'First"&amp;" Set MacroA'!B:D, 3, FALSE),
    IF(
      REGEXMATCH($C393, ""^Follow\(&lt;""),
      VLOOKUP(REGEXEXTRACT($C393, ""\(([^)]+)\)""), 'Follow Set Macros'!B:D, 3, FALSE),
      ""{ "" &amp; REGEXEXTRACT($C393, ""\(([^)]+)\)"") &amp; "" }""
    )
  )
)
"),"#REF!")</f>
        <v>#REF!</v>
      </c>
      <c r="E393" s="664"/>
      <c r="F393" s="664"/>
      <c r="G393" s="664"/>
      <c r="H393" s="664"/>
      <c r="I393" s="664"/>
      <c r="J393" s="664"/>
      <c r="K393" s="664"/>
      <c r="L393" s="664"/>
      <c r="M393" s="664"/>
      <c r="N393" s="664"/>
      <c r="O393" s="664"/>
      <c r="P393" s="664"/>
      <c r="Q393" s="664"/>
      <c r="R393" s="664"/>
      <c r="S393" s="664"/>
      <c r="T393" s="664"/>
      <c r="U393" s="664"/>
      <c r="V393" s="664"/>
      <c r="W393" s="664"/>
      <c r="X393" s="664"/>
    </row>
    <row r="394">
      <c r="A394" s="661">
        <f t="shared" si="1"/>
        <v>394</v>
      </c>
      <c r="B394" s="662" t="str">
        <f t="shared" si="2"/>
        <v>#REF!</v>
      </c>
      <c r="C394" s="662" t="str">
        <f>IFERROR(__xludf.DUMMYFUNCTION("IF(
  REGEXMATCH(B394, ""^First\(λ - λ\) ∪ Follow\(""),
  ""Follow("" &amp; REGEXEXTRACT(B394, ""Follow\(([^)]+)\)"") &amp; "") ="",
  IF(
    OR(
      REGEXMATCH(B394, ""^First\([^&lt;]""),
      REGEXMATCH(B394, ""^First\(&lt;[^A-Za-z_]"")
    ),
    """",
    IF(
 "&amp;"     CFG!D394=""λ"",
      ""Follow("" &amp; CFG!B394 &amp; "") ="",
      ""First("" &amp; CFG!D394 &amp; "") =""
    )
  )
)
"),"#REF!")</f>
        <v>#REF!</v>
      </c>
      <c r="D394" s="663" t="str">
        <f>IFERROR(__xludf.DUMMYFUNCTION("IF(
  $C394="""",
  ""{ "" &amp;
    IF(
      REGEXMATCH(B394, ""^First\(\)""),
      "")"",
      REGEXEXTRACT(B394, ""^First\(([^ )]+)"")
    )
  &amp; "" }"",
  IF(
    REGEXMATCH($C394, ""^First\(&lt;""),
    VLOOKUP(REGEXEXTRACT($C394, ""\(([^)]+)\)""), 'First"&amp;" Set MacroA'!B:D, 3, FALSE),
    IF(
      REGEXMATCH($C394, ""^Follow\(&lt;""),
      VLOOKUP(REGEXEXTRACT($C394, ""\(([^)]+)\)""), 'Follow Set Macros'!B:D, 3, FALSE),
      ""{ "" &amp; REGEXEXTRACT($C394, ""\(([^)]+)\)"") &amp; "" }""
    )
  )
)
"),"#REF!")</f>
        <v>#REF!</v>
      </c>
      <c r="E394" s="664"/>
      <c r="F394" s="664"/>
      <c r="G394" s="664"/>
      <c r="H394" s="664"/>
      <c r="I394" s="664"/>
      <c r="J394" s="664"/>
      <c r="K394" s="664"/>
      <c r="L394" s="664"/>
      <c r="M394" s="664"/>
      <c r="N394" s="664"/>
      <c r="O394" s="664"/>
      <c r="P394" s="664"/>
      <c r="Q394" s="664"/>
      <c r="R394" s="664"/>
      <c r="S394" s="664"/>
      <c r="T394" s="664"/>
      <c r="U394" s="664"/>
      <c r="V394" s="664"/>
      <c r="W394" s="664"/>
      <c r="X394" s="664"/>
    </row>
    <row r="395">
      <c r="A395" s="661">
        <f t="shared" si="1"/>
        <v>395</v>
      </c>
      <c r="B395" s="662" t="str">
        <f t="shared" si="2"/>
        <v>#REF!</v>
      </c>
      <c r="C395" s="662" t="str">
        <f>IFERROR(__xludf.DUMMYFUNCTION("IF(
  REGEXMATCH(B395, ""^First\(λ - λ\) ∪ Follow\(""),
  ""Follow("" &amp; REGEXEXTRACT(B395, ""Follow\(([^)]+)\)"") &amp; "") ="",
  IF(
    OR(
      REGEXMATCH(B395, ""^First\([^&lt;]""),
      REGEXMATCH(B395, ""^First\(&lt;[^A-Za-z_]"")
    ),
    """",
    IF(
 "&amp;"     CFG!D395=""λ"",
      ""Follow("" &amp; CFG!B395 &amp; "") ="",
      ""First("" &amp; CFG!D395 &amp; "") =""
    )
  )
)
"),"#REF!")</f>
        <v>#REF!</v>
      </c>
      <c r="D395" s="663" t="str">
        <f>IFERROR(__xludf.DUMMYFUNCTION("IF(
  $C395="""",
  ""{ "" &amp;
    IF(
      REGEXMATCH(B395, ""^First\(\)""),
      "")"",
      REGEXEXTRACT(B395, ""^First\(([^ )]+)"")
    )
  &amp; "" }"",
  IF(
    REGEXMATCH($C395, ""^First\(&lt;""),
    VLOOKUP(REGEXEXTRACT($C395, ""\(([^)]+)\)""), 'First"&amp;" Set MacroA'!B:D, 3, FALSE),
    IF(
      REGEXMATCH($C395, ""^Follow\(&lt;""),
      VLOOKUP(REGEXEXTRACT($C395, ""\(([^)]+)\)""), 'Follow Set Macros'!B:D, 3, FALSE),
      ""{ "" &amp; REGEXEXTRACT($C395, ""\(([^)]+)\)"") &amp; "" }""
    )
  )
)
"),"#REF!")</f>
        <v>#REF!</v>
      </c>
      <c r="E395" s="664"/>
      <c r="F395" s="664"/>
      <c r="G395" s="664"/>
      <c r="H395" s="664"/>
      <c r="I395" s="664"/>
      <c r="J395" s="664"/>
      <c r="K395" s="664"/>
      <c r="L395" s="664"/>
      <c r="M395" s="664"/>
      <c r="N395" s="664"/>
      <c r="O395" s="664"/>
      <c r="P395" s="664"/>
      <c r="Q395" s="664"/>
      <c r="R395" s="664"/>
      <c r="S395" s="664"/>
      <c r="T395" s="664"/>
      <c r="U395" s="664"/>
      <c r="V395" s="664"/>
      <c r="W395" s="664"/>
      <c r="X395" s="664"/>
    </row>
    <row r="396">
      <c r="A396" s="661">
        <f t="shared" si="1"/>
        <v>396</v>
      </c>
      <c r="B396" s="662" t="str">
        <f t="shared" si="2"/>
        <v>#REF!</v>
      </c>
      <c r="C396" s="662" t="str">
        <f>IFERROR(__xludf.DUMMYFUNCTION("IF(
  REGEXMATCH(B396, ""^First\(λ - λ\) ∪ Follow\(""),
  ""Follow("" &amp; REGEXEXTRACT(B396, ""Follow\(([^)]+)\)"") &amp; "") ="",
  IF(
    OR(
      REGEXMATCH(B396, ""^First\([^&lt;]""),
      REGEXMATCH(B396, ""^First\(&lt;[^A-Za-z_]"")
    ),
    """",
    IF(
 "&amp;"     CFG!D396=""λ"",
      ""Follow("" &amp; CFG!B396 &amp; "") ="",
      ""First("" &amp; CFG!D396 &amp; "") =""
    )
  )
)
"),"#REF!")</f>
        <v>#REF!</v>
      </c>
      <c r="D396" s="663" t="str">
        <f>IFERROR(__xludf.DUMMYFUNCTION("IF(
  $C396="""",
  ""{ "" &amp;
    IF(
      REGEXMATCH(B396, ""^First\(\)""),
      "")"",
      REGEXEXTRACT(B396, ""^First\(([^ )]+)"")
    )
  &amp; "" }"",
  IF(
    REGEXMATCH($C396, ""^First\(&lt;""),
    VLOOKUP(REGEXEXTRACT($C396, ""\(([^)]+)\)""), 'First"&amp;" Set MacroA'!B:D, 3, FALSE),
    IF(
      REGEXMATCH($C396, ""^Follow\(&lt;""),
      VLOOKUP(REGEXEXTRACT($C396, ""\(([^)]+)\)""), 'Follow Set Macros'!B:D, 3, FALSE),
      ""{ "" &amp; REGEXEXTRACT($C396, ""\(([^)]+)\)"") &amp; "" }""
    )
  )
)
"),"#REF!")</f>
        <v>#REF!</v>
      </c>
      <c r="E396" s="664"/>
      <c r="F396" s="664"/>
      <c r="G396" s="664"/>
      <c r="H396" s="664"/>
      <c r="I396" s="664"/>
      <c r="J396" s="664"/>
      <c r="K396" s="664"/>
      <c r="L396" s="664"/>
      <c r="M396" s="664"/>
      <c r="N396" s="664"/>
      <c r="O396" s="664"/>
      <c r="P396" s="664"/>
      <c r="Q396" s="664"/>
      <c r="R396" s="664"/>
      <c r="S396" s="664"/>
      <c r="T396" s="664"/>
      <c r="U396" s="664"/>
      <c r="V396" s="664"/>
      <c r="W396" s="664"/>
      <c r="X396" s="664"/>
    </row>
    <row r="397">
      <c r="A397" s="661">
        <f t="shared" si="1"/>
        <v>397</v>
      </c>
      <c r="B397" s="662" t="str">
        <f t="shared" si="2"/>
        <v>#REF!</v>
      </c>
      <c r="C397" s="662" t="str">
        <f>IFERROR(__xludf.DUMMYFUNCTION("IF(
  REGEXMATCH(B397, ""^First\(λ - λ\) ∪ Follow\(""),
  ""Follow("" &amp; REGEXEXTRACT(B397, ""Follow\(([^)]+)\)"") &amp; "") ="",
  IF(
    OR(
      REGEXMATCH(B397, ""^First\([^&lt;]""),
      REGEXMATCH(B397, ""^First\(&lt;[^A-Za-z_]"")
    ),
    """",
    IF(
 "&amp;"     CFG!D397=""λ"",
      ""Follow("" &amp; CFG!B397 &amp; "") ="",
      ""First("" &amp; CFG!D397 &amp; "") =""
    )
  )
)
"),"#REF!")</f>
        <v>#REF!</v>
      </c>
      <c r="D397" s="663" t="str">
        <f>IFERROR(__xludf.DUMMYFUNCTION("IF(
  $C397="""",
  ""{ "" &amp;
    IF(
      REGEXMATCH(B397, ""^First\(\)""),
      "")"",
      REGEXEXTRACT(B397, ""^First\(([^ )]+)"")
    )
  &amp; "" }"",
  IF(
    REGEXMATCH($C397, ""^First\(&lt;""),
    VLOOKUP(REGEXEXTRACT($C397, ""\(([^)]+)\)""), 'First"&amp;" Set MacroA'!B:D, 3, FALSE),
    IF(
      REGEXMATCH($C397, ""^Follow\(&lt;""),
      VLOOKUP(REGEXEXTRACT($C397, ""\(([^)]+)\)""), 'Follow Set Macros'!B:D, 3, FALSE),
      ""{ "" &amp; REGEXEXTRACT($C397, ""\(([^)]+)\)"") &amp; "" }""
    )
  )
)
"),"#REF!")</f>
        <v>#REF!</v>
      </c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</row>
    <row r="398">
      <c r="A398" s="661">
        <f t="shared" si="1"/>
        <v>398</v>
      </c>
      <c r="B398" s="662" t="str">
        <f t="shared" si="2"/>
        <v>#REF!</v>
      </c>
      <c r="C398" s="662" t="str">
        <f>IFERROR(__xludf.DUMMYFUNCTION("IF(
  REGEXMATCH(B398, ""^First\(λ - λ\) ∪ Follow\(""),
  ""Follow("" &amp; REGEXEXTRACT(B398, ""Follow\(([^)]+)\)"") &amp; "") ="",
  IF(
    OR(
      REGEXMATCH(B398, ""^First\([^&lt;]""),
      REGEXMATCH(B398, ""^First\(&lt;[^A-Za-z_]"")
    ),
    """",
    IF(
 "&amp;"     CFG!D398=""λ"",
      ""Follow("" &amp; CFG!B398 &amp; "") ="",
      ""First("" &amp; CFG!D398 &amp; "") =""
    )
  )
)
"),"#REF!")</f>
        <v>#REF!</v>
      </c>
      <c r="D398" s="663" t="str">
        <f>IFERROR(__xludf.DUMMYFUNCTION("IF(
  $C398="""",
  ""{ "" &amp;
    IF(
      REGEXMATCH(B398, ""^First\(\)""),
      "")"",
      REGEXEXTRACT(B398, ""^First\(([^ )]+)"")
    )
  &amp; "" }"",
  IF(
    REGEXMATCH($C398, ""^First\(&lt;""),
    VLOOKUP(REGEXEXTRACT($C398, ""\(([^)]+)\)""), 'First"&amp;" Set MacroA'!B:D, 3, FALSE),
    IF(
      REGEXMATCH($C398, ""^Follow\(&lt;""),
      VLOOKUP(REGEXEXTRACT($C398, ""\(([^)]+)\)""), 'Follow Set Macros'!B:D, 3, FALSE),
      ""{ "" &amp; REGEXEXTRACT($C398, ""\(([^)]+)\)"") &amp; "" }""
    )
  )
)
"),"#REF!")</f>
        <v>#REF!</v>
      </c>
      <c r="E398" s="664"/>
      <c r="F398" s="664"/>
      <c r="G398" s="664"/>
      <c r="H398" s="664"/>
      <c r="I398" s="664"/>
      <c r="J398" s="664"/>
      <c r="K398" s="664"/>
      <c r="L398" s="664"/>
      <c r="M398" s="664"/>
      <c r="N398" s="664"/>
      <c r="O398" s="664"/>
      <c r="P398" s="664"/>
      <c r="Q398" s="664"/>
      <c r="R398" s="664"/>
      <c r="S398" s="664"/>
      <c r="T398" s="664"/>
      <c r="U398" s="664"/>
      <c r="V398" s="664"/>
      <c r="W398" s="664"/>
      <c r="X398" s="664"/>
    </row>
    <row r="399">
      <c r="A399" s="661">
        <f t="shared" si="1"/>
        <v>399</v>
      </c>
      <c r="B399" s="662" t="str">
        <f t="shared" si="2"/>
        <v>#REF!</v>
      </c>
      <c r="C399" s="662" t="str">
        <f>IFERROR(__xludf.DUMMYFUNCTION("IF(
  REGEXMATCH(B399, ""^First\(λ - λ\) ∪ Follow\(""),
  ""Follow("" &amp; REGEXEXTRACT(B399, ""Follow\(([^)]+)\)"") &amp; "") ="",
  IF(
    OR(
      REGEXMATCH(B399, ""^First\([^&lt;]""),
      REGEXMATCH(B399, ""^First\(&lt;[^A-Za-z_]"")
    ),
    """",
    IF(
 "&amp;"     CFG!D399=""λ"",
      ""Follow("" &amp; CFG!B399 &amp; "") ="",
      ""First("" &amp; CFG!D399 &amp; "") =""
    )
  )
)
"),"#REF!")</f>
        <v>#REF!</v>
      </c>
      <c r="D399" s="663" t="str">
        <f>IFERROR(__xludf.DUMMYFUNCTION("IF(
  $C399="""",
  ""{ "" &amp;
    IF(
      REGEXMATCH(B399, ""^First\(\)""),
      "")"",
      REGEXEXTRACT(B399, ""^First\(([^ )]+)"")
    )
  &amp; "" }"",
  IF(
    REGEXMATCH($C399, ""^First\(&lt;""),
    VLOOKUP(REGEXEXTRACT($C399, ""\(([^)]+)\)""), 'First"&amp;" Set MacroA'!B:D, 3, FALSE),
    IF(
      REGEXMATCH($C399, ""^Follow\(&lt;""),
      VLOOKUP(REGEXEXTRACT($C399, ""\(([^)]+)\)""), 'Follow Set Macros'!B:D, 3, FALSE),
      ""{ "" &amp; REGEXEXTRACT($C399, ""\(([^)]+)\)"") &amp; "" }""
    )
  )
)
"),"#REF!")</f>
        <v>#REF!</v>
      </c>
      <c r="E399" s="664"/>
      <c r="F399" s="664"/>
      <c r="G399" s="664"/>
      <c r="H399" s="664"/>
      <c r="I399" s="664"/>
      <c r="J399" s="664"/>
      <c r="K399" s="664"/>
      <c r="L399" s="664"/>
      <c r="M399" s="664"/>
      <c r="N399" s="664"/>
      <c r="O399" s="664"/>
      <c r="P399" s="664"/>
      <c r="Q399" s="664"/>
      <c r="R399" s="664"/>
      <c r="S399" s="664"/>
      <c r="T399" s="664"/>
      <c r="U399" s="664"/>
      <c r="V399" s="664"/>
      <c r="W399" s="664"/>
      <c r="X399" s="664"/>
    </row>
    <row r="400">
      <c r="A400" s="661">
        <f t="shared" si="1"/>
        <v>400</v>
      </c>
      <c r="B400" s="662" t="str">
        <f t="shared" si="2"/>
        <v>#REF!</v>
      </c>
      <c r="C400" s="662" t="str">
        <f>IFERROR(__xludf.DUMMYFUNCTION("IF(
  REGEXMATCH(B400, ""^First\(λ - λ\) ∪ Follow\(""),
  ""Follow("" &amp; REGEXEXTRACT(B400, ""Follow\(([^)]+)\)"") &amp; "") ="",
  IF(
    OR(
      REGEXMATCH(B400, ""^First\([^&lt;]""),
      REGEXMATCH(B400, ""^First\(&lt;[^A-Za-z_]"")
    ),
    """",
    IF(
 "&amp;"     CFG!D400=""λ"",
      ""Follow("" &amp; CFG!B400 &amp; "") ="",
      ""First("" &amp; CFG!D400 &amp; "") =""
    )
  )
)
"),"#REF!")</f>
        <v>#REF!</v>
      </c>
      <c r="D400" s="663" t="str">
        <f>IFERROR(__xludf.DUMMYFUNCTION("IF(
  $C400="""",
  ""{ "" &amp;
    IF(
      REGEXMATCH(B400, ""^First\(\)""),
      "")"",
      REGEXEXTRACT(B400, ""^First\(([^ )]+)"")
    )
  &amp; "" }"",
  IF(
    REGEXMATCH($C400, ""^First\(&lt;""),
    VLOOKUP(REGEXEXTRACT($C400, ""\(([^)]+)\)""), 'First"&amp;" Set MacroA'!B:D, 3, FALSE),
    IF(
      REGEXMATCH($C400, ""^Follow\(&lt;""),
      VLOOKUP(REGEXEXTRACT($C400, ""\(([^)]+)\)""), 'Follow Set Macros'!B:D, 3, FALSE),
      ""{ "" &amp; REGEXEXTRACT($C400, ""\(([^)]+)\)"") &amp; "" }""
    )
  )
)
"),"#REF!")</f>
        <v>#REF!</v>
      </c>
      <c r="E400" s="664"/>
      <c r="F400" s="664"/>
      <c r="G400" s="664"/>
      <c r="H400" s="664"/>
      <c r="I400" s="664"/>
      <c r="J400" s="664"/>
      <c r="K400" s="664"/>
      <c r="L400" s="664"/>
      <c r="M400" s="664"/>
      <c r="N400" s="664"/>
      <c r="O400" s="664"/>
      <c r="P400" s="664"/>
      <c r="Q400" s="664"/>
      <c r="R400" s="664"/>
      <c r="S400" s="664"/>
      <c r="T400" s="664"/>
      <c r="U400" s="664"/>
      <c r="V400" s="664"/>
      <c r="W400" s="664"/>
      <c r="X400" s="664"/>
    </row>
    <row r="401">
      <c r="A401" s="661">
        <f t="shared" si="1"/>
        <v>401</v>
      </c>
      <c r="B401" s="662" t="str">
        <f t="shared" si="2"/>
        <v>#REF!</v>
      </c>
      <c r="C401" s="662" t="str">
        <f>IFERROR(__xludf.DUMMYFUNCTION("IF(
  REGEXMATCH(B401, ""^First\(λ - λ\) ∪ Follow\(""),
  ""Follow("" &amp; REGEXEXTRACT(B401, ""Follow\(([^)]+)\)"") &amp; "") ="",
  IF(
    OR(
      REGEXMATCH(B401, ""^First\([^&lt;]""),
      REGEXMATCH(B401, ""^First\(&lt;[^A-Za-z_]"")
    ),
    """",
    IF(
 "&amp;"     CFG!D401=""λ"",
      ""Follow("" &amp; CFG!B401 &amp; "") ="",
      ""First("" &amp; CFG!D401 &amp; "") =""
    )
  )
)
"),"#REF!")</f>
        <v>#REF!</v>
      </c>
      <c r="D401" s="663" t="str">
        <f>IFERROR(__xludf.DUMMYFUNCTION("IF(
  $C401="""",
  ""{ "" &amp;
    IF(
      REGEXMATCH(B401, ""^First\(\)""),
      "")"",
      REGEXEXTRACT(B401, ""^First\(([^ )]+)"")
    )
  &amp; "" }"",
  IF(
    REGEXMATCH($C401, ""^First\(&lt;""),
    VLOOKUP(REGEXEXTRACT($C401, ""\(([^)]+)\)""), 'First"&amp;" Set MacroA'!B:D, 3, FALSE),
    IF(
      REGEXMATCH($C401, ""^Follow\(&lt;""),
      VLOOKUP(REGEXEXTRACT($C401, ""\(([^)]+)\)""), 'Follow Set Macros'!B:D, 3, FALSE),
      ""{ "" &amp; REGEXEXTRACT($C401, ""\(([^)]+)\)"") &amp; "" }""
    )
  )
)
"),"#REF!")</f>
        <v>#REF!</v>
      </c>
      <c r="E401" s="664"/>
      <c r="F401" s="664"/>
      <c r="G401" s="664"/>
      <c r="H401" s="664"/>
      <c r="I401" s="664"/>
      <c r="J401" s="664"/>
      <c r="K401" s="664"/>
      <c r="L401" s="664"/>
      <c r="M401" s="664"/>
      <c r="N401" s="664"/>
      <c r="O401" s="664"/>
      <c r="P401" s="664"/>
      <c r="Q401" s="664"/>
      <c r="R401" s="664"/>
      <c r="S401" s="664"/>
      <c r="T401" s="664"/>
      <c r="U401" s="664"/>
      <c r="V401" s="664"/>
      <c r="W401" s="664"/>
      <c r="X401" s="664"/>
    </row>
    <row r="402">
      <c r="A402" s="661">
        <f t="shared" si="1"/>
        <v>402</v>
      </c>
      <c r="B402" s="662" t="str">
        <f t="shared" si="2"/>
        <v>#REF!</v>
      </c>
      <c r="C402" s="662" t="str">
        <f>IFERROR(__xludf.DUMMYFUNCTION("IF(
  REGEXMATCH(B402, ""^First\(λ - λ\) ∪ Follow\(""),
  ""Follow("" &amp; REGEXEXTRACT(B402, ""Follow\(([^)]+)\)"") &amp; "") ="",
  IF(
    OR(
      REGEXMATCH(B402, ""^First\([^&lt;]""),
      REGEXMATCH(B402, ""^First\(&lt;[^A-Za-z_]"")
    ),
    """",
    IF(
 "&amp;"     CFG!D402=""λ"",
      ""Follow("" &amp; CFG!B402 &amp; "") ="",
      ""First("" &amp; CFG!D402 &amp; "") =""
    )
  )
)
"),"#REF!")</f>
        <v>#REF!</v>
      </c>
      <c r="D402" s="663" t="str">
        <f>IFERROR(__xludf.DUMMYFUNCTION("IF(
  $C402="""",
  ""{ "" &amp;
    IF(
      REGEXMATCH(B402, ""^First\(\)""),
      "")"",
      REGEXEXTRACT(B402, ""^First\(([^ )]+)"")
    )
  &amp; "" }"",
  IF(
    REGEXMATCH($C402, ""^First\(&lt;""),
    VLOOKUP(REGEXEXTRACT($C402, ""\(([^)]+)\)""), 'First"&amp;" Set MacroA'!B:D, 3, FALSE),
    IF(
      REGEXMATCH($C402, ""^Follow\(&lt;""),
      VLOOKUP(REGEXEXTRACT($C402, ""\(([^)]+)\)""), 'Follow Set Macros'!B:D, 3, FALSE),
      ""{ "" &amp; REGEXEXTRACT($C402, ""\(([^)]+)\)"") &amp; "" }""
    )
  )
)
"),"#REF!")</f>
        <v>#REF!</v>
      </c>
      <c r="E402" s="664"/>
      <c r="F402" s="664"/>
      <c r="G402" s="664"/>
      <c r="H402" s="664"/>
      <c r="I402" s="664"/>
      <c r="J402" s="664"/>
      <c r="K402" s="664"/>
      <c r="L402" s="664"/>
      <c r="M402" s="664"/>
      <c r="N402" s="664"/>
      <c r="O402" s="664"/>
      <c r="P402" s="664"/>
      <c r="Q402" s="664"/>
      <c r="R402" s="664"/>
      <c r="S402" s="664"/>
      <c r="T402" s="664"/>
      <c r="U402" s="664"/>
      <c r="V402" s="664"/>
      <c r="W402" s="664"/>
      <c r="X402" s="664"/>
    </row>
    <row r="403">
      <c r="A403" s="661">
        <f t="shared" si="1"/>
        <v>403</v>
      </c>
      <c r="B403" s="662" t="str">
        <f t="shared" si="2"/>
        <v>#REF!</v>
      </c>
      <c r="C403" s="662" t="str">
        <f>IFERROR(__xludf.DUMMYFUNCTION("IF(
  REGEXMATCH(B403, ""^First\(λ - λ\) ∪ Follow\(""),
  ""Follow("" &amp; REGEXEXTRACT(B403, ""Follow\(([^)]+)\)"") &amp; "") ="",
  IF(
    OR(
      REGEXMATCH(B403, ""^First\([^&lt;]""),
      REGEXMATCH(B403, ""^First\(&lt;[^A-Za-z_]"")
    ),
    """",
    IF(
 "&amp;"     CFG!D403=""λ"",
      ""Follow("" &amp; CFG!B403 &amp; "") ="",
      ""First("" &amp; CFG!D403 &amp; "") =""
    )
  )
)
"),"#REF!")</f>
        <v>#REF!</v>
      </c>
      <c r="D403" s="663" t="str">
        <f>IFERROR(__xludf.DUMMYFUNCTION("IF(
  $C403="""",
  ""{ "" &amp;
    IF(
      REGEXMATCH(B403, ""^First\(\)""),
      "")"",
      REGEXEXTRACT(B403, ""^First\(([^ )]+)"")
    )
  &amp; "" }"",
  IF(
    REGEXMATCH($C403, ""^First\(&lt;""),
    VLOOKUP(REGEXEXTRACT($C403, ""\(([^)]+)\)""), 'First"&amp;" Set MacroA'!B:D, 3, FALSE),
    IF(
      REGEXMATCH($C403, ""^Follow\(&lt;""),
      VLOOKUP(REGEXEXTRACT($C403, ""\(([^)]+)\)""), 'Follow Set Macros'!B:D, 3, FALSE),
      ""{ "" &amp; REGEXEXTRACT($C403, ""\(([^)]+)\)"") &amp; "" }""
    )
  )
)
"),"#REF!")</f>
        <v>#REF!</v>
      </c>
      <c r="E403" s="664"/>
      <c r="F403" s="664"/>
      <c r="G403" s="664"/>
      <c r="H403" s="664"/>
      <c r="I403" s="664"/>
      <c r="J403" s="664"/>
      <c r="K403" s="664"/>
      <c r="L403" s="664"/>
      <c r="M403" s="664"/>
      <c r="N403" s="664"/>
      <c r="O403" s="664"/>
      <c r="P403" s="664"/>
      <c r="Q403" s="664"/>
      <c r="R403" s="664"/>
      <c r="S403" s="664"/>
      <c r="T403" s="664"/>
      <c r="U403" s="664"/>
      <c r="V403" s="664"/>
      <c r="W403" s="664"/>
      <c r="X403" s="664"/>
    </row>
    <row r="404">
      <c r="A404" s="661">
        <f t="shared" si="1"/>
        <v>404</v>
      </c>
      <c r="B404" s="662" t="str">
        <f t="shared" si="2"/>
        <v>#REF!</v>
      </c>
      <c r="C404" s="662" t="str">
        <f>IFERROR(__xludf.DUMMYFUNCTION("IF(
  REGEXMATCH(B404, ""^First\(λ - λ\) ∪ Follow\(""),
  ""Follow("" &amp; REGEXEXTRACT(B404, ""Follow\(([^)]+)\)"") &amp; "") ="",
  IF(
    OR(
      REGEXMATCH(B404, ""^First\([^&lt;]""),
      REGEXMATCH(B404, ""^First\(&lt;[^A-Za-z_]"")
    ),
    """",
    IF(
 "&amp;"     CFG!D404=""λ"",
      ""Follow("" &amp; CFG!B404 &amp; "") ="",
      ""First("" &amp; CFG!D404 &amp; "") =""
    )
  )
)
"),"#REF!")</f>
        <v>#REF!</v>
      </c>
      <c r="D404" s="663" t="str">
        <f>IFERROR(__xludf.DUMMYFUNCTION("IF(
  $C404="""",
  ""{ "" &amp;
    IF(
      REGEXMATCH(B404, ""^First\(\)""),
      "")"",
      REGEXEXTRACT(B404, ""^First\(([^ )]+)"")
    )
  &amp; "" }"",
  IF(
    REGEXMATCH($C404, ""^First\(&lt;""),
    VLOOKUP(REGEXEXTRACT($C404, ""\(([^)]+)\)""), 'First"&amp;" Set MacroA'!B:D, 3, FALSE),
    IF(
      REGEXMATCH($C404, ""^Follow\(&lt;""),
      VLOOKUP(REGEXEXTRACT($C404, ""\(([^)]+)\)""), 'Follow Set Macros'!B:D, 3, FALSE),
      ""{ "" &amp; REGEXEXTRACT($C404, ""\(([^)]+)\)"") &amp; "" }""
    )
  )
)
"),"#REF!")</f>
        <v>#REF!</v>
      </c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</row>
    <row r="405">
      <c r="A405" s="661">
        <f t="shared" si="1"/>
        <v>405</v>
      </c>
      <c r="B405" s="662" t="str">
        <f t="shared" si="2"/>
        <v>#REF!</v>
      </c>
      <c r="C405" s="662" t="str">
        <f>IFERROR(__xludf.DUMMYFUNCTION("IF(
  REGEXMATCH(B405, ""^First\(λ - λ\) ∪ Follow\(""),
  ""Follow("" &amp; REGEXEXTRACT(B405, ""Follow\(([^)]+)\)"") &amp; "") ="",
  IF(
    OR(
      REGEXMATCH(B405, ""^First\([^&lt;]""),
      REGEXMATCH(B405, ""^First\(&lt;[^A-Za-z_]"")
    ),
    """",
    IF(
 "&amp;"     CFG!D405=""λ"",
      ""Follow("" &amp; CFG!B405 &amp; "") ="",
      ""First("" &amp; CFG!D405 &amp; "") =""
    )
  )
)
"),"#REF!")</f>
        <v>#REF!</v>
      </c>
      <c r="D405" s="663" t="str">
        <f>IFERROR(__xludf.DUMMYFUNCTION("IF(
  $C405="""",
  ""{ "" &amp;
    IF(
      REGEXMATCH(B405, ""^First\(\)""),
      "")"",
      REGEXEXTRACT(B405, ""^First\(([^ )]+)"")
    )
  &amp; "" }"",
  IF(
    REGEXMATCH($C405, ""^First\(&lt;""),
    VLOOKUP(REGEXEXTRACT($C405, ""\(([^)]+)\)""), 'First"&amp;" Set MacroA'!B:D, 3, FALSE),
    IF(
      REGEXMATCH($C405, ""^Follow\(&lt;""),
      VLOOKUP(REGEXEXTRACT($C405, ""\(([^)]+)\)""), 'Follow Set Macros'!B:D, 3, FALSE),
      ""{ "" &amp; REGEXEXTRACT($C405, ""\(([^)]+)\)"") &amp; "" }""
    )
  )
)
"),"#REF!")</f>
        <v>#REF!</v>
      </c>
      <c r="E405" s="664"/>
      <c r="F405" s="664"/>
      <c r="G405" s="664"/>
      <c r="H405" s="664"/>
      <c r="I405" s="664"/>
      <c r="J405" s="664"/>
      <c r="K405" s="664"/>
      <c r="L405" s="664"/>
      <c r="M405" s="664"/>
      <c r="N405" s="664"/>
      <c r="O405" s="664"/>
      <c r="P405" s="664"/>
      <c r="Q405" s="664"/>
      <c r="R405" s="664"/>
      <c r="S405" s="664"/>
      <c r="T405" s="664"/>
      <c r="U405" s="664"/>
      <c r="V405" s="664"/>
      <c r="W405" s="664"/>
      <c r="X405" s="664"/>
    </row>
    <row r="406">
      <c r="A406" s="661">
        <f t="shared" si="1"/>
        <v>406</v>
      </c>
      <c r="B406" s="662" t="str">
        <f t="shared" si="2"/>
        <v>#REF!</v>
      </c>
      <c r="C406" s="662" t="str">
        <f>IFERROR(__xludf.DUMMYFUNCTION("IF(
  REGEXMATCH(B406, ""^First\(λ - λ\) ∪ Follow\(""),
  ""Follow("" &amp; REGEXEXTRACT(B406, ""Follow\(([^)]+)\)"") &amp; "") ="",
  IF(
    OR(
      REGEXMATCH(B406, ""^First\([^&lt;]""),
      REGEXMATCH(B406, ""^First\(&lt;[^A-Za-z_]"")
    ),
    """",
    IF(
 "&amp;"     CFG!D406=""λ"",
      ""Follow("" &amp; CFG!B406 &amp; "") ="",
      ""First("" &amp; CFG!D406 &amp; "") =""
    )
  )
)
"),"#REF!")</f>
        <v>#REF!</v>
      </c>
      <c r="D406" s="663" t="str">
        <f>IFERROR(__xludf.DUMMYFUNCTION("IF(
  $C406="""",
  ""{ "" &amp;
    IF(
      REGEXMATCH(B406, ""^First\(\)""),
      "")"",
      REGEXEXTRACT(B406, ""^First\(([^ )]+)"")
    )
  &amp; "" }"",
  IF(
    REGEXMATCH($C406, ""^First\(&lt;""),
    VLOOKUP(REGEXEXTRACT($C406, ""\(([^)]+)\)""), 'First"&amp;" Set MacroA'!B:D, 3, FALSE),
    IF(
      REGEXMATCH($C406, ""^Follow\(&lt;""),
      VLOOKUP(REGEXEXTRACT($C406, ""\(([^)]+)\)""), 'Follow Set Macros'!B:D, 3, FALSE),
      ""{ "" &amp; REGEXEXTRACT($C406, ""\(([^)]+)\)"") &amp; "" }""
    )
  )
)
"),"#REF!")</f>
        <v>#REF!</v>
      </c>
      <c r="E406" s="664"/>
      <c r="F406" s="664"/>
      <c r="G406" s="664"/>
      <c r="H406" s="664"/>
      <c r="I406" s="664"/>
      <c r="J406" s="664"/>
      <c r="K406" s="664"/>
      <c r="L406" s="664"/>
      <c r="M406" s="664"/>
      <c r="N406" s="664"/>
      <c r="O406" s="664"/>
      <c r="P406" s="664"/>
      <c r="Q406" s="664"/>
      <c r="R406" s="664"/>
      <c r="S406" s="664"/>
      <c r="T406" s="664"/>
      <c r="U406" s="664"/>
      <c r="V406" s="664"/>
      <c r="W406" s="664"/>
      <c r="X406" s="664"/>
    </row>
    <row r="407">
      <c r="A407" s="661">
        <f t="shared" si="1"/>
        <v>407</v>
      </c>
      <c r="B407" s="662" t="str">
        <f t="shared" si="2"/>
        <v>#REF!</v>
      </c>
      <c r="C407" s="662" t="str">
        <f>IFERROR(__xludf.DUMMYFUNCTION("IF(
  REGEXMATCH(B407, ""^First\(λ - λ\) ∪ Follow\(""),
  ""Follow("" &amp; REGEXEXTRACT(B407, ""Follow\(([^)]+)\)"") &amp; "") ="",
  IF(
    OR(
      REGEXMATCH(B407, ""^First\([^&lt;]""),
      REGEXMATCH(B407, ""^First\(&lt;[^A-Za-z_]"")
    ),
    """",
    IF(
 "&amp;"     CFG!D407=""λ"",
      ""Follow("" &amp; CFG!B407 &amp; "") ="",
      ""First("" &amp; CFG!D407 &amp; "") =""
    )
  )
)
"),"#REF!")</f>
        <v>#REF!</v>
      </c>
      <c r="D407" s="663" t="str">
        <f>IFERROR(__xludf.DUMMYFUNCTION("IF(
  $C407="""",
  ""{ "" &amp;
    IF(
      REGEXMATCH(B407, ""^First\(\)""),
      "")"",
      REGEXEXTRACT(B407, ""^First\(([^ )]+)"")
    )
  &amp; "" }"",
  IF(
    REGEXMATCH($C407, ""^First\(&lt;""),
    VLOOKUP(REGEXEXTRACT($C407, ""\(([^)]+)\)""), 'First"&amp;" Set MacroA'!B:D, 3, FALSE),
    IF(
      REGEXMATCH($C407, ""^Follow\(&lt;""),
      VLOOKUP(REGEXEXTRACT($C407, ""\(([^)]+)\)""), 'Follow Set Macros'!B:D, 3, FALSE),
      ""{ "" &amp; REGEXEXTRACT($C407, ""\(([^)]+)\)"") &amp; "" }""
    )
  )
)
"),"#REF!")</f>
        <v>#REF!</v>
      </c>
      <c r="E407" s="664"/>
      <c r="F407" s="664"/>
      <c r="G407" s="664"/>
      <c r="H407" s="664"/>
      <c r="I407" s="664"/>
      <c r="J407" s="664"/>
      <c r="K407" s="664"/>
      <c r="L407" s="664"/>
      <c r="M407" s="664"/>
      <c r="N407" s="664"/>
      <c r="O407" s="664"/>
      <c r="P407" s="664"/>
      <c r="Q407" s="664"/>
      <c r="R407" s="664"/>
      <c r="S407" s="664"/>
      <c r="T407" s="664"/>
      <c r="U407" s="664"/>
      <c r="V407" s="664"/>
      <c r="W407" s="664"/>
      <c r="X407" s="664"/>
    </row>
    <row r="408">
      <c r="A408" s="661">
        <f t="shared" si="1"/>
        <v>408</v>
      </c>
      <c r="B408" s="662" t="str">
        <f t="shared" si="2"/>
        <v>#REF!</v>
      </c>
      <c r="C408" s="662" t="str">
        <f>IFERROR(__xludf.DUMMYFUNCTION("IF(
  REGEXMATCH(B408, ""^First\(λ - λ\) ∪ Follow\(""),
  ""Follow("" &amp; REGEXEXTRACT(B408, ""Follow\(([^)]+)\)"") &amp; "") ="",
  IF(
    OR(
      REGEXMATCH(B408, ""^First\([^&lt;]""),
      REGEXMATCH(B408, ""^First\(&lt;[^A-Za-z_]"")
    ),
    """",
    IF(
 "&amp;"     CFG!D408=""λ"",
      ""Follow("" &amp; CFG!B408 &amp; "") ="",
      ""First("" &amp; CFG!D408 &amp; "") =""
    )
  )
)
"),"#REF!")</f>
        <v>#REF!</v>
      </c>
      <c r="D408" s="663" t="str">
        <f>IFERROR(__xludf.DUMMYFUNCTION("IF(
  $C408="""",
  ""{ "" &amp;
    IF(
      REGEXMATCH(B408, ""^First\(\)""),
      "")"",
      REGEXEXTRACT(B408, ""^First\(([^ )]+)"")
    )
  &amp; "" }"",
  IF(
    REGEXMATCH($C408, ""^First\(&lt;""),
    VLOOKUP(REGEXEXTRACT($C408, ""\(([^)]+)\)""), 'First"&amp;" Set MacroA'!B:D, 3, FALSE),
    IF(
      REGEXMATCH($C408, ""^Follow\(&lt;""),
      VLOOKUP(REGEXEXTRACT($C408, ""\(([^)]+)\)""), 'Follow Set Macros'!B:D, 3, FALSE),
      ""{ "" &amp; REGEXEXTRACT($C408, ""\(([^)]+)\)"") &amp; "" }""
    )
  )
)
"),"#REF!")</f>
        <v>#REF!</v>
      </c>
      <c r="E408" s="664"/>
      <c r="F408" s="664"/>
      <c r="G408" s="664"/>
      <c r="H408" s="664"/>
      <c r="I408" s="664"/>
      <c r="J408" s="664"/>
      <c r="K408" s="664"/>
      <c r="L408" s="664"/>
      <c r="M408" s="664"/>
      <c r="N408" s="664"/>
      <c r="O408" s="664"/>
      <c r="P408" s="664"/>
      <c r="Q408" s="664"/>
      <c r="R408" s="664"/>
      <c r="S408" s="664"/>
      <c r="T408" s="664"/>
      <c r="U408" s="664"/>
      <c r="V408" s="664"/>
      <c r="W408" s="664"/>
      <c r="X408" s="664"/>
    </row>
    <row r="409">
      <c r="A409" s="661">
        <f t="shared" si="1"/>
        <v>409</v>
      </c>
      <c r="B409" s="662" t="str">
        <f t="shared" si="2"/>
        <v>#REF!</v>
      </c>
      <c r="C409" s="662" t="str">
        <f>IFERROR(__xludf.DUMMYFUNCTION("IF(
  REGEXMATCH(B409, ""^First\(λ - λ\) ∪ Follow\(""),
  ""Follow("" &amp; REGEXEXTRACT(B409, ""Follow\(([^)]+)\)"") &amp; "") ="",
  IF(
    OR(
      REGEXMATCH(B409, ""^First\([^&lt;]""),
      REGEXMATCH(B409, ""^First\(&lt;[^A-Za-z_]"")
    ),
    """",
    IF(
 "&amp;"     CFG!D409=""λ"",
      ""Follow("" &amp; CFG!B409 &amp; "") ="",
      ""First("" &amp; CFG!D409 &amp; "") =""
    )
  )
)
"),"#REF!")</f>
        <v>#REF!</v>
      </c>
      <c r="D409" s="663" t="str">
        <f>IFERROR(__xludf.DUMMYFUNCTION("IF(
  $C409="""",
  ""{ "" &amp;
    IF(
      REGEXMATCH(B409, ""^First\(\)""),
      "")"",
      REGEXEXTRACT(B409, ""^First\(([^ )]+)"")
    )
  &amp; "" }"",
  IF(
    REGEXMATCH($C409, ""^First\(&lt;""),
    VLOOKUP(REGEXEXTRACT($C409, ""\(([^)]+)\)""), 'First"&amp;" Set MacroA'!B:D, 3, FALSE),
    IF(
      REGEXMATCH($C409, ""^Follow\(&lt;""),
      VLOOKUP(REGEXEXTRACT($C409, ""\(([^)]+)\)""), 'Follow Set Macros'!B:D, 3, FALSE),
      ""{ "" &amp; REGEXEXTRACT($C409, ""\(([^)]+)\)"") &amp; "" }""
    )
  )
)
"),"#REF!")</f>
        <v>#REF!</v>
      </c>
      <c r="E409" s="664"/>
      <c r="F409" s="664"/>
      <c r="G409" s="664"/>
      <c r="H409" s="664"/>
      <c r="I409" s="664"/>
      <c r="J409" s="664"/>
      <c r="K409" s="664"/>
      <c r="L409" s="664"/>
      <c r="M409" s="664"/>
      <c r="N409" s="664"/>
      <c r="O409" s="664"/>
      <c r="P409" s="664"/>
      <c r="Q409" s="664"/>
      <c r="R409" s="664"/>
      <c r="S409" s="664"/>
      <c r="T409" s="664"/>
      <c r="U409" s="664"/>
      <c r="V409" s="664"/>
      <c r="W409" s="664"/>
      <c r="X409" s="664"/>
    </row>
    <row r="410">
      <c r="A410" s="661">
        <f t="shared" si="1"/>
        <v>410</v>
      </c>
      <c r="B410" s="662" t="str">
        <f t="shared" si="2"/>
        <v>#REF!</v>
      </c>
      <c r="C410" s="662" t="str">
        <f>IFERROR(__xludf.DUMMYFUNCTION("IF(
  REGEXMATCH(B410, ""^First\(λ - λ\) ∪ Follow\(""),
  ""Follow("" &amp; REGEXEXTRACT(B410, ""Follow\(([^)]+)\)"") &amp; "") ="",
  IF(
    OR(
      REGEXMATCH(B410, ""^First\([^&lt;]""),
      REGEXMATCH(B410, ""^First\(&lt;[^A-Za-z_]"")
    ),
    """",
    IF(
 "&amp;"     CFG!D410=""λ"",
      ""Follow("" &amp; CFG!B410 &amp; "") ="",
      ""First("" &amp; CFG!D410 &amp; "") =""
    )
  )
)
"),"#REF!")</f>
        <v>#REF!</v>
      </c>
      <c r="D410" s="663" t="str">
        <f>IFERROR(__xludf.DUMMYFUNCTION("IF(
  $C410="""",
  ""{ "" &amp;
    IF(
      REGEXMATCH(B410, ""^First\(\)""),
      "")"",
      REGEXEXTRACT(B410, ""^First\(([^ )]+)"")
    )
  &amp; "" }"",
  IF(
    REGEXMATCH($C410, ""^First\(&lt;""),
    VLOOKUP(REGEXEXTRACT($C410, ""\(([^)]+)\)""), 'First"&amp;" Set MacroA'!B:D, 3, FALSE),
    IF(
      REGEXMATCH($C410, ""^Follow\(&lt;""),
      VLOOKUP(REGEXEXTRACT($C410, ""\(([^)]+)\)""), 'Follow Set Macros'!B:D, 3, FALSE),
      ""{ "" &amp; REGEXEXTRACT($C410, ""\(([^)]+)\)"") &amp; "" }""
    )
  )
)
"),"#REF!")</f>
        <v>#REF!</v>
      </c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</row>
    <row r="411">
      <c r="A411" s="661">
        <f t="shared" si="1"/>
        <v>411</v>
      </c>
      <c r="B411" s="662" t="str">
        <f t="shared" si="2"/>
        <v>#REF!</v>
      </c>
      <c r="C411" s="662" t="str">
        <f>IFERROR(__xludf.DUMMYFUNCTION("IF(
  REGEXMATCH(B411, ""^First\(λ - λ\) ∪ Follow\(""),
  ""Follow("" &amp; REGEXEXTRACT(B411, ""Follow\(([^)]+)\)"") &amp; "") ="",
  IF(
    OR(
      REGEXMATCH(B411, ""^First\([^&lt;]""),
      REGEXMATCH(B411, ""^First\(&lt;[^A-Za-z_]"")
    ),
    """",
    IF(
 "&amp;"     CFG!D411=""λ"",
      ""Follow("" &amp; CFG!B411 &amp; "") ="",
      ""First("" &amp; CFG!D411 &amp; "") =""
    )
  )
)
"),"#REF!")</f>
        <v>#REF!</v>
      </c>
      <c r="D411" s="663" t="str">
        <f>IFERROR(__xludf.DUMMYFUNCTION("IF(
  $C411="""",
  ""{ "" &amp;
    IF(
      REGEXMATCH(B411, ""^First\(\)""),
      "")"",
      REGEXEXTRACT(B411, ""^First\(([^ )]+)"")
    )
  &amp; "" }"",
  IF(
    REGEXMATCH($C411, ""^First\(&lt;""),
    VLOOKUP(REGEXEXTRACT($C411, ""\(([^)]+)\)""), 'First"&amp;" Set MacroA'!B:D, 3, FALSE),
    IF(
      REGEXMATCH($C411, ""^Follow\(&lt;""),
      VLOOKUP(REGEXEXTRACT($C411, ""\(([^)]+)\)""), 'Follow Set Macros'!B:D, 3, FALSE),
      ""{ "" &amp; REGEXEXTRACT($C411, ""\(([^)]+)\)"") &amp; "" }""
    )
  )
)
"),"#REF!")</f>
        <v>#REF!</v>
      </c>
      <c r="E411" s="664"/>
      <c r="F411" s="664"/>
      <c r="G411" s="664"/>
      <c r="H411" s="664"/>
      <c r="I411" s="664"/>
      <c r="J411" s="664"/>
      <c r="K411" s="664"/>
      <c r="L411" s="664"/>
      <c r="M411" s="664"/>
      <c r="N411" s="664"/>
      <c r="O411" s="664"/>
      <c r="P411" s="664"/>
      <c r="Q411" s="664"/>
      <c r="R411" s="664"/>
      <c r="S411" s="664"/>
      <c r="T411" s="664"/>
      <c r="U411" s="664"/>
      <c r="V411" s="664"/>
      <c r="W411" s="664"/>
      <c r="X411" s="664"/>
    </row>
    <row r="412">
      <c r="A412" s="661">
        <f t="shared" si="1"/>
        <v>412</v>
      </c>
      <c r="B412" s="662" t="str">
        <f t="shared" si="2"/>
        <v>#REF!</v>
      </c>
      <c r="C412" s="662" t="str">
        <f>IFERROR(__xludf.DUMMYFUNCTION("IF(
  REGEXMATCH(B412, ""^First\(λ - λ\) ∪ Follow\(""),
  ""Follow("" &amp; REGEXEXTRACT(B412, ""Follow\(([^)]+)\)"") &amp; "") ="",
  IF(
    OR(
      REGEXMATCH(B412, ""^First\([^&lt;]""),
      REGEXMATCH(B412, ""^First\(&lt;[^A-Za-z_]"")
    ),
    """",
    IF(
 "&amp;"     CFG!D412=""λ"",
      ""Follow("" &amp; CFG!B412 &amp; "") ="",
      ""First("" &amp; CFG!D412 &amp; "") =""
    )
  )
)
"),"#REF!")</f>
        <v>#REF!</v>
      </c>
      <c r="D412" s="663" t="str">
        <f>IFERROR(__xludf.DUMMYFUNCTION("IF(
  $C412="""",
  ""{ "" &amp;
    IF(
      REGEXMATCH(B412, ""^First\(\)""),
      "")"",
      REGEXEXTRACT(B412, ""^First\(([^ )]+)"")
    )
  &amp; "" }"",
  IF(
    REGEXMATCH($C412, ""^First\(&lt;""),
    VLOOKUP(REGEXEXTRACT($C412, ""\(([^)]+)\)""), 'First"&amp;" Set MacroA'!B:D, 3, FALSE),
    IF(
      REGEXMATCH($C412, ""^Follow\(&lt;""),
      VLOOKUP(REGEXEXTRACT($C412, ""\(([^)]+)\)""), 'Follow Set Macros'!B:D, 3, FALSE),
      ""{ "" &amp; REGEXEXTRACT($C412, ""\(([^)]+)\)"") &amp; "" }""
    )
  )
)
"),"#REF!")</f>
        <v>#REF!</v>
      </c>
      <c r="E412" s="664"/>
      <c r="F412" s="664"/>
      <c r="G412" s="664"/>
      <c r="H412" s="664"/>
      <c r="I412" s="664"/>
      <c r="J412" s="664"/>
      <c r="K412" s="664"/>
      <c r="L412" s="664"/>
      <c r="M412" s="664"/>
      <c r="N412" s="664"/>
      <c r="O412" s="664"/>
      <c r="P412" s="664"/>
      <c r="Q412" s="664"/>
      <c r="R412" s="664"/>
      <c r="S412" s="664"/>
      <c r="T412" s="664"/>
      <c r="U412" s="664"/>
      <c r="V412" s="664"/>
      <c r="W412" s="664"/>
      <c r="X412" s="664"/>
    </row>
    <row r="413">
      <c r="A413" s="661">
        <f t="shared" si="1"/>
        <v>413</v>
      </c>
      <c r="B413" s="662" t="str">
        <f t="shared" si="2"/>
        <v>#REF!</v>
      </c>
      <c r="C413" s="662" t="str">
        <f>IFERROR(__xludf.DUMMYFUNCTION("IF(
  REGEXMATCH(B413, ""^First\(λ - λ\) ∪ Follow\(""),
  ""Follow("" &amp; REGEXEXTRACT(B413, ""Follow\(([^)]+)\)"") &amp; "") ="",
  IF(
    OR(
      REGEXMATCH(B413, ""^First\([^&lt;]""),
      REGEXMATCH(B413, ""^First\(&lt;[^A-Za-z_]"")
    ),
    """",
    IF(
 "&amp;"     CFG!D413=""λ"",
      ""Follow("" &amp; CFG!B413 &amp; "") ="",
      ""First("" &amp; CFG!D413 &amp; "") =""
    )
  )
)
"),"#REF!")</f>
        <v>#REF!</v>
      </c>
      <c r="D413" s="663" t="str">
        <f>IFERROR(__xludf.DUMMYFUNCTION("IF(
  $C413="""",
  ""{ "" &amp;
    IF(
      REGEXMATCH(B413, ""^First\(\)""),
      "")"",
      REGEXEXTRACT(B413, ""^First\(([^ )]+)"")
    )
  &amp; "" }"",
  IF(
    REGEXMATCH($C413, ""^First\(&lt;""),
    VLOOKUP(REGEXEXTRACT($C413, ""\(([^)]+)\)""), 'First"&amp;" Set MacroA'!B:D, 3, FALSE),
    IF(
      REGEXMATCH($C413, ""^Follow\(&lt;""),
      VLOOKUP(REGEXEXTRACT($C413, ""\(([^)]+)\)""), 'Follow Set Macros'!B:D, 3, FALSE),
      ""{ "" &amp; REGEXEXTRACT($C413, ""\(([^)]+)\)"") &amp; "" }""
    )
  )
)
"),"#REF!")</f>
        <v>#REF!</v>
      </c>
      <c r="E413" s="664"/>
      <c r="F413" s="664"/>
      <c r="G413" s="664"/>
      <c r="H413" s="664"/>
      <c r="I413" s="664"/>
      <c r="J413" s="664"/>
      <c r="K413" s="664"/>
      <c r="L413" s="664"/>
      <c r="M413" s="664"/>
      <c r="N413" s="664"/>
      <c r="O413" s="664"/>
      <c r="P413" s="664"/>
      <c r="Q413" s="664"/>
      <c r="R413" s="664"/>
      <c r="S413" s="664"/>
      <c r="T413" s="664"/>
      <c r="U413" s="664"/>
      <c r="V413" s="664"/>
      <c r="W413" s="664"/>
      <c r="X413" s="664"/>
    </row>
    <row r="414">
      <c r="A414" s="661">
        <f t="shared" si="1"/>
        <v>414</v>
      </c>
      <c r="B414" s="662" t="str">
        <f t="shared" si="2"/>
        <v>#REF!</v>
      </c>
      <c r="C414" s="662" t="str">
        <f>IFERROR(__xludf.DUMMYFUNCTION("IF(
  REGEXMATCH(B414, ""^First\(λ - λ\) ∪ Follow\(""),
  ""Follow("" &amp; REGEXEXTRACT(B414, ""Follow\(([^)]+)\)"") &amp; "") ="",
  IF(
    OR(
      REGEXMATCH(B414, ""^First\([^&lt;]""),
      REGEXMATCH(B414, ""^First\(&lt;[^A-Za-z_]"")
    ),
    """",
    IF(
 "&amp;"     CFG!D414=""λ"",
      ""Follow("" &amp; CFG!B414 &amp; "") ="",
      ""First("" &amp; CFG!D414 &amp; "") =""
    )
  )
)
"),"#REF!")</f>
        <v>#REF!</v>
      </c>
      <c r="D414" s="663" t="str">
        <f>IFERROR(__xludf.DUMMYFUNCTION("IF(
  $C414="""",
  ""{ "" &amp;
    IF(
      REGEXMATCH(B414, ""^First\(\)""),
      "")"",
      REGEXEXTRACT(B414, ""^First\(([^ )]+)"")
    )
  &amp; "" }"",
  IF(
    REGEXMATCH($C414, ""^First\(&lt;""),
    VLOOKUP(REGEXEXTRACT($C414, ""\(([^)]+)\)""), 'First"&amp;" Set MacroA'!B:D, 3, FALSE),
    IF(
      REGEXMATCH($C414, ""^Follow\(&lt;""),
      VLOOKUP(REGEXEXTRACT($C414, ""\(([^)]+)\)""), 'Follow Set Macros'!B:D, 3, FALSE),
      ""{ "" &amp; REGEXEXTRACT($C414, ""\(([^)]+)\)"") &amp; "" }""
    )
  )
)
"),"#REF!")</f>
        <v>#REF!</v>
      </c>
      <c r="E414" s="664"/>
      <c r="F414" s="664"/>
      <c r="G414" s="664"/>
      <c r="H414" s="664"/>
      <c r="I414" s="664"/>
      <c r="J414" s="664"/>
      <c r="K414" s="664"/>
      <c r="L414" s="664"/>
      <c r="M414" s="664"/>
      <c r="N414" s="664"/>
      <c r="O414" s="664"/>
      <c r="P414" s="664"/>
      <c r="Q414" s="664"/>
      <c r="R414" s="664"/>
      <c r="S414" s="664"/>
      <c r="T414" s="664"/>
      <c r="U414" s="664"/>
      <c r="V414" s="664"/>
      <c r="W414" s="664"/>
      <c r="X414" s="664"/>
    </row>
    <row r="415">
      <c r="A415" s="661">
        <f t="shared" si="1"/>
        <v>415</v>
      </c>
      <c r="B415" s="662" t="str">
        <f t="shared" si="2"/>
        <v>#REF!</v>
      </c>
      <c r="C415" s="662" t="str">
        <f>IFERROR(__xludf.DUMMYFUNCTION("IF(
  REGEXMATCH(B415, ""^First\(λ - λ\) ∪ Follow\(""),
  ""Follow("" &amp; REGEXEXTRACT(B415, ""Follow\(([^)]+)\)"") &amp; "") ="",
  IF(
    OR(
      REGEXMATCH(B415, ""^First\([^&lt;]""),
      REGEXMATCH(B415, ""^First\(&lt;[^A-Za-z_]"")
    ),
    """",
    IF(
 "&amp;"     CFG!D415=""λ"",
      ""Follow("" &amp; CFG!B415 &amp; "") ="",
      ""First("" &amp; CFG!D415 &amp; "") =""
    )
  )
)
"),"#REF!")</f>
        <v>#REF!</v>
      </c>
      <c r="D415" s="663" t="str">
        <f>IFERROR(__xludf.DUMMYFUNCTION("IF(
  $C415="""",
  ""{ "" &amp;
    IF(
      REGEXMATCH(B415, ""^First\(\)""),
      "")"",
      REGEXEXTRACT(B415, ""^First\(([^ )]+)"")
    )
  &amp; "" }"",
  IF(
    REGEXMATCH($C415, ""^First\(&lt;""),
    VLOOKUP(REGEXEXTRACT($C415, ""\(([^)]+)\)""), 'First"&amp;" Set MacroA'!B:D, 3, FALSE),
    IF(
      REGEXMATCH($C415, ""^Follow\(&lt;""),
      VLOOKUP(REGEXEXTRACT($C415, ""\(([^)]+)\)""), 'Follow Set Macros'!B:D, 3, FALSE),
      ""{ "" &amp; REGEXEXTRACT($C415, ""\(([^)]+)\)"") &amp; "" }""
    )
  )
)
"),"#REF!")</f>
        <v>#REF!</v>
      </c>
      <c r="E415" s="664"/>
      <c r="F415" s="664"/>
      <c r="G415" s="664"/>
      <c r="H415" s="664"/>
      <c r="I415" s="664"/>
      <c r="J415" s="664"/>
      <c r="K415" s="664"/>
      <c r="L415" s="664"/>
      <c r="M415" s="664"/>
      <c r="N415" s="664"/>
      <c r="O415" s="664"/>
      <c r="P415" s="664"/>
      <c r="Q415" s="664"/>
      <c r="R415" s="664"/>
      <c r="S415" s="664"/>
      <c r="T415" s="664"/>
      <c r="U415" s="664"/>
      <c r="V415" s="664"/>
      <c r="W415" s="664"/>
      <c r="X415" s="664"/>
    </row>
    <row r="416">
      <c r="A416" s="661">
        <f t="shared" si="1"/>
        <v>416</v>
      </c>
      <c r="B416" s="662" t="str">
        <f t="shared" si="2"/>
        <v>#REF!</v>
      </c>
      <c r="C416" s="662" t="str">
        <f>IFERROR(__xludf.DUMMYFUNCTION("IF(
  REGEXMATCH(B416, ""^First\(λ - λ\) ∪ Follow\(""),
  ""Follow("" &amp; REGEXEXTRACT(B416, ""Follow\(([^)]+)\)"") &amp; "") ="",
  IF(
    OR(
      REGEXMATCH(B416, ""^First\([^&lt;]""),
      REGEXMATCH(B416, ""^First\(&lt;[^A-Za-z_]"")
    ),
    """",
    IF(
 "&amp;"     CFG!D416=""λ"",
      ""Follow("" &amp; CFG!B416 &amp; "") ="",
      ""First("" &amp; CFG!D416 &amp; "") =""
    )
  )
)
"),"#REF!")</f>
        <v>#REF!</v>
      </c>
      <c r="D416" s="663" t="str">
        <f>IFERROR(__xludf.DUMMYFUNCTION("IF(
  $C416="""",
  ""{ "" &amp;
    IF(
      REGEXMATCH(B416, ""^First\(\)""),
      "")"",
      REGEXEXTRACT(B416, ""^First\(([^ )]+)"")
    )
  &amp; "" }"",
  IF(
    REGEXMATCH($C416, ""^First\(&lt;""),
    VLOOKUP(REGEXEXTRACT($C416, ""\(([^)]+)\)""), 'First"&amp;" Set MacroA'!B:D, 3, FALSE),
    IF(
      REGEXMATCH($C416, ""^Follow\(&lt;""),
      VLOOKUP(REGEXEXTRACT($C416, ""\(([^)]+)\)""), 'Follow Set Macros'!B:D, 3, FALSE),
      ""{ "" &amp; REGEXEXTRACT($C416, ""\(([^)]+)\)"") &amp; "" }""
    )
  )
)
"),"#REF!")</f>
        <v>#REF!</v>
      </c>
      <c r="E416" s="664"/>
      <c r="F416" s="664"/>
      <c r="G416" s="664"/>
      <c r="H416" s="664"/>
      <c r="I416" s="664"/>
      <c r="J416" s="664"/>
      <c r="K416" s="664"/>
      <c r="L416" s="664"/>
      <c r="M416" s="664"/>
      <c r="N416" s="664"/>
      <c r="O416" s="664"/>
      <c r="P416" s="664"/>
      <c r="Q416" s="664"/>
      <c r="R416" s="664"/>
      <c r="S416" s="664"/>
      <c r="T416" s="664"/>
      <c r="U416" s="664"/>
      <c r="V416" s="664"/>
      <c r="W416" s="664"/>
      <c r="X416" s="664"/>
    </row>
    <row r="417">
      <c r="A417" s="661">
        <f t="shared" si="1"/>
        <v>417</v>
      </c>
      <c r="B417" s="662" t="str">
        <f t="shared" si="2"/>
        <v>#REF!</v>
      </c>
      <c r="C417" s="662" t="str">
        <f>IFERROR(__xludf.DUMMYFUNCTION("IF(
  REGEXMATCH(B417, ""^First\(λ - λ\) ∪ Follow\(""),
  ""Follow("" &amp; REGEXEXTRACT(B417, ""Follow\(([^)]+)\)"") &amp; "") ="",
  IF(
    OR(
      REGEXMATCH(B417, ""^First\([^&lt;]""),
      REGEXMATCH(B417, ""^First\(&lt;[^A-Za-z_]"")
    ),
    """",
    IF(
 "&amp;"     CFG!D417=""λ"",
      ""Follow("" &amp; CFG!B417 &amp; "") ="",
      ""First("" &amp; CFG!D417 &amp; "") =""
    )
  )
)
"),"#REF!")</f>
        <v>#REF!</v>
      </c>
      <c r="D417" s="663" t="str">
        <f>IFERROR(__xludf.DUMMYFUNCTION("IF(
  $C417="""",
  ""{ "" &amp;
    IF(
      REGEXMATCH(B417, ""^First\(\)""),
      "")"",
      REGEXEXTRACT(B417, ""^First\(([^ )]+)"")
    )
  &amp; "" }"",
  IF(
    REGEXMATCH($C417, ""^First\(&lt;""),
    VLOOKUP(REGEXEXTRACT($C417, ""\(([^)]+)\)""), 'First"&amp;" Set MacroA'!B:D, 3, FALSE),
    IF(
      REGEXMATCH($C417, ""^Follow\(&lt;""),
      VLOOKUP(REGEXEXTRACT($C417, ""\(([^)]+)\)""), 'Follow Set Macros'!B:D, 3, FALSE),
      ""{ "" &amp; REGEXEXTRACT($C417, ""\(([^)]+)\)"") &amp; "" }""
    )
  )
)
"),"#REF!")</f>
        <v>#REF!</v>
      </c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</row>
    <row r="418">
      <c r="A418" s="661">
        <f t="shared" si="1"/>
        <v>418</v>
      </c>
      <c r="B418" s="662" t="str">
        <f t="shared" si="2"/>
        <v>#REF!</v>
      </c>
      <c r="C418" s="662" t="str">
        <f>IFERROR(__xludf.DUMMYFUNCTION("IF(
  REGEXMATCH(B418, ""^First\(λ - λ\) ∪ Follow\(""),
  ""Follow("" &amp; REGEXEXTRACT(B418, ""Follow\(([^)]+)\)"") &amp; "") ="",
  IF(
    OR(
      REGEXMATCH(B418, ""^First\([^&lt;]""),
      REGEXMATCH(B418, ""^First\(&lt;[^A-Za-z_]"")
    ),
    """",
    IF(
 "&amp;"     CFG!D418=""λ"",
      ""Follow("" &amp; CFG!B418 &amp; "") ="",
      ""First("" &amp; CFG!D418 &amp; "") =""
    )
  )
)
"),"#REF!")</f>
        <v>#REF!</v>
      </c>
      <c r="D418" s="663" t="str">
        <f>IFERROR(__xludf.DUMMYFUNCTION("IF(
  $C418="""",
  ""{ "" &amp;
    IF(
      REGEXMATCH(B418, ""^First\(\)""),
      "")"",
      REGEXEXTRACT(B418, ""^First\(([^ )]+)"")
    )
  &amp; "" }"",
  IF(
    REGEXMATCH($C418, ""^First\(&lt;""),
    VLOOKUP(REGEXEXTRACT($C418, ""\(([^)]+)\)""), 'First"&amp;" Set MacroA'!B:D, 3, FALSE),
    IF(
      REGEXMATCH($C418, ""^Follow\(&lt;""),
      VLOOKUP(REGEXEXTRACT($C418, ""\(([^)]+)\)""), 'Follow Set Macros'!B:D, 3, FALSE),
      ""{ "" &amp; REGEXEXTRACT($C418, ""\(([^)]+)\)"") &amp; "" }""
    )
  )
)
"),"#REF!")</f>
        <v>#REF!</v>
      </c>
      <c r="E418" s="664"/>
      <c r="F418" s="664"/>
      <c r="G418" s="664"/>
      <c r="H418" s="664"/>
      <c r="I418" s="664"/>
      <c r="J418" s="664"/>
      <c r="K418" s="664"/>
      <c r="L418" s="664"/>
      <c r="M418" s="664"/>
      <c r="N418" s="664"/>
      <c r="O418" s="664"/>
      <c r="P418" s="664"/>
      <c r="Q418" s="664"/>
      <c r="R418" s="664"/>
      <c r="S418" s="664"/>
      <c r="T418" s="664"/>
      <c r="U418" s="664"/>
      <c r="V418" s="664"/>
      <c r="W418" s="664"/>
      <c r="X418" s="664"/>
    </row>
    <row r="419">
      <c r="A419" s="661">
        <f t="shared" si="1"/>
        <v>419</v>
      </c>
      <c r="B419" s="662" t="str">
        <f t="shared" si="2"/>
        <v>#REF!</v>
      </c>
      <c r="C419" s="662" t="str">
        <f>IFERROR(__xludf.DUMMYFUNCTION("IF(
  REGEXMATCH(B419, ""^First\(λ - λ\) ∪ Follow\(""),
  ""Follow("" &amp; REGEXEXTRACT(B419, ""Follow\(([^)]+)\)"") &amp; "") ="",
  IF(
    OR(
      REGEXMATCH(B419, ""^First\([^&lt;]""),
      REGEXMATCH(B419, ""^First\(&lt;[^A-Za-z_]"")
    ),
    """",
    IF(
 "&amp;"     CFG!D419=""λ"",
      ""Follow("" &amp; CFG!B419 &amp; "") ="",
      ""First("" &amp; CFG!D419 &amp; "") =""
    )
  )
)
"),"#REF!")</f>
        <v>#REF!</v>
      </c>
      <c r="D419" s="663" t="str">
        <f>IFERROR(__xludf.DUMMYFUNCTION("IF(
  $C419="""",
  ""{ "" &amp;
    IF(
      REGEXMATCH(B419, ""^First\(\)""),
      "")"",
      REGEXEXTRACT(B419, ""^First\(([^ )]+)"")
    )
  &amp; "" }"",
  IF(
    REGEXMATCH($C419, ""^First\(&lt;""),
    VLOOKUP(REGEXEXTRACT($C419, ""\(([^)]+)\)""), 'First"&amp;" Set MacroA'!B:D, 3, FALSE),
    IF(
      REGEXMATCH($C419, ""^Follow\(&lt;""),
      VLOOKUP(REGEXEXTRACT($C419, ""\(([^)]+)\)""), 'Follow Set Macros'!B:D, 3, FALSE),
      ""{ "" &amp; REGEXEXTRACT($C419, ""\(([^)]+)\)"") &amp; "" }""
    )
  )
)
"),"#REF!")</f>
        <v>#REF!</v>
      </c>
      <c r="E419" s="664"/>
      <c r="F419" s="664"/>
      <c r="G419" s="664"/>
      <c r="H419" s="664"/>
      <c r="I419" s="664"/>
      <c r="J419" s="664"/>
      <c r="K419" s="664"/>
      <c r="L419" s="664"/>
      <c r="M419" s="664"/>
      <c r="N419" s="664"/>
      <c r="O419" s="664"/>
      <c r="P419" s="664"/>
      <c r="Q419" s="664"/>
      <c r="R419" s="664"/>
      <c r="S419" s="664"/>
      <c r="T419" s="664"/>
      <c r="U419" s="664"/>
      <c r="V419" s="664"/>
      <c r="W419" s="664"/>
      <c r="X419" s="664"/>
    </row>
    <row r="420">
      <c r="A420" s="661">
        <f t="shared" si="1"/>
        <v>420</v>
      </c>
      <c r="B420" s="662" t="str">
        <f t="shared" si="2"/>
        <v>#REF!</v>
      </c>
      <c r="C420" s="662" t="str">
        <f>IFERROR(__xludf.DUMMYFUNCTION("IF(
  REGEXMATCH(B420, ""^First\(λ - λ\) ∪ Follow\(""),
  ""Follow("" &amp; REGEXEXTRACT(B420, ""Follow\(([^)]+)\)"") &amp; "") ="",
  IF(
    OR(
      REGEXMATCH(B420, ""^First\([^&lt;]""),
      REGEXMATCH(B420, ""^First\(&lt;[^A-Za-z_]"")
    ),
    """",
    IF(
 "&amp;"     CFG!D420=""λ"",
      ""Follow("" &amp; CFG!B420 &amp; "") ="",
      ""First("" &amp; CFG!D420 &amp; "") =""
    )
  )
)
"),"#REF!")</f>
        <v>#REF!</v>
      </c>
      <c r="D420" s="663" t="str">
        <f>IFERROR(__xludf.DUMMYFUNCTION("IF(
  $C420="""",
  ""{ "" &amp;
    IF(
      REGEXMATCH(B420, ""^First\(\)""),
      "")"",
      REGEXEXTRACT(B420, ""^First\(([^ )]+)"")
    )
  &amp; "" }"",
  IF(
    REGEXMATCH($C420, ""^First\(&lt;""),
    VLOOKUP(REGEXEXTRACT($C420, ""\(([^)]+)\)""), 'First"&amp;" Set MacroA'!B:D, 3, FALSE),
    IF(
      REGEXMATCH($C420, ""^Follow\(&lt;""),
      VLOOKUP(REGEXEXTRACT($C420, ""\(([^)]+)\)""), 'Follow Set Macros'!B:D, 3, FALSE),
      ""{ "" &amp; REGEXEXTRACT($C420, ""\(([^)]+)\)"") &amp; "" }""
    )
  )
)
"),"#REF!")</f>
        <v>#REF!</v>
      </c>
      <c r="E420" s="664"/>
      <c r="F420" s="664"/>
      <c r="G420" s="664"/>
      <c r="H420" s="664"/>
      <c r="I420" s="664"/>
      <c r="J420" s="664"/>
      <c r="K420" s="664"/>
      <c r="L420" s="664"/>
      <c r="M420" s="664"/>
      <c r="N420" s="664"/>
      <c r="O420" s="664"/>
      <c r="P420" s="664"/>
      <c r="Q420" s="664"/>
      <c r="R420" s="664"/>
      <c r="S420" s="664"/>
      <c r="T420" s="664"/>
      <c r="U420" s="664"/>
      <c r="V420" s="664"/>
      <c r="W420" s="664"/>
      <c r="X420" s="664"/>
    </row>
    <row r="421">
      <c r="A421" s="661">
        <f t="shared" si="1"/>
        <v>421</v>
      </c>
      <c r="B421" s="662" t="str">
        <f t="shared" si="2"/>
        <v>#REF!</v>
      </c>
      <c r="C421" s="662" t="str">
        <f>IFERROR(__xludf.DUMMYFUNCTION("IF(
  REGEXMATCH(B421, ""^First\(λ - λ\) ∪ Follow\(""),
  ""Follow("" &amp; REGEXEXTRACT(B421, ""Follow\(([^)]+)\)"") &amp; "") ="",
  IF(
    OR(
      REGEXMATCH(B421, ""^First\([^&lt;]""),
      REGEXMATCH(B421, ""^First\(&lt;[^A-Za-z_]"")
    ),
    """",
    IF(
 "&amp;"     CFG!D421=""λ"",
      ""Follow("" &amp; CFG!B421 &amp; "") ="",
      ""First("" &amp; CFG!D421 &amp; "") =""
    )
  )
)
"),"#REF!")</f>
        <v>#REF!</v>
      </c>
      <c r="D421" s="663" t="str">
        <f>IFERROR(__xludf.DUMMYFUNCTION("IF(
  $C421="""",
  ""{ "" &amp;
    IF(
      REGEXMATCH(B421, ""^First\(\)""),
      "")"",
      REGEXEXTRACT(B421, ""^First\(([^ )]+)"")
    )
  &amp; "" }"",
  IF(
    REGEXMATCH($C421, ""^First\(&lt;""),
    VLOOKUP(REGEXEXTRACT($C421, ""\(([^)]+)\)""), 'First"&amp;" Set MacroA'!B:D, 3, FALSE),
    IF(
      REGEXMATCH($C421, ""^Follow\(&lt;""),
      VLOOKUP(REGEXEXTRACT($C421, ""\(([^)]+)\)""), 'Follow Set Macros'!B:D, 3, FALSE),
      ""{ "" &amp; REGEXEXTRACT($C421, ""\(([^)]+)\)"") &amp; "" }""
    )
  )
)
"),"#REF!")</f>
        <v>#REF!</v>
      </c>
      <c r="E421" s="664"/>
      <c r="F421" s="664"/>
      <c r="G421" s="664"/>
      <c r="H421" s="664"/>
      <c r="I421" s="664"/>
      <c r="J421" s="664"/>
      <c r="K421" s="664"/>
      <c r="L421" s="664"/>
      <c r="M421" s="664"/>
      <c r="N421" s="664"/>
      <c r="O421" s="664"/>
      <c r="P421" s="664"/>
      <c r="Q421" s="664"/>
      <c r="R421" s="664"/>
      <c r="S421" s="664"/>
      <c r="T421" s="664"/>
      <c r="U421" s="664"/>
      <c r="V421" s="664"/>
      <c r="W421" s="664"/>
      <c r="X421" s="664"/>
    </row>
    <row r="422">
      <c r="A422" s="661">
        <f t="shared" si="1"/>
        <v>422</v>
      </c>
      <c r="B422" s="662" t="str">
        <f t="shared" si="2"/>
        <v>#REF!</v>
      </c>
      <c r="C422" s="662" t="str">
        <f>IFERROR(__xludf.DUMMYFUNCTION("IF(
  REGEXMATCH(B422, ""^First\(λ - λ\) ∪ Follow\(""),
  ""Follow("" &amp; REGEXEXTRACT(B422, ""Follow\(([^)]+)\)"") &amp; "") ="",
  IF(
    OR(
      REGEXMATCH(B422, ""^First\([^&lt;]""),
      REGEXMATCH(B422, ""^First\(&lt;[^A-Za-z_]"")
    ),
    """",
    IF(
 "&amp;"     CFG!D422=""λ"",
      ""Follow("" &amp; CFG!B422 &amp; "") ="",
      ""First("" &amp; CFG!D422 &amp; "") =""
    )
  )
)
"),"#REF!")</f>
        <v>#REF!</v>
      </c>
      <c r="D422" s="663" t="str">
        <f>IFERROR(__xludf.DUMMYFUNCTION("IF(
  $C422="""",
  ""{ "" &amp;
    IF(
      REGEXMATCH(B422, ""^First\(\)""),
      "")"",
      REGEXEXTRACT(B422, ""^First\(([^ )]+)"")
    )
  &amp; "" }"",
  IF(
    REGEXMATCH($C422, ""^First\(&lt;""),
    VLOOKUP(REGEXEXTRACT($C422, ""\(([^)]+)\)""), 'First"&amp;" Set MacroA'!B:D, 3, FALSE),
    IF(
      REGEXMATCH($C422, ""^Follow\(&lt;""),
      VLOOKUP(REGEXEXTRACT($C422, ""\(([^)]+)\)""), 'Follow Set Macros'!B:D, 3, FALSE),
      ""{ "" &amp; REGEXEXTRACT($C422, ""\(([^)]+)\)"") &amp; "" }""
    )
  )
)
"),"#REF!")</f>
        <v>#REF!</v>
      </c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</row>
    <row r="423">
      <c r="A423" s="661">
        <f t="shared" si="1"/>
        <v>423</v>
      </c>
      <c r="B423" s="662" t="str">
        <f t="shared" si="2"/>
        <v>#REF!</v>
      </c>
      <c r="C423" s="662" t="str">
        <f>IFERROR(__xludf.DUMMYFUNCTION("IF(
  REGEXMATCH(B423, ""^First\(λ - λ\) ∪ Follow\(""),
  ""Follow("" &amp; REGEXEXTRACT(B423, ""Follow\(([^)]+)\)"") &amp; "") ="",
  IF(
    OR(
      REGEXMATCH(B423, ""^First\([^&lt;]""),
      REGEXMATCH(B423, ""^First\(&lt;[^A-Za-z_]"")
    ),
    """",
    IF(
 "&amp;"     CFG!D423=""λ"",
      ""Follow("" &amp; CFG!B423 &amp; "") ="",
      ""First("" &amp; CFG!D423 &amp; "") =""
    )
  )
)
"),"#REF!")</f>
        <v>#REF!</v>
      </c>
      <c r="D423" s="663" t="str">
        <f>IFERROR(__xludf.DUMMYFUNCTION("IF(
  $C423="""",
  ""{ "" &amp;
    IF(
      REGEXMATCH(B423, ""^First\(\)""),
      "")"",
      REGEXEXTRACT(B423, ""^First\(([^ )]+)"")
    )
  &amp; "" }"",
  IF(
    REGEXMATCH($C423, ""^First\(&lt;""),
    VLOOKUP(REGEXEXTRACT($C423, ""\(([^)]+)\)""), 'First"&amp;" Set MacroA'!B:D, 3, FALSE),
    IF(
      REGEXMATCH($C423, ""^Follow\(&lt;""),
      VLOOKUP(REGEXEXTRACT($C423, ""\(([^)]+)\)""), 'Follow Set Macros'!B:D, 3, FALSE),
      ""{ "" &amp; REGEXEXTRACT($C423, ""\(([^)]+)\)"") &amp; "" }""
    )
  )
)
"),"#REF!")</f>
        <v>#REF!</v>
      </c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</row>
    <row r="424">
      <c r="A424" s="661">
        <f t="shared" si="1"/>
        <v>424</v>
      </c>
      <c r="B424" s="662" t="str">
        <f t="shared" si="2"/>
        <v>#REF!</v>
      </c>
      <c r="C424" s="662" t="str">
        <f>IFERROR(__xludf.DUMMYFUNCTION("IF(
  REGEXMATCH(B424, ""^First\(λ - λ\) ∪ Follow\(""),
  ""Follow("" &amp; REGEXEXTRACT(B424, ""Follow\(([^)]+)\)"") &amp; "") ="",
  IF(
    OR(
      REGEXMATCH(B424, ""^First\([^&lt;]""),
      REGEXMATCH(B424, ""^First\(&lt;[^A-Za-z_]"")
    ),
    """",
    IF(
 "&amp;"     CFG!D424=""λ"",
      ""Follow("" &amp; CFG!B424 &amp; "") ="",
      ""First("" &amp; CFG!D424 &amp; "") =""
    )
  )
)
"),"#REF!")</f>
        <v>#REF!</v>
      </c>
      <c r="D424" s="663" t="str">
        <f>IFERROR(__xludf.DUMMYFUNCTION("IF(
  $C424="""",
  ""{ "" &amp;
    IF(
      REGEXMATCH(B424, ""^First\(\)""),
      "")"",
      REGEXEXTRACT(B424, ""^First\(([^ )]+)"")
    )
  &amp; "" }"",
  IF(
    REGEXMATCH($C424, ""^First\(&lt;""),
    VLOOKUP(REGEXEXTRACT($C424, ""\(([^)]+)\)""), 'First"&amp;" Set MacroA'!B:D, 3, FALSE),
    IF(
      REGEXMATCH($C424, ""^Follow\(&lt;""),
      VLOOKUP(REGEXEXTRACT($C424, ""\(([^)]+)\)""), 'Follow Set Macros'!B:D, 3, FALSE),
      ""{ "" &amp; REGEXEXTRACT($C424, ""\(([^)]+)\)"") &amp; "" }""
    )
  )
)
"),"#REF!")</f>
        <v>#REF!</v>
      </c>
      <c r="E424" s="664"/>
      <c r="F424" s="664"/>
      <c r="G424" s="664"/>
      <c r="H424" s="664"/>
      <c r="I424" s="664"/>
      <c r="J424" s="664"/>
      <c r="K424" s="664"/>
      <c r="L424" s="664"/>
      <c r="M424" s="664"/>
      <c r="N424" s="664"/>
      <c r="O424" s="664"/>
      <c r="P424" s="664"/>
      <c r="Q424" s="664"/>
      <c r="R424" s="664"/>
      <c r="S424" s="664"/>
      <c r="T424" s="664"/>
      <c r="U424" s="664"/>
      <c r="V424" s="664"/>
      <c r="W424" s="664"/>
      <c r="X424" s="664"/>
    </row>
    <row r="425">
      <c r="A425" s="661">
        <f t="shared" si="1"/>
        <v>425</v>
      </c>
      <c r="B425" s="662" t="str">
        <f t="shared" si="2"/>
        <v>#REF!</v>
      </c>
      <c r="C425" s="662" t="str">
        <f>IFERROR(__xludf.DUMMYFUNCTION("IF(
  REGEXMATCH(B425, ""^First\(λ - λ\) ∪ Follow\(""),
  ""Follow("" &amp; REGEXEXTRACT(B425, ""Follow\(([^)]+)\)"") &amp; "") ="",
  IF(
    OR(
      REGEXMATCH(B425, ""^First\([^&lt;]""),
      REGEXMATCH(B425, ""^First\(&lt;[^A-Za-z_]"")
    ),
    """",
    IF(
 "&amp;"     CFG!D425=""λ"",
      ""Follow("" &amp; CFG!B425 &amp; "") ="",
      ""First("" &amp; CFG!D425 &amp; "") =""
    )
  )
)
"),"#REF!")</f>
        <v>#REF!</v>
      </c>
      <c r="D425" s="663" t="str">
        <f>IFERROR(__xludf.DUMMYFUNCTION("IF(
  $C425="""",
  ""{ "" &amp;
    IF(
      REGEXMATCH(B425, ""^First\(\)""),
      "")"",
      REGEXEXTRACT(B425, ""^First\(([^ )]+)"")
    )
  &amp; "" }"",
  IF(
    REGEXMATCH($C425, ""^First\(&lt;""),
    VLOOKUP(REGEXEXTRACT($C425, ""\(([^)]+)\)""), 'First"&amp;" Set MacroA'!B:D, 3, FALSE),
    IF(
      REGEXMATCH($C425, ""^Follow\(&lt;""),
      VLOOKUP(REGEXEXTRACT($C425, ""\(([^)]+)\)""), 'Follow Set Macros'!B:D, 3, FALSE),
      ""{ "" &amp; REGEXEXTRACT($C425, ""\(([^)]+)\)"") &amp; "" }""
    )
  )
)
"),"#REF!")</f>
        <v>#REF!</v>
      </c>
      <c r="E425" s="664"/>
      <c r="F425" s="664"/>
      <c r="G425" s="664"/>
      <c r="H425" s="664"/>
      <c r="I425" s="664"/>
      <c r="J425" s="664"/>
      <c r="K425" s="664"/>
      <c r="L425" s="664"/>
      <c r="M425" s="664"/>
      <c r="N425" s="664"/>
      <c r="O425" s="664"/>
      <c r="P425" s="664"/>
      <c r="Q425" s="664"/>
      <c r="R425" s="664"/>
      <c r="S425" s="664"/>
      <c r="T425" s="664"/>
      <c r="U425" s="664"/>
      <c r="V425" s="664"/>
      <c r="W425" s="664"/>
      <c r="X425" s="664"/>
    </row>
    <row r="426">
      <c r="A426" s="661">
        <f t="shared" si="1"/>
        <v>426</v>
      </c>
      <c r="B426" s="662" t="str">
        <f t="shared" si="2"/>
        <v>#REF!</v>
      </c>
      <c r="C426" s="662" t="str">
        <f>IFERROR(__xludf.DUMMYFUNCTION("IF(
  REGEXMATCH(B426, ""^First\(λ - λ\) ∪ Follow\(""),
  ""Follow("" &amp; REGEXEXTRACT(B426, ""Follow\(([^)]+)\)"") &amp; "") ="",
  IF(
    OR(
      REGEXMATCH(B426, ""^First\([^&lt;]""),
      REGEXMATCH(B426, ""^First\(&lt;[^A-Za-z_]"")
    ),
    """",
    IF(
 "&amp;"     CFG!D426=""λ"",
      ""Follow("" &amp; CFG!B426 &amp; "") ="",
      ""First("" &amp; CFG!D426 &amp; "") =""
    )
  )
)
"),"#REF!")</f>
        <v>#REF!</v>
      </c>
      <c r="D426" s="663" t="str">
        <f>IFERROR(__xludf.DUMMYFUNCTION("IF(
  $C426="""",
  ""{ "" &amp;
    IF(
      REGEXMATCH(B426, ""^First\(\)""),
      "")"",
      REGEXEXTRACT(B426, ""^First\(([^ )]+)"")
    )
  &amp; "" }"",
  IF(
    REGEXMATCH($C426, ""^First\(&lt;""),
    VLOOKUP(REGEXEXTRACT($C426, ""\(([^)]+)\)""), 'First"&amp;" Set MacroA'!B:D, 3, FALSE),
    IF(
      REGEXMATCH($C426, ""^Follow\(&lt;""),
      VLOOKUP(REGEXEXTRACT($C426, ""\(([^)]+)\)""), 'Follow Set Macros'!B:D, 3, FALSE),
      ""{ "" &amp; REGEXEXTRACT($C426, ""\(([^)]+)\)"") &amp; "" }""
    )
  )
)
"),"#REF!")</f>
        <v>#REF!</v>
      </c>
      <c r="E426" s="664"/>
      <c r="F426" s="664"/>
      <c r="G426" s="664"/>
      <c r="H426" s="664"/>
      <c r="I426" s="664"/>
      <c r="J426" s="664"/>
      <c r="K426" s="664"/>
      <c r="L426" s="664"/>
      <c r="M426" s="664"/>
      <c r="N426" s="664"/>
      <c r="O426" s="664"/>
      <c r="P426" s="664"/>
      <c r="Q426" s="664"/>
      <c r="R426" s="664"/>
      <c r="S426" s="664"/>
      <c r="T426" s="664"/>
      <c r="U426" s="664"/>
      <c r="V426" s="664"/>
      <c r="W426" s="664"/>
      <c r="X426" s="664"/>
    </row>
    <row r="427">
      <c r="A427" s="661">
        <f t="shared" si="1"/>
        <v>427</v>
      </c>
      <c r="B427" s="662" t="str">
        <f t="shared" si="2"/>
        <v>#REF!</v>
      </c>
      <c r="C427" s="662" t="str">
        <f>IFERROR(__xludf.DUMMYFUNCTION("IF(
  REGEXMATCH(B427, ""^First\(λ - λ\) ∪ Follow\(""),
  ""Follow("" &amp; REGEXEXTRACT(B427, ""Follow\(([^)]+)\)"") &amp; "") ="",
  IF(
    OR(
      REGEXMATCH(B427, ""^First\([^&lt;]""),
      REGEXMATCH(B427, ""^First\(&lt;[^A-Za-z_]"")
    ),
    """",
    IF(
 "&amp;"     CFG!D427=""λ"",
      ""Follow("" &amp; CFG!B427 &amp; "") ="",
      ""First("" &amp; CFG!D427 &amp; "") =""
    )
  )
)
"),"#REF!")</f>
        <v>#REF!</v>
      </c>
      <c r="D427" s="663" t="str">
        <f>IFERROR(__xludf.DUMMYFUNCTION("IF(
  $C427="""",
  ""{ "" &amp;
    IF(
      REGEXMATCH(B427, ""^First\(\)""),
      "")"",
      REGEXEXTRACT(B427, ""^First\(([^ )]+)"")
    )
  &amp; "" }"",
  IF(
    REGEXMATCH($C427, ""^First\(&lt;""),
    VLOOKUP(REGEXEXTRACT($C427, ""\(([^)]+)\)""), 'First"&amp;" Set MacroA'!B:D, 3, FALSE),
    IF(
      REGEXMATCH($C427, ""^Follow\(&lt;""),
      VLOOKUP(REGEXEXTRACT($C427, ""\(([^)]+)\)""), 'Follow Set Macros'!B:D, 3, FALSE),
      ""{ "" &amp; REGEXEXTRACT($C427, ""\(([^)]+)\)"") &amp; "" }""
    )
  )
)
"),"#REF!")</f>
        <v>#REF!</v>
      </c>
      <c r="E427" s="664"/>
      <c r="F427" s="664"/>
      <c r="G427" s="664"/>
      <c r="H427" s="664"/>
      <c r="I427" s="664"/>
      <c r="J427" s="664"/>
      <c r="K427" s="664"/>
      <c r="L427" s="664"/>
      <c r="M427" s="664"/>
      <c r="N427" s="664"/>
      <c r="O427" s="664"/>
      <c r="P427" s="664"/>
      <c r="Q427" s="664"/>
      <c r="R427" s="664"/>
      <c r="S427" s="664"/>
      <c r="T427" s="664"/>
      <c r="U427" s="664"/>
      <c r="V427" s="664"/>
      <c r="W427" s="664"/>
      <c r="X427" s="664"/>
    </row>
    <row r="428">
      <c r="A428" s="661">
        <f t="shared" si="1"/>
        <v>428</v>
      </c>
      <c r="B428" s="662" t="str">
        <f t="shared" si="2"/>
        <v>#REF!</v>
      </c>
      <c r="C428" s="662" t="str">
        <f>IFERROR(__xludf.DUMMYFUNCTION("IF(
  REGEXMATCH(B428, ""^First\(λ - λ\) ∪ Follow\(""),
  ""Follow("" &amp; REGEXEXTRACT(B428, ""Follow\(([^)]+)\)"") &amp; "") ="",
  IF(
    OR(
      REGEXMATCH(B428, ""^First\([^&lt;]""),
      REGEXMATCH(B428, ""^First\(&lt;[^A-Za-z_]"")
    ),
    """",
    IF(
 "&amp;"     CFG!D428=""λ"",
      ""Follow("" &amp; CFG!B428 &amp; "") ="",
      ""First("" &amp; CFG!D428 &amp; "") =""
    )
  )
)
"),"#REF!")</f>
        <v>#REF!</v>
      </c>
      <c r="D428" s="663" t="str">
        <f>IFERROR(__xludf.DUMMYFUNCTION("IF(
  $C428="""",
  ""{ "" &amp;
    IF(
      REGEXMATCH(B428, ""^First\(\)""),
      "")"",
      REGEXEXTRACT(B428, ""^First\(([^ )]+)"")
    )
  &amp; "" }"",
  IF(
    REGEXMATCH($C428, ""^First\(&lt;""),
    VLOOKUP(REGEXEXTRACT($C428, ""\(([^)]+)\)""), 'First"&amp;" Set MacroA'!B:D, 3, FALSE),
    IF(
      REGEXMATCH($C428, ""^Follow\(&lt;""),
      VLOOKUP(REGEXEXTRACT($C428, ""\(([^)]+)\)""), 'Follow Set Macros'!B:D, 3, FALSE),
      ""{ "" &amp; REGEXEXTRACT($C428, ""\(([^)]+)\)"") &amp; "" }""
    )
  )
)
"),"#REF!")</f>
        <v>#REF!</v>
      </c>
      <c r="E428" s="664"/>
      <c r="F428" s="664"/>
      <c r="G428" s="664"/>
      <c r="H428" s="664"/>
      <c r="I428" s="664"/>
      <c r="J428" s="664"/>
      <c r="K428" s="664"/>
      <c r="L428" s="664"/>
      <c r="M428" s="664"/>
      <c r="N428" s="664"/>
      <c r="O428" s="664"/>
      <c r="P428" s="664"/>
      <c r="Q428" s="664"/>
      <c r="R428" s="664"/>
      <c r="S428" s="664"/>
      <c r="T428" s="664"/>
      <c r="U428" s="664"/>
      <c r="V428" s="664"/>
      <c r="W428" s="664"/>
      <c r="X428" s="664"/>
    </row>
    <row r="429">
      <c r="A429" s="661">
        <f t="shared" si="1"/>
        <v>429</v>
      </c>
      <c r="B429" s="662" t="str">
        <f t="shared" si="2"/>
        <v>#REF!</v>
      </c>
      <c r="C429" s="662" t="str">
        <f>IFERROR(__xludf.DUMMYFUNCTION("IF(
  REGEXMATCH(B429, ""^First\(λ - λ\) ∪ Follow\(""),
  ""Follow("" &amp; REGEXEXTRACT(B429, ""Follow\(([^)]+)\)"") &amp; "") ="",
  IF(
    OR(
      REGEXMATCH(B429, ""^First\([^&lt;]""),
      REGEXMATCH(B429, ""^First\(&lt;[^A-Za-z_]"")
    ),
    """",
    IF(
 "&amp;"     CFG!D429=""λ"",
      ""Follow("" &amp; CFG!B429 &amp; "") ="",
      ""First("" &amp; CFG!D429 &amp; "") =""
    )
  )
)
"),"#REF!")</f>
        <v>#REF!</v>
      </c>
      <c r="D429" s="663" t="str">
        <f>IFERROR(__xludf.DUMMYFUNCTION("IF(
  $C429="""",
  ""{ "" &amp;
    IF(
      REGEXMATCH(B429, ""^First\(\)""),
      "")"",
      REGEXEXTRACT(B429, ""^First\(([^ )]+)"")
    )
  &amp; "" }"",
  IF(
    REGEXMATCH($C429, ""^First\(&lt;""),
    VLOOKUP(REGEXEXTRACT($C429, ""\(([^)]+)\)""), 'First"&amp;" Set MacroA'!B:D, 3, FALSE),
    IF(
      REGEXMATCH($C429, ""^Follow\(&lt;""),
      VLOOKUP(REGEXEXTRACT($C429, ""\(([^)]+)\)""), 'Follow Set Macros'!B:D, 3, FALSE),
      ""{ "" &amp; REGEXEXTRACT($C429, ""\(([^)]+)\)"") &amp; "" }""
    )
  )
)
"),"#REF!")</f>
        <v>#REF!</v>
      </c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</row>
    <row r="430">
      <c r="A430" s="661">
        <f t="shared" si="1"/>
        <v>430</v>
      </c>
      <c r="B430" s="662" t="str">
        <f t="shared" si="2"/>
        <v>#REF!</v>
      </c>
      <c r="C430" s="662" t="str">
        <f>IFERROR(__xludf.DUMMYFUNCTION("IF(
  REGEXMATCH(B430, ""^First\(λ - λ\) ∪ Follow\(""),
  ""Follow("" &amp; REGEXEXTRACT(B430, ""Follow\(([^)]+)\)"") &amp; "") ="",
  IF(
    OR(
      REGEXMATCH(B430, ""^First\([^&lt;]""),
      REGEXMATCH(B430, ""^First\(&lt;[^A-Za-z_]"")
    ),
    """",
    IF(
 "&amp;"     CFG!D430=""λ"",
      ""Follow("" &amp; CFG!B430 &amp; "") ="",
      ""First("" &amp; CFG!D430 &amp; "") =""
    )
  )
)
"),"#REF!")</f>
        <v>#REF!</v>
      </c>
      <c r="D430" s="663" t="str">
        <f>IFERROR(__xludf.DUMMYFUNCTION("IF(
  $C430="""",
  ""{ "" &amp;
    IF(
      REGEXMATCH(B430, ""^First\(\)""),
      "")"",
      REGEXEXTRACT(B430, ""^First\(([^ )]+)"")
    )
  &amp; "" }"",
  IF(
    REGEXMATCH($C430, ""^First\(&lt;""),
    VLOOKUP(REGEXEXTRACT($C430, ""\(([^)]+)\)""), 'First"&amp;" Set MacroA'!B:D, 3, FALSE),
    IF(
      REGEXMATCH($C430, ""^Follow\(&lt;""),
      VLOOKUP(REGEXEXTRACT($C430, ""\(([^)]+)\)""), 'Follow Set Macros'!B:D, 3, FALSE),
      ""{ "" &amp; REGEXEXTRACT($C430, ""\(([^)]+)\)"") &amp; "" }""
    )
  )
)
"),"#REF!")</f>
        <v>#REF!</v>
      </c>
      <c r="E430" s="664"/>
      <c r="F430" s="664"/>
      <c r="G430" s="664"/>
      <c r="H430" s="664"/>
      <c r="I430" s="664"/>
      <c r="J430" s="664"/>
      <c r="K430" s="664"/>
      <c r="L430" s="664"/>
      <c r="M430" s="664"/>
      <c r="N430" s="664"/>
      <c r="O430" s="664"/>
      <c r="P430" s="664"/>
      <c r="Q430" s="664"/>
      <c r="R430" s="664"/>
      <c r="S430" s="664"/>
      <c r="T430" s="664"/>
      <c r="U430" s="664"/>
      <c r="V430" s="664"/>
      <c r="W430" s="664"/>
      <c r="X430" s="664"/>
    </row>
    <row r="431">
      <c r="A431" s="661">
        <f t="shared" si="1"/>
        <v>431</v>
      </c>
      <c r="B431" s="662" t="str">
        <f t="shared" si="2"/>
        <v>#REF!</v>
      </c>
      <c r="C431" s="662" t="str">
        <f>IFERROR(__xludf.DUMMYFUNCTION("IF(
  REGEXMATCH(B431, ""^First\(λ - λ\) ∪ Follow\(""),
  ""Follow("" &amp; REGEXEXTRACT(B431, ""Follow\(([^)]+)\)"") &amp; "") ="",
  IF(
    OR(
      REGEXMATCH(B431, ""^First\([^&lt;]""),
      REGEXMATCH(B431, ""^First\(&lt;[^A-Za-z_]"")
    ),
    """",
    IF(
 "&amp;"     CFG!D431=""λ"",
      ""Follow("" &amp; CFG!B431 &amp; "") ="",
      ""First("" &amp; CFG!D431 &amp; "") =""
    )
  )
)
"),"#REF!")</f>
        <v>#REF!</v>
      </c>
      <c r="D431" s="663" t="str">
        <f>IFERROR(__xludf.DUMMYFUNCTION("IF(
  $C431="""",
  ""{ "" &amp;
    IF(
      REGEXMATCH(B431, ""^First\(\)""),
      "")"",
      REGEXEXTRACT(B431, ""^First\(([^ )]+)"")
    )
  &amp; "" }"",
  IF(
    REGEXMATCH($C431, ""^First\(&lt;""),
    VLOOKUP(REGEXEXTRACT($C431, ""\(([^)]+)\)""), 'First"&amp;" Set MacroA'!B:D, 3, FALSE),
    IF(
      REGEXMATCH($C431, ""^Follow\(&lt;""),
      VLOOKUP(REGEXEXTRACT($C431, ""\(([^)]+)\)""), 'Follow Set Macros'!B:D, 3, FALSE),
      ""{ "" &amp; REGEXEXTRACT($C431, ""\(([^)]+)\)"") &amp; "" }""
    )
  )
)
"),"#REF!")</f>
        <v>#REF!</v>
      </c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</row>
    <row r="432">
      <c r="A432" s="661">
        <f t="shared" si="1"/>
        <v>432</v>
      </c>
      <c r="B432" s="662" t="str">
        <f t="shared" si="2"/>
        <v>#REF!</v>
      </c>
      <c r="C432" s="662" t="str">
        <f>IFERROR(__xludf.DUMMYFUNCTION("IF(
  REGEXMATCH(B432, ""^First\(λ - λ\) ∪ Follow\(""),
  ""Follow("" &amp; REGEXEXTRACT(B432, ""Follow\(([^)]+)\)"") &amp; "") ="",
  IF(
    OR(
      REGEXMATCH(B432, ""^First\([^&lt;]""),
      REGEXMATCH(B432, ""^First\(&lt;[^A-Za-z_]"")
    ),
    """",
    IF(
 "&amp;"     CFG!D432=""λ"",
      ""Follow("" &amp; CFG!B432 &amp; "") ="",
      ""First("" &amp; CFG!D432 &amp; "") =""
    )
  )
)
"),"#REF!")</f>
        <v>#REF!</v>
      </c>
      <c r="D432" s="663" t="str">
        <f>IFERROR(__xludf.DUMMYFUNCTION("IF(
  $C432="""",
  ""{ "" &amp;
    IF(
      REGEXMATCH(B432, ""^First\(\)""),
      "")"",
      REGEXEXTRACT(B432, ""^First\(([^ )]+)"")
    )
  &amp; "" }"",
  IF(
    REGEXMATCH($C432, ""^First\(&lt;""),
    VLOOKUP(REGEXEXTRACT($C432, ""\(([^)]+)\)""), 'First"&amp;" Set MacroA'!B:D, 3, FALSE),
    IF(
      REGEXMATCH($C432, ""^Follow\(&lt;""),
      VLOOKUP(REGEXEXTRACT($C432, ""\(([^)]+)\)""), 'Follow Set Macros'!B:D, 3, FALSE),
      ""{ "" &amp; REGEXEXTRACT($C432, ""\(([^)]+)\)"") &amp; "" }""
    )
  )
)
"),"#REF!")</f>
        <v>#REF!</v>
      </c>
      <c r="E432" s="664"/>
      <c r="F432" s="664"/>
      <c r="G432" s="664"/>
      <c r="H432" s="664"/>
      <c r="I432" s="664"/>
      <c r="J432" s="664"/>
      <c r="K432" s="664"/>
      <c r="L432" s="664"/>
      <c r="M432" s="664"/>
      <c r="N432" s="664"/>
      <c r="O432" s="664"/>
      <c r="P432" s="664"/>
      <c r="Q432" s="664"/>
      <c r="R432" s="664"/>
      <c r="S432" s="664"/>
      <c r="T432" s="664"/>
      <c r="U432" s="664"/>
      <c r="V432" s="664"/>
      <c r="W432" s="664"/>
      <c r="X432" s="664"/>
    </row>
    <row r="433">
      <c r="A433" s="661">
        <f t="shared" si="1"/>
        <v>433</v>
      </c>
      <c r="B433" s="662" t="str">
        <f t="shared" si="2"/>
        <v>#REF!</v>
      </c>
      <c r="C433" s="662" t="str">
        <f>IFERROR(__xludf.DUMMYFUNCTION("IF(
  REGEXMATCH(B433, ""^First\(λ - λ\) ∪ Follow\(""),
  ""Follow("" &amp; REGEXEXTRACT(B433, ""Follow\(([^)]+)\)"") &amp; "") ="",
  IF(
    OR(
      REGEXMATCH(B433, ""^First\([^&lt;]""),
      REGEXMATCH(B433, ""^First\(&lt;[^A-Za-z_]"")
    ),
    """",
    IF(
 "&amp;"     CFG!D433=""λ"",
      ""Follow("" &amp; CFG!B433 &amp; "") ="",
      ""First("" &amp; CFG!D433 &amp; "") =""
    )
  )
)
"),"#REF!")</f>
        <v>#REF!</v>
      </c>
      <c r="D433" s="663" t="str">
        <f>IFERROR(__xludf.DUMMYFUNCTION("IF(
  $C433="""",
  ""{ "" &amp;
    IF(
      REGEXMATCH(B433, ""^First\(\)""),
      "")"",
      REGEXEXTRACT(B433, ""^First\(([^ )]+)"")
    )
  &amp; "" }"",
  IF(
    REGEXMATCH($C433, ""^First\(&lt;""),
    VLOOKUP(REGEXEXTRACT($C433, ""\(([^)]+)\)""), 'First"&amp;" Set MacroA'!B:D, 3, FALSE),
    IF(
      REGEXMATCH($C433, ""^Follow\(&lt;""),
      VLOOKUP(REGEXEXTRACT($C433, ""\(([^)]+)\)""), 'Follow Set Macros'!B:D, 3, FALSE),
      ""{ "" &amp; REGEXEXTRACT($C433, ""\(([^)]+)\)"") &amp; "" }""
    )
  )
)
"),"#REF!")</f>
        <v>#REF!</v>
      </c>
      <c r="E433" s="664"/>
      <c r="F433" s="664"/>
      <c r="G433" s="664"/>
      <c r="H433" s="664"/>
      <c r="I433" s="664"/>
      <c r="J433" s="664"/>
      <c r="K433" s="664"/>
      <c r="L433" s="664"/>
      <c r="M433" s="664"/>
      <c r="N433" s="664"/>
      <c r="O433" s="664"/>
      <c r="P433" s="664"/>
      <c r="Q433" s="664"/>
      <c r="R433" s="664"/>
      <c r="S433" s="664"/>
      <c r="T433" s="664"/>
      <c r="U433" s="664"/>
      <c r="V433" s="664"/>
      <c r="W433" s="664"/>
      <c r="X433" s="664"/>
    </row>
    <row r="434">
      <c r="A434" s="661">
        <f t="shared" si="1"/>
        <v>434</v>
      </c>
      <c r="B434" s="662" t="str">
        <f t="shared" si="2"/>
        <v>#REF!</v>
      </c>
      <c r="C434" s="662" t="str">
        <f>IFERROR(__xludf.DUMMYFUNCTION("IF(
  REGEXMATCH(B434, ""^First\(λ - λ\) ∪ Follow\(""),
  ""Follow("" &amp; REGEXEXTRACT(B434, ""Follow\(([^)]+)\)"") &amp; "") ="",
  IF(
    OR(
      REGEXMATCH(B434, ""^First\([^&lt;]""),
      REGEXMATCH(B434, ""^First\(&lt;[^A-Za-z_]"")
    ),
    """",
    IF(
 "&amp;"     CFG!D434=""λ"",
      ""Follow("" &amp; CFG!B434 &amp; "") ="",
      ""First("" &amp; CFG!D434 &amp; "") =""
    )
  )
)
"),"#REF!")</f>
        <v>#REF!</v>
      </c>
      <c r="D434" s="663" t="str">
        <f>IFERROR(__xludf.DUMMYFUNCTION("IF(
  $C434="""",
  ""{ "" &amp;
    IF(
      REGEXMATCH(B434, ""^First\(\)""),
      "")"",
      REGEXEXTRACT(B434, ""^First\(([^ )]+)"")
    )
  &amp; "" }"",
  IF(
    REGEXMATCH($C434, ""^First\(&lt;""),
    VLOOKUP(REGEXEXTRACT($C434, ""\(([^)]+)\)""), 'First"&amp;" Set MacroA'!B:D, 3, FALSE),
    IF(
      REGEXMATCH($C434, ""^Follow\(&lt;""),
      VLOOKUP(REGEXEXTRACT($C434, ""\(([^)]+)\)""), 'Follow Set Macros'!B:D, 3, FALSE),
      ""{ "" &amp; REGEXEXTRACT($C434, ""\(([^)]+)\)"") &amp; "" }""
    )
  )
)
"),"#REF!")</f>
        <v>#REF!</v>
      </c>
      <c r="E434" s="664"/>
      <c r="F434" s="664"/>
      <c r="G434" s="664"/>
      <c r="H434" s="664"/>
      <c r="I434" s="664"/>
      <c r="J434" s="664"/>
      <c r="K434" s="664"/>
      <c r="L434" s="664"/>
      <c r="M434" s="664"/>
      <c r="N434" s="664"/>
      <c r="O434" s="664"/>
      <c r="P434" s="664"/>
      <c r="Q434" s="664"/>
      <c r="R434" s="664"/>
      <c r="S434" s="664"/>
      <c r="T434" s="664"/>
      <c r="U434" s="664"/>
      <c r="V434" s="664"/>
      <c r="W434" s="664"/>
      <c r="X434" s="664"/>
    </row>
    <row r="435">
      <c r="A435" s="661">
        <f t="shared" si="1"/>
        <v>435</v>
      </c>
      <c r="B435" s="662" t="str">
        <f t="shared" si="2"/>
        <v>#REF!</v>
      </c>
      <c r="C435" s="662" t="str">
        <f>IFERROR(__xludf.DUMMYFUNCTION("IF(
  REGEXMATCH(B435, ""^First\(λ - λ\) ∪ Follow\(""),
  ""Follow("" &amp; REGEXEXTRACT(B435, ""Follow\(([^)]+)\)"") &amp; "") ="",
  IF(
    OR(
      REGEXMATCH(B435, ""^First\([^&lt;]""),
      REGEXMATCH(B435, ""^First\(&lt;[^A-Za-z_]"")
    ),
    """",
    IF(
 "&amp;"     CFG!D435=""λ"",
      ""Follow("" &amp; CFG!B435 &amp; "") ="",
      ""First("" &amp; CFG!D435 &amp; "") =""
    )
  )
)
"),"#REF!")</f>
        <v>#REF!</v>
      </c>
      <c r="D435" s="663" t="str">
        <f>IFERROR(__xludf.DUMMYFUNCTION("IF(
  $C435="""",
  ""{ "" &amp;
    IF(
      REGEXMATCH(B435, ""^First\(\)""),
      "")"",
      REGEXEXTRACT(B435, ""^First\(([^ )]+)"")
    )
  &amp; "" }"",
  IF(
    REGEXMATCH($C435, ""^First\(&lt;""),
    VLOOKUP(REGEXEXTRACT($C435, ""\(([^)]+)\)""), 'First"&amp;" Set MacroA'!B:D, 3, FALSE),
    IF(
      REGEXMATCH($C435, ""^Follow\(&lt;""),
      VLOOKUP(REGEXEXTRACT($C435, ""\(([^)]+)\)""), 'Follow Set Macros'!B:D, 3, FALSE),
      ""{ "" &amp; REGEXEXTRACT($C435, ""\(([^)]+)\)"") &amp; "" }""
    )
  )
)
"),"#REF!")</f>
        <v>#REF!</v>
      </c>
      <c r="E435" s="664"/>
      <c r="F435" s="664"/>
      <c r="G435" s="664"/>
      <c r="H435" s="664"/>
      <c r="I435" s="664"/>
      <c r="J435" s="664"/>
      <c r="K435" s="664"/>
      <c r="L435" s="664"/>
      <c r="M435" s="664"/>
      <c r="N435" s="664"/>
      <c r="O435" s="664"/>
      <c r="P435" s="664"/>
      <c r="Q435" s="664"/>
      <c r="R435" s="664"/>
      <c r="S435" s="664"/>
      <c r="T435" s="664"/>
      <c r="U435" s="664"/>
      <c r="V435" s="664"/>
      <c r="W435" s="664"/>
      <c r="X435" s="664"/>
    </row>
    <row r="436">
      <c r="A436" s="661">
        <f t="shared" si="1"/>
        <v>436</v>
      </c>
      <c r="B436" s="662" t="str">
        <f t="shared" si="2"/>
        <v>#REF!</v>
      </c>
      <c r="C436" s="662" t="str">
        <f>IFERROR(__xludf.DUMMYFUNCTION("IF(
  REGEXMATCH(B436, ""^First\(λ - λ\) ∪ Follow\(""),
  ""Follow("" &amp; REGEXEXTRACT(B436, ""Follow\(([^)]+)\)"") &amp; "") ="",
  IF(
    OR(
      REGEXMATCH(B436, ""^First\([^&lt;]""),
      REGEXMATCH(B436, ""^First\(&lt;[^A-Za-z_]"")
    ),
    """",
    IF(
 "&amp;"     CFG!D436=""λ"",
      ""Follow("" &amp; CFG!B436 &amp; "") ="",
      ""First("" &amp; CFG!D436 &amp; "") =""
    )
  )
)
"),"#REF!")</f>
        <v>#REF!</v>
      </c>
      <c r="D436" s="663" t="str">
        <f>IFERROR(__xludf.DUMMYFUNCTION("IF(
  $C436="""",
  ""{ "" &amp;
    IF(
      REGEXMATCH(B436, ""^First\(\)""),
      "")"",
      REGEXEXTRACT(B436, ""^First\(([^ )]+)"")
    )
  &amp; "" }"",
  IF(
    REGEXMATCH($C436, ""^First\(&lt;""),
    VLOOKUP(REGEXEXTRACT($C436, ""\(([^)]+)\)""), 'First"&amp;" Set MacroA'!B:D, 3, FALSE),
    IF(
      REGEXMATCH($C436, ""^Follow\(&lt;""),
      VLOOKUP(REGEXEXTRACT($C436, ""\(([^)]+)\)""), 'Follow Set Macros'!B:D, 3, FALSE),
      ""{ "" &amp; REGEXEXTRACT($C436, ""\(([^)]+)\)"") &amp; "" }""
    )
  )
)
"),"#REF!")</f>
        <v>#REF!</v>
      </c>
      <c r="E436" s="664"/>
      <c r="F436" s="664"/>
      <c r="G436" s="664"/>
      <c r="H436" s="664"/>
      <c r="I436" s="664"/>
      <c r="J436" s="664"/>
      <c r="K436" s="664"/>
      <c r="L436" s="664"/>
      <c r="M436" s="664"/>
      <c r="N436" s="664"/>
      <c r="O436" s="664"/>
      <c r="P436" s="664"/>
      <c r="Q436" s="664"/>
      <c r="R436" s="664"/>
      <c r="S436" s="664"/>
      <c r="T436" s="664"/>
      <c r="U436" s="664"/>
      <c r="V436" s="664"/>
      <c r="W436" s="664"/>
      <c r="X436" s="664"/>
    </row>
    <row r="437">
      <c r="A437" s="661">
        <f t="shared" si="1"/>
        <v>437</v>
      </c>
      <c r="B437" s="662" t="str">
        <f t="shared" si="2"/>
        <v>#REF!</v>
      </c>
      <c r="C437" s="662" t="str">
        <f>IFERROR(__xludf.DUMMYFUNCTION("IF(
  REGEXMATCH(B437, ""^First\(λ - λ\) ∪ Follow\(""),
  ""Follow("" &amp; REGEXEXTRACT(B437, ""Follow\(([^)]+)\)"") &amp; "") ="",
  IF(
    OR(
      REGEXMATCH(B437, ""^First\([^&lt;]""),
      REGEXMATCH(B437, ""^First\(&lt;[^A-Za-z_]"")
    ),
    """",
    IF(
 "&amp;"     CFG!D437=""λ"",
      ""Follow("" &amp; CFG!B437 &amp; "") ="",
      ""First("" &amp; CFG!D437 &amp; "") =""
    )
  )
)
"),"#REF!")</f>
        <v>#REF!</v>
      </c>
      <c r="D437" s="663" t="str">
        <f>IFERROR(__xludf.DUMMYFUNCTION("IF(
  $C437="""",
  ""{ "" &amp;
    IF(
      REGEXMATCH(B437, ""^First\(\)""),
      "")"",
      REGEXEXTRACT(B437, ""^First\(([^ )]+)"")
    )
  &amp; "" }"",
  IF(
    REGEXMATCH($C437, ""^First\(&lt;""),
    VLOOKUP(REGEXEXTRACT($C437, ""\(([^)]+)\)""), 'First"&amp;" Set MacroA'!B:D, 3, FALSE),
    IF(
      REGEXMATCH($C437, ""^Follow\(&lt;""),
      VLOOKUP(REGEXEXTRACT($C437, ""\(([^)]+)\)""), 'Follow Set Macros'!B:D, 3, FALSE),
      ""{ "" &amp; REGEXEXTRACT($C437, ""\(([^)]+)\)"") &amp; "" }""
    )
  )
)
"),"#REF!")</f>
        <v>#REF!</v>
      </c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</row>
    <row r="438">
      <c r="A438" s="661">
        <f t="shared" si="1"/>
        <v>438</v>
      </c>
      <c r="B438" s="662" t="str">
        <f t="shared" si="2"/>
        <v>#REF!</v>
      </c>
      <c r="C438" s="662" t="str">
        <f>IFERROR(__xludf.DUMMYFUNCTION("IF(
  REGEXMATCH(B438, ""^First\(λ - λ\) ∪ Follow\(""),
  ""Follow("" &amp; REGEXEXTRACT(B438, ""Follow\(([^)]+)\)"") &amp; "") ="",
  IF(
    OR(
      REGEXMATCH(B438, ""^First\([^&lt;]""),
      REGEXMATCH(B438, ""^First\(&lt;[^A-Za-z_]"")
    ),
    """",
    IF(
 "&amp;"     CFG!D438=""λ"",
      ""Follow("" &amp; CFG!B438 &amp; "") ="",
      ""First("" &amp; CFG!D438 &amp; "") =""
    )
  )
)
"),"#REF!")</f>
        <v>#REF!</v>
      </c>
      <c r="D438" s="663" t="str">
        <f>IFERROR(__xludf.DUMMYFUNCTION("IF(
  $C438="""",
  ""{ "" &amp;
    IF(
      REGEXMATCH(B438, ""^First\(\)""),
      "")"",
      REGEXEXTRACT(B438, ""^First\(([^ )]+)"")
    )
  &amp; "" }"",
  IF(
    REGEXMATCH($C438, ""^First\(&lt;""),
    VLOOKUP(REGEXEXTRACT($C438, ""\(([^)]+)\)""), 'First"&amp;" Set MacroA'!B:D, 3, FALSE),
    IF(
      REGEXMATCH($C438, ""^Follow\(&lt;""),
      VLOOKUP(REGEXEXTRACT($C438, ""\(([^)]+)\)""), 'Follow Set Macros'!B:D, 3, FALSE),
      ""{ "" &amp; REGEXEXTRACT($C438, ""\(([^)]+)\)"") &amp; "" }""
    )
  )
)
"),"#REF!")</f>
        <v>#REF!</v>
      </c>
      <c r="E438" s="664"/>
      <c r="F438" s="664"/>
      <c r="G438" s="664"/>
      <c r="H438" s="664"/>
      <c r="I438" s="664"/>
      <c r="J438" s="664"/>
      <c r="K438" s="664"/>
      <c r="L438" s="664"/>
      <c r="M438" s="664"/>
      <c r="N438" s="664"/>
      <c r="O438" s="664"/>
      <c r="P438" s="664"/>
      <c r="Q438" s="664"/>
      <c r="R438" s="664"/>
      <c r="S438" s="664"/>
      <c r="T438" s="664"/>
      <c r="U438" s="664"/>
      <c r="V438" s="664"/>
      <c r="W438" s="664"/>
      <c r="X438" s="664"/>
    </row>
    <row r="439">
      <c r="A439" s="661">
        <f t="shared" si="1"/>
        <v>439</v>
      </c>
      <c r="B439" s="662" t="str">
        <f t="shared" si="2"/>
        <v>#REF!</v>
      </c>
      <c r="C439" s="662" t="str">
        <f>IFERROR(__xludf.DUMMYFUNCTION("IF(
  REGEXMATCH(B439, ""^First\(λ - λ\) ∪ Follow\(""),
  ""Follow("" &amp; REGEXEXTRACT(B439, ""Follow\(([^)]+)\)"") &amp; "") ="",
  IF(
    OR(
      REGEXMATCH(B439, ""^First\([^&lt;]""),
      REGEXMATCH(B439, ""^First\(&lt;[^A-Za-z_]"")
    ),
    """",
    IF(
 "&amp;"     CFG!D439=""λ"",
      ""Follow("" &amp; CFG!B439 &amp; "") ="",
      ""First("" &amp; CFG!D439 &amp; "") =""
    )
  )
)
"),"#REF!")</f>
        <v>#REF!</v>
      </c>
      <c r="D439" s="663" t="str">
        <f>IFERROR(__xludf.DUMMYFUNCTION("IF(
  $C439="""",
  ""{ "" &amp;
    IF(
      REGEXMATCH(B439, ""^First\(\)""),
      "")"",
      REGEXEXTRACT(B439, ""^First\(([^ )]+)"")
    )
  &amp; "" }"",
  IF(
    REGEXMATCH($C439, ""^First\(&lt;""),
    VLOOKUP(REGEXEXTRACT($C439, ""\(([^)]+)\)""), 'First"&amp;" Set MacroA'!B:D, 3, FALSE),
    IF(
      REGEXMATCH($C439, ""^Follow\(&lt;""),
      VLOOKUP(REGEXEXTRACT($C439, ""\(([^)]+)\)""), 'Follow Set Macros'!B:D, 3, FALSE),
      ""{ "" &amp; REGEXEXTRACT($C439, ""\(([^)]+)\)"") &amp; "" }""
    )
  )
)
"),"#REF!")</f>
        <v>#REF!</v>
      </c>
      <c r="E439" s="664"/>
      <c r="F439" s="664"/>
      <c r="G439" s="664"/>
      <c r="H439" s="664"/>
      <c r="I439" s="664"/>
      <c r="J439" s="664"/>
      <c r="K439" s="664"/>
      <c r="L439" s="664"/>
      <c r="M439" s="664"/>
      <c r="N439" s="664"/>
      <c r="O439" s="664"/>
      <c r="P439" s="664"/>
      <c r="Q439" s="664"/>
      <c r="R439" s="664"/>
      <c r="S439" s="664"/>
      <c r="T439" s="664"/>
      <c r="U439" s="664"/>
      <c r="V439" s="664"/>
      <c r="W439" s="664"/>
      <c r="X439" s="664"/>
    </row>
    <row r="440">
      <c r="A440" s="661">
        <f t="shared" si="1"/>
        <v>440</v>
      </c>
      <c r="B440" s="662" t="str">
        <f t="shared" si="2"/>
        <v>#REF!</v>
      </c>
      <c r="C440" s="662" t="str">
        <f>IFERROR(__xludf.DUMMYFUNCTION("IF(
  REGEXMATCH(B440, ""^First\(λ - λ\) ∪ Follow\(""),
  ""Follow("" &amp; REGEXEXTRACT(B440, ""Follow\(([^)]+)\)"") &amp; "") ="",
  IF(
    OR(
      REGEXMATCH(B440, ""^First\([^&lt;]""),
      REGEXMATCH(B440, ""^First\(&lt;[^A-Za-z_]"")
    ),
    """",
    IF(
 "&amp;"     CFG!D440=""λ"",
      ""Follow("" &amp; CFG!B440 &amp; "") ="",
      ""First("" &amp; CFG!D440 &amp; "") =""
    )
  )
)
"),"#REF!")</f>
        <v>#REF!</v>
      </c>
      <c r="D440" s="663" t="str">
        <f>IFERROR(__xludf.DUMMYFUNCTION("IF(
  $C440="""",
  ""{ "" &amp;
    IF(
      REGEXMATCH(B440, ""^First\(\)""),
      "")"",
      REGEXEXTRACT(B440, ""^First\(([^ )]+)"")
    )
  &amp; "" }"",
  IF(
    REGEXMATCH($C440, ""^First\(&lt;""),
    VLOOKUP(REGEXEXTRACT($C440, ""\(([^)]+)\)""), 'First"&amp;" Set MacroA'!B:D, 3, FALSE),
    IF(
      REGEXMATCH($C440, ""^Follow\(&lt;""),
      VLOOKUP(REGEXEXTRACT($C440, ""\(([^)]+)\)""), 'Follow Set Macros'!B:D, 3, FALSE),
      ""{ "" &amp; REGEXEXTRACT($C440, ""\(([^)]+)\)"") &amp; "" }""
    )
  )
)
"),"#REF!")</f>
        <v>#REF!</v>
      </c>
      <c r="E440" s="664"/>
      <c r="F440" s="664"/>
      <c r="G440" s="664"/>
      <c r="H440" s="664"/>
      <c r="I440" s="664"/>
      <c r="J440" s="664"/>
      <c r="K440" s="664"/>
      <c r="L440" s="664"/>
      <c r="M440" s="664"/>
      <c r="N440" s="664"/>
      <c r="O440" s="664"/>
      <c r="P440" s="664"/>
      <c r="Q440" s="664"/>
      <c r="R440" s="664"/>
      <c r="S440" s="664"/>
      <c r="T440" s="664"/>
      <c r="U440" s="664"/>
      <c r="V440" s="664"/>
      <c r="W440" s="664"/>
      <c r="X440" s="664"/>
    </row>
    <row r="441">
      <c r="A441" s="661">
        <f t="shared" si="1"/>
        <v>441</v>
      </c>
      <c r="B441" s="662" t="str">
        <f t="shared" si="2"/>
        <v>#REF!</v>
      </c>
      <c r="C441" s="662" t="str">
        <f>IFERROR(__xludf.DUMMYFUNCTION("IF(
  REGEXMATCH(B441, ""^First\(λ - λ\) ∪ Follow\(""),
  ""Follow("" &amp; REGEXEXTRACT(B441, ""Follow\(([^)]+)\)"") &amp; "") ="",
  IF(
    OR(
      REGEXMATCH(B441, ""^First\([^&lt;]""),
      REGEXMATCH(B441, ""^First\(&lt;[^A-Za-z_]"")
    ),
    """",
    IF(
 "&amp;"     CFG!D441=""λ"",
      ""Follow("" &amp; CFG!B441 &amp; "") ="",
      ""First("" &amp; CFG!D441 &amp; "") =""
    )
  )
)
"),"#REF!")</f>
        <v>#REF!</v>
      </c>
      <c r="D441" s="663" t="str">
        <f>IFERROR(__xludf.DUMMYFUNCTION("IF(
  $C441="""",
  ""{ "" &amp;
    IF(
      REGEXMATCH(B441, ""^First\(\)""),
      "")"",
      REGEXEXTRACT(B441, ""^First\(([^ )]+)"")
    )
  &amp; "" }"",
  IF(
    REGEXMATCH($C441, ""^First\(&lt;""),
    VLOOKUP(REGEXEXTRACT($C441, ""\(([^)]+)\)""), 'First"&amp;" Set MacroA'!B:D, 3, FALSE),
    IF(
      REGEXMATCH($C441, ""^Follow\(&lt;""),
      VLOOKUP(REGEXEXTRACT($C441, ""\(([^)]+)\)""), 'Follow Set Macros'!B:D, 3, FALSE),
      ""{ "" &amp; REGEXEXTRACT($C441, ""\(([^)]+)\)"") &amp; "" }""
    )
  )
)
"),"#REF!")</f>
        <v>#REF!</v>
      </c>
      <c r="E441" s="664"/>
      <c r="F441" s="664"/>
      <c r="G441" s="664"/>
      <c r="H441" s="664"/>
      <c r="I441" s="664"/>
      <c r="J441" s="664"/>
      <c r="K441" s="664"/>
      <c r="L441" s="664"/>
      <c r="M441" s="664"/>
      <c r="N441" s="664"/>
      <c r="O441" s="664"/>
      <c r="P441" s="664"/>
      <c r="Q441" s="664"/>
      <c r="R441" s="664"/>
      <c r="S441" s="664"/>
      <c r="T441" s="664"/>
      <c r="U441" s="664"/>
      <c r="V441" s="664"/>
      <c r="W441" s="664"/>
      <c r="X441" s="664"/>
    </row>
    <row r="442">
      <c r="A442" s="661">
        <f t="shared" si="1"/>
        <v>442</v>
      </c>
      <c r="B442" s="662" t="str">
        <f t="shared" si="2"/>
        <v>#REF!</v>
      </c>
      <c r="C442" s="662" t="str">
        <f>IFERROR(__xludf.DUMMYFUNCTION("IF(
  REGEXMATCH(B442, ""^First\(λ - λ\) ∪ Follow\(""),
  ""Follow("" &amp; REGEXEXTRACT(B442, ""Follow\(([^)]+)\)"") &amp; "") ="",
  IF(
    OR(
      REGEXMATCH(B442, ""^First\([^&lt;]""),
      REGEXMATCH(B442, ""^First\(&lt;[^A-Za-z_]"")
    ),
    """",
    IF(
 "&amp;"     CFG!D442=""λ"",
      ""Follow("" &amp; CFG!B442 &amp; "") ="",
      ""First("" &amp; CFG!D442 &amp; "") =""
    )
  )
)
"),"#REF!")</f>
        <v>#REF!</v>
      </c>
      <c r="D442" s="663" t="str">
        <f>IFERROR(__xludf.DUMMYFUNCTION("IF(
  $C442="""",
  ""{ "" &amp;
    IF(
      REGEXMATCH(B442, ""^First\(\)""),
      "")"",
      REGEXEXTRACT(B442, ""^First\(([^ )]+)"")
    )
  &amp; "" }"",
  IF(
    REGEXMATCH($C442, ""^First\(&lt;""),
    VLOOKUP(REGEXEXTRACT($C442, ""\(([^)]+)\)""), 'First"&amp;" Set MacroA'!B:D, 3, FALSE),
    IF(
      REGEXMATCH($C442, ""^Follow\(&lt;""),
      VLOOKUP(REGEXEXTRACT($C442, ""\(([^)]+)\)""), 'Follow Set Macros'!B:D, 3, FALSE),
      ""{ "" &amp; REGEXEXTRACT($C442, ""\(([^)]+)\)"") &amp; "" }""
    )
  )
)
"),"#REF!")</f>
        <v>#REF!</v>
      </c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</row>
    <row r="443">
      <c r="A443" s="661">
        <f t="shared" si="1"/>
        <v>443</v>
      </c>
      <c r="B443" s="662" t="str">
        <f t="shared" si="2"/>
        <v>#REF!</v>
      </c>
      <c r="C443" s="662" t="str">
        <f>IFERROR(__xludf.DUMMYFUNCTION("IF(
  REGEXMATCH(B443, ""^First\(λ - λ\) ∪ Follow\(""),
  ""Follow("" &amp; REGEXEXTRACT(B443, ""Follow\(([^)]+)\)"") &amp; "") ="",
  IF(
    OR(
      REGEXMATCH(B443, ""^First\([^&lt;]""),
      REGEXMATCH(B443, ""^First\(&lt;[^A-Za-z_]"")
    ),
    """",
    IF(
 "&amp;"     CFG!D443=""λ"",
      ""Follow("" &amp; CFG!B443 &amp; "") ="",
      ""First("" &amp; CFG!D443 &amp; "") =""
    )
  )
)
"),"#REF!")</f>
        <v>#REF!</v>
      </c>
      <c r="D443" s="663" t="str">
        <f>IFERROR(__xludf.DUMMYFUNCTION("IF(
  $C443="""",
  ""{ "" &amp;
    IF(
      REGEXMATCH(B443, ""^First\(\)""),
      "")"",
      REGEXEXTRACT(B443, ""^First\(([^ )]+)"")
    )
  &amp; "" }"",
  IF(
    REGEXMATCH($C443, ""^First\(&lt;""),
    VLOOKUP(REGEXEXTRACT($C443, ""\(([^)]+)\)""), 'First"&amp;" Set MacroA'!B:D, 3, FALSE),
    IF(
      REGEXMATCH($C443, ""^Follow\(&lt;""),
      VLOOKUP(REGEXEXTRACT($C443, ""\(([^)]+)\)""), 'Follow Set Macros'!B:D, 3, FALSE),
      ""{ "" &amp; REGEXEXTRACT($C443, ""\(([^)]+)\)"") &amp; "" }""
    )
  )
)
"),"#REF!")</f>
        <v>#REF!</v>
      </c>
      <c r="E443" s="664"/>
      <c r="F443" s="664"/>
      <c r="G443" s="664"/>
      <c r="H443" s="664"/>
      <c r="I443" s="664"/>
      <c r="J443" s="664"/>
      <c r="K443" s="664"/>
      <c r="L443" s="664"/>
      <c r="M443" s="664"/>
      <c r="N443" s="664"/>
      <c r="O443" s="664"/>
      <c r="P443" s="664"/>
      <c r="Q443" s="664"/>
      <c r="R443" s="664"/>
      <c r="S443" s="664"/>
      <c r="T443" s="664"/>
      <c r="U443" s="664"/>
      <c r="V443" s="664"/>
      <c r="W443" s="664"/>
      <c r="X443" s="664"/>
    </row>
    <row r="444">
      <c r="A444" s="661">
        <f t="shared" si="1"/>
        <v>444</v>
      </c>
      <c r="B444" s="662" t="str">
        <f t="shared" si="2"/>
        <v>#REF!</v>
      </c>
      <c r="C444" s="662" t="str">
        <f>IFERROR(__xludf.DUMMYFUNCTION("IF(
  REGEXMATCH(B444, ""^First\(λ - λ\) ∪ Follow\(""),
  ""Follow("" &amp; REGEXEXTRACT(B444, ""Follow\(([^)]+)\)"") &amp; "") ="",
  IF(
    OR(
      REGEXMATCH(B444, ""^First\([^&lt;]""),
      REGEXMATCH(B444, ""^First\(&lt;[^A-Za-z_]"")
    ),
    """",
    IF(
 "&amp;"     CFG!D444=""λ"",
      ""Follow("" &amp; CFG!B444 &amp; "") ="",
      ""First("" &amp; CFG!D444 &amp; "") =""
    )
  )
)
"),"#REF!")</f>
        <v>#REF!</v>
      </c>
      <c r="D444" s="663" t="str">
        <f>IFERROR(__xludf.DUMMYFUNCTION("IF(
  $C444="""",
  ""{ "" &amp;
    IF(
      REGEXMATCH(B444, ""^First\(\)""),
      "")"",
      REGEXEXTRACT(B444, ""^First\(([^ )]+)"")
    )
  &amp; "" }"",
  IF(
    REGEXMATCH($C444, ""^First\(&lt;""),
    VLOOKUP(REGEXEXTRACT($C444, ""\(([^)]+)\)""), 'First"&amp;" Set MacroA'!B:D, 3, FALSE),
    IF(
      REGEXMATCH($C444, ""^Follow\(&lt;""),
      VLOOKUP(REGEXEXTRACT($C444, ""\(([^)]+)\)""), 'Follow Set Macros'!B:D, 3, FALSE),
      ""{ "" &amp; REGEXEXTRACT($C444, ""\(([^)]+)\)"") &amp; "" }""
    )
  )
)
"),"#REF!")</f>
        <v>#REF!</v>
      </c>
      <c r="E444" s="664"/>
      <c r="F444" s="664"/>
      <c r="G444" s="664"/>
      <c r="H444" s="664"/>
      <c r="I444" s="664"/>
      <c r="J444" s="664"/>
      <c r="K444" s="664"/>
      <c r="L444" s="664"/>
      <c r="M444" s="664"/>
      <c r="N444" s="664"/>
      <c r="O444" s="664"/>
      <c r="P444" s="664"/>
      <c r="Q444" s="664"/>
      <c r="R444" s="664"/>
      <c r="S444" s="664"/>
      <c r="T444" s="664"/>
      <c r="U444" s="664"/>
      <c r="V444" s="664"/>
      <c r="W444" s="664"/>
      <c r="X444" s="664"/>
    </row>
    <row r="445">
      <c r="A445" s="661">
        <f t="shared" si="1"/>
        <v>445</v>
      </c>
      <c r="B445" s="662" t="str">
        <f t="shared" si="2"/>
        <v>#REF!</v>
      </c>
      <c r="C445" s="662" t="str">
        <f>IFERROR(__xludf.DUMMYFUNCTION("IF(
  REGEXMATCH(B445, ""^First\(λ - λ\) ∪ Follow\(""),
  ""Follow("" &amp; REGEXEXTRACT(B445, ""Follow\(([^)]+)\)"") &amp; "") ="",
  IF(
    OR(
      REGEXMATCH(B445, ""^First\([^&lt;]""),
      REGEXMATCH(B445, ""^First\(&lt;[^A-Za-z_]"")
    ),
    """",
    IF(
 "&amp;"     CFG!D445=""λ"",
      ""Follow("" &amp; CFG!B445 &amp; "") ="",
      ""First("" &amp; CFG!D445 &amp; "") =""
    )
  )
)
"),"#REF!")</f>
        <v>#REF!</v>
      </c>
      <c r="D445" s="663" t="str">
        <f>IFERROR(__xludf.DUMMYFUNCTION("IF(
  $C445="""",
  ""{ "" &amp;
    IF(
      REGEXMATCH(B445, ""^First\(\)""),
      "")"",
      REGEXEXTRACT(B445, ""^First\(([^ )]+)"")
    )
  &amp; "" }"",
  IF(
    REGEXMATCH($C445, ""^First\(&lt;""),
    VLOOKUP(REGEXEXTRACT($C445, ""\(([^)]+)\)""), 'First"&amp;" Set MacroA'!B:D, 3, FALSE),
    IF(
      REGEXMATCH($C445, ""^Follow\(&lt;""),
      VLOOKUP(REGEXEXTRACT($C445, ""\(([^)]+)\)""), 'Follow Set Macros'!B:D, 3, FALSE),
      ""{ "" &amp; REGEXEXTRACT($C445, ""\(([^)]+)\)"") &amp; "" }""
    )
  )
)
"),"#REF!")</f>
        <v>#REF!</v>
      </c>
      <c r="E445" s="664"/>
      <c r="F445" s="664"/>
      <c r="G445" s="664"/>
      <c r="H445" s="664"/>
      <c r="I445" s="664"/>
      <c r="J445" s="664"/>
      <c r="K445" s="664"/>
      <c r="L445" s="664"/>
      <c r="M445" s="664"/>
      <c r="N445" s="664"/>
      <c r="O445" s="664"/>
      <c r="P445" s="664"/>
      <c r="Q445" s="664"/>
      <c r="R445" s="664"/>
      <c r="S445" s="664"/>
      <c r="T445" s="664"/>
      <c r="U445" s="664"/>
      <c r="V445" s="664"/>
      <c r="W445" s="664"/>
      <c r="X445" s="664"/>
    </row>
    <row r="446">
      <c r="A446" s="661">
        <f t="shared" si="1"/>
        <v>446</v>
      </c>
      <c r="B446" s="662" t="str">
        <f t="shared" si="2"/>
        <v>#REF!</v>
      </c>
      <c r="C446" s="662" t="str">
        <f>IFERROR(__xludf.DUMMYFUNCTION("IF(
  REGEXMATCH(B446, ""^First\(λ - λ\) ∪ Follow\(""),
  ""Follow("" &amp; REGEXEXTRACT(B446, ""Follow\(([^)]+)\)"") &amp; "") ="",
  IF(
    OR(
      REGEXMATCH(B446, ""^First\([^&lt;]""),
      REGEXMATCH(B446, ""^First\(&lt;[^A-Za-z_]"")
    ),
    """",
    IF(
 "&amp;"     CFG!D446=""λ"",
      ""Follow("" &amp; CFG!B446 &amp; "") ="",
      ""First("" &amp; CFG!D446 &amp; "") =""
    )
  )
)
"),"#REF!")</f>
        <v>#REF!</v>
      </c>
      <c r="D446" s="663" t="str">
        <f>IFERROR(__xludf.DUMMYFUNCTION("IF(
  $C446="""",
  ""{ "" &amp;
    IF(
      REGEXMATCH(B446, ""^First\(\)""),
      "")"",
      REGEXEXTRACT(B446, ""^First\(([^ )]+)"")
    )
  &amp; "" }"",
  IF(
    REGEXMATCH($C446, ""^First\(&lt;""),
    VLOOKUP(REGEXEXTRACT($C446, ""\(([^)]+)\)""), 'First"&amp;" Set MacroA'!B:D, 3, FALSE),
    IF(
      REGEXMATCH($C446, ""^Follow\(&lt;""),
      VLOOKUP(REGEXEXTRACT($C446, ""\(([^)]+)\)""), 'Follow Set Macros'!B:D, 3, FALSE),
      ""{ "" &amp; REGEXEXTRACT($C446, ""\(([^)]+)\)"") &amp; "" }""
    )
  )
)
"),"#REF!")</f>
        <v>#REF!</v>
      </c>
      <c r="E446" s="664"/>
      <c r="F446" s="664"/>
      <c r="G446" s="664"/>
      <c r="H446" s="664"/>
      <c r="I446" s="664"/>
      <c r="J446" s="664"/>
      <c r="K446" s="664"/>
      <c r="L446" s="664"/>
      <c r="M446" s="664"/>
      <c r="N446" s="664"/>
      <c r="O446" s="664"/>
      <c r="P446" s="664"/>
      <c r="Q446" s="664"/>
      <c r="R446" s="664"/>
      <c r="S446" s="664"/>
      <c r="T446" s="664"/>
      <c r="U446" s="664"/>
      <c r="V446" s="664"/>
      <c r="W446" s="664"/>
      <c r="X446" s="664"/>
    </row>
    <row r="447">
      <c r="A447" s="661">
        <f t="shared" si="1"/>
        <v>447</v>
      </c>
      <c r="B447" s="662" t="str">
        <f t="shared" si="2"/>
        <v>#REF!</v>
      </c>
      <c r="C447" s="662" t="str">
        <f>IFERROR(__xludf.DUMMYFUNCTION("IF(
  REGEXMATCH(B447, ""^First\(λ - λ\) ∪ Follow\(""),
  ""Follow("" &amp; REGEXEXTRACT(B447, ""Follow\(([^)]+)\)"") &amp; "") ="",
  IF(
    OR(
      REGEXMATCH(B447, ""^First\([^&lt;]""),
      REGEXMATCH(B447, ""^First\(&lt;[^A-Za-z_]"")
    ),
    """",
    IF(
 "&amp;"     CFG!D447=""λ"",
      ""Follow("" &amp; CFG!B447 &amp; "") ="",
      ""First("" &amp; CFG!D447 &amp; "") =""
    )
  )
)
"),"#REF!")</f>
        <v>#REF!</v>
      </c>
      <c r="D447" s="663" t="str">
        <f>IFERROR(__xludf.DUMMYFUNCTION("IF(
  $C447="""",
  ""{ "" &amp;
    IF(
      REGEXMATCH(B447, ""^First\(\)""),
      "")"",
      REGEXEXTRACT(B447, ""^First\(([^ )]+)"")
    )
  &amp; "" }"",
  IF(
    REGEXMATCH($C447, ""^First\(&lt;""),
    VLOOKUP(REGEXEXTRACT($C447, ""\(([^)]+)\)""), 'First"&amp;" Set MacroA'!B:D, 3, FALSE),
    IF(
      REGEXMATCH($C447, ""^Follow\(&lt;""),
      VLOOKUP(REGEXEXTRACT($C447, ""\(([^)]+)\)""), 'Follow Set Macros'!B:D, 3, FALSE),
      ""{ "" &amp; REGEXEXTRACT($C447, ""\(([^)]+)\)"") &amp; "" }""
    )
  )
)
"),"#REF!")</f>
        <v>#REF!</v>
      </c>
      <c r="E447" s="664"/>
      <c r="F447" s="664"/>
      <c r="G447" s="664"/>
      <c r="H447" s="664"/>
      <c r="I447" s="664"/>
      <c r="J447" s="664"/>
      <c r="K447" s="664"/>
      <c r="L447" s="664"/>
      <c r="M447" s="664"/>
      <c r="N447" s="664"/>
      <c r="O447" s="664"/>
      <c r="P447" s="664"/>
      <c r="Q447" s="664"/>
      <c r="R447" s="664"/>
      <c r="S447" s="664"/>
      <c r="T447" s="664"/>
      <c r="U447" s="664"/>
      <c r="V447" s="664"/>
      <c r="W447" s="664"/>
      <c r="X447" s="664"/>
    </row>
    <row r="448">
      <c r="A448" s="661">
        <f t="shared" si="1"/>
        <v>448</v>
      </c>
      <c r="B448" s="662" t="str">
        <f t="shared" si="2"/>
        <v>#REF!</v>
      </c>
      <c r="C448" s="662" t="str">
        <f>IFERROR(__xludf.DUMMYFUNCTION("IF(
  REGEXMATCH(B448, ""^First\(λ - λ\) ∪ Follow\(""),
  ""Follow("" &amp; REGEXEXTRACT(B448, ""Follow\(([^)]+)\)"") &amp; "") ="",
  IF(
    OR(
      REGEXMATCH(B448, ""^First\([^&lt;]""),
      REGEXMATCH(B448, ""^First\(&lt;[^A-Za-z_]"")
    ),
    """",
    IF(
 "&amp;"     CFG!D448=""λ"",
      ""Follow("" &amp; CFG!B448 &amp; "") ="",
      ""First("" &amp; CFG!D448 &amp; "") =""
    )
  )
)
"),"#REF!")</f>
        <v>#REF!</v>
      </c>
      <c r="D448" s="663" t="str">
        <f>IFERROR(__xludf.DUMMYFUNCTION("IF(
  $C448="""",
  ""{ "" &amp;
    IF(
      REGEXMATCH(B448, ""^First\(\)""),
      "")"",
      REGEXEXTRACT(B448, ""^First\(([^ )]+)"")
    )
  &amp; "" }"",
  IF(
    REGEXMATCH($C448, ""^First\(&lt;""),
    VLOOKUP(REGEXEXTRACT($C448, ""\(([^)]+)\)""), 'First"&amp;" Set MacroA'!B:D, 3, FALSE),
    IF(
      REGEXMATCH($C448, ""^Follow\(&lt;""),
      VLOOKUP(REGEXEXTRACT($C448, ""\(([^)]+)\)""), 'Follow Set Macros'!B:D, 3, FALSE),
      ""{ "" &amp; REGEXEXTRACT($C448, ""\(([^)]+)\)"") &amp; "" }""
    )
  )
)
"),"#REF!")</f>
        <v>#REF!</v>
      </c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</row>
    <row r="449">
      <c r="A449" s="661">
        <f t="shared" si="1"/>
        <v>449</v>
      </c>
      <c r="B449" s="662" t="str">
        <f t="shared" si="2"/>
        <v>#REF!</v>
      </c>
      <c r="C449" s="662" t="str">
        <f>IFERROR(__xludf.DUMMYFUNCTION("IF(
  REGEXMATCH(B449, ""^First\(λ - λ\) ∪ Follow\(""),
  ""Follow("" &amp; REGEXEXTRACT(B449, ""Follow\(([^)]+)\)"") &amp; "") ="",
  IF(
    OR(
      REGEXMATCH(B449, ""^First\([^&lt;]""),
      REGEXMATCH(B449, ""^First\(&lt;[^A-Za-z_]"")
    ),
    """",
    IF(
 "&amp;"     CFG!D449=""λ"",
      ""Follow("" &amp; CFG!B449 &amp; "") ="",
      ""First("" &amp; CFG!D449 &amp; "") =""
    )
  )
)
"),"#REF!")</f>
        <v>#REF!</v>
      </c>
      <c r="D449" s="663" t="str">
        <f>IFERROR(__xludf.DUMMYFUNCTION("IF(
  $C449="""",
  ""{ "" &amp;
    IF(
      REGEXMATCH(B449, ""^First\(\)""),
      "")"",
      REGEXEXTRACT(B449, ""^First\(([^ )]+)"")
    )
  &amp; "" }"",
  IF(
    REGEXMATCH($C449, ""^First\(&lt;""),
    VLOOKUP(REGEXEXTRACT($C449, ""\(([^)]+)\)""), 'First"&amp;" Set MacroA'!B:D, 3, FALSE),
    IF(
      REGEXMATCH($C449, ""^Follow\(&lt;""),
      VLOOKUP(REGEXEXTRACT($C449, ""\(([^)]+)\)""), 'Follow Set Macros'!B:D, 3, FALSE),
      ""{ "" &amp; REGEXEXTRACT($C449, ""\(([^)]+)\)"") &amp; "" }""
    )
  )
)
"),"#REF!")</f>
        <v>#REF!</v>
      </c>
      <c r="E449" s="664"/>
      <c r="F449" s="664"/>
      <c r="G449" s="664"/>
      <c r="H449" s="664"/>
      <c r="I449" s="664"/>
      <c r="J449" s="664"/>
      <c r="K449" s="664"/>
      <c r="L449" s="664"/>
      <c r="M449" s="664"/>
      <c r="N449" s="664"/>
      <c r="O449" s="664"/>
      <c r="P449" s="664"/>
      <c r="Q449" s="664"/>
      <c r="R449" s="664"/>
      <c r="S449" s="664"/>
      <c r="T449" s="664"/>
      <c r="U449" s="664"/>
      <c r="V449" s="664"/>
      <c r="W449" s="664"/>
      <c r="X449" s="664"/>
    </row>
    <row r="450">
      <c r="A450" s="661">
        <f t="shared" si="1"/>
        <v>450</v>
      </c>
      <c r="B450" s="662" t="str">
        <f t="shared" si="2"/>
        <v>#REF!</v>
      </c>
      <c r="C450" s="662" t="str">
        <f>IFERROR(__xludf.DUMMYFUNCTION("IF(
  REGEXMATCH(B450, ""^First\(λ - λ\) ∪ Follow\(""),
  ""Follow("" &amp; REGEXEXTRACT(B450, ""Follow\(([^)]+)\)"") &amp; "") ="",
  IF(
    OR(
      REGEXMATCH(B450, ""^First\([^&lt;]""),
      REGEXMATCH(B450, ""^First\(&lt;[^A-Za-z_]"")
    ),
    """",
    IF(
 "&amp;"     CFG!D450=""λ"",
      ""Follow("" &amp; CFG!B450 &amp; "") ="",
      ""First("" &amp; CFG!D450 &amp; "") =""
    )
  )
)
"),"#REF!")</f>
        <v>#REF!</v>
      </c>
      <c r="D450" s="663" t="str">
        <f>IFERROR(__xludf.DUMMYFUNCTION("IF(
  $C450="""",
  ""{ "" &amp;
    IF(
      REGEXMATCH(B450, ""^First\(\)""),
      "")"",
      REGEXEXTRACT(B450, ""^First\(([^ )]+)"")
    )
  &amp; "" }"",
  IF(
    REGEXMATCH($C450, ""^First\(&lt;""),
    VLOOKUP(REGEXEXTRACT($C450, ""\(([^)]+)\)""), 'First"&amp;" Set MacroA'!B:D, 3, FALSE),
    IF(
      REGEXMATCH($C450, ""^Follow\(&lt;""),
      VLOOKUP(REGEXEXTRACT($C450, ""\(([^)]+)\)""), 'Follow Set Macros'!B:D, 3, FALSE),
      ""{ "" &amp; REGEXEXTRACT($C450, ""\(([^)]+)\)"") &amp; "" }""
    )
  )
)
"),"#REF!")</f>
        <v>#REF!</v>
      </c>
      <c r="E450" s="664"/>
      <c r="F450" s="664"/>
      <c r="G450" s="664"/>
      <c r="H450" s="664"/>
      <c r="I450" s="664"/>
      <c r="J450" s="664"/>
      <c r="K450" s="664"/>
      <c r="L450" s="664"/>
      <c r="M450" s="664"/>
      <c r="N450" s="664"/>
      <c r="O450" s="664"/>
      <c r="P450" s="664"/>
      <c r="Q450" s="664"/>
      <c r="R450" s="664"/>
      <c r="S450" s="664"/>
      <c r="T450" s="664"/>
      <c r="U450" s="664"/>
      <c r="V450" s="664"/>
      <c r="W450" s="664"/>
      <c r="X450" s="664"/>
    </row>
    <row r="451">
      <c r="A451" s="661">
        <f t="shared" si="1"/>
        <v>451</v>
      </c>
      <c r="B451" s="662" t="str">
        <f t="shared" si="2"/>
        <v>#REF!</v>
      </c>
      <c r="C451" s="662" t="str">
        <f>IFERROR(__xludf.DUMMYFUNCTION("IF(
  REGEXMATCH(B451, ""^First\(λ - λ\) ∪ Follow\(""),
  ""Follow("" &amp; REGEXEXTRACT(B451, ""Follow\(([^)]+)\)"") &amp; "") ="",
  IF(
    OR(
      REGEXMATCH(B451, ""^First\([^&lt;]""),
      REGEXMATCH(B451, ""^First\(&lt;[^A-Za-z_]"")
    ),
    """",
    IF(
 "&amp;"     CFG!D451=""λ"",
      ""Follow("" &amp; CFG!B451 &amp; "") ="",
      ""First("" &amp; CFG!D451 &amp; "") =""
    )
  )
)
"),"#REF!")</f>
        <v>#REF!</v>
      </c>
      <c r="D451" s="663" t="str">
        <f>IFERROR(__xludf.DUMMYFUNCTION("IF(
  $C451="""",
  ""{ "" &amp;
    IF(
      REGEXMATCH(B451, ""^First\(\)""),
      "")"",
      REGEXEXTRACT(B451, ""^First\(([^ )]+)"")
    )
  &amp; "" }"",
  IF(
    REGEXMATCH($C451, ""^First\(&lt;""),
    VLOOKUP(REGEXEXTRACT($C451, ""\(([^)]+)\)""), 'First"&amp;" Set MacroA'!B:D, 3, FALSE),
    IF(
      REGEXMATCH($C451, ""^Follow\(&lt;""),
      VLOOKUP(REGEXEXTRACT($C451, ""\(([^)]+)\)""), 'Follow Set Macros'!B:D, 3, FALSE),
      ""{ "" &amp; REGEXEXTRACT($C451, ""\(([^)]+)\)"") &amp; "" }""
    )
  )
)
"),"#REF!")</f>
        <v>#REF!</v>
      </c>
      <c r="E451" s="664"/>
      <c r="F451" s="664"/>
      <c r="G451" s="664"/>
      <c r="H451" s="664"/>
      <c r="I451" s="664"/>
      <c r="J451" s="664"/>
      <c r="K451" s="664"/>
      <c r="L451" s="664"/>
      <c r="M451" s="664"/>
      <c r="N451" s="664"/>
      <c r="O451" s="664"/>
      <c r="P451" s="664"/>
      <c r="Q451" s="664"/>
      <c r="R451" s="664"/>
      <c r="S451" s="664"/>
      <c r="T451" s="664"/>
      <c r="U451" s="664"/>
      <c r="V451" s="664"/>
      <c r="W451" s="664"/>
      <c r="X451" s="664"/>
    </row>
    <row r="452">
      <c r="A452" s="661">
        <f t="shared" si="1"/>
        <v>452</v>
      </c>
      <c r="B452" s="662" t="str">
        <f t="shared" si="2"/>
        <v>#REF!</v>
      </c>
      <c r="C452" s="662" t="str">
        <f>IFERROR(__xludf.DUMMYFUNCTION("IF(
  REGEXMATCH(B452, ""^First\(λ - λ\) ∪ Follow\(""),
  ""Follow("" &amp; REGEXEXTRACT(B452, ""Follow\(([^)]+)\)"") &amp; "") ="",
  IF(
    OR(
      REGEXMATCH(B452, ""^First\([^&lt;]""),
      REGEXMATCH(B452, ""^First\(&lt;[^A-Za-z_]"")
    ),
    """",
    IF(
 "&amp;"     CFG!D452=""λ"",
      ""Follow("" &amp; CFG!B452 &amp; "") ="",
      ""First("" &amp; CFG!D452 &amp; "") =""
    )
  )
)
"),"#REF!")</f>
        <v>#REF!</v>
      </c>
      <c r="D452" s="663" t="str">
        <f>IFERROR(__xludf.DUMMYFUNCTION("IF(
  $C452="""",
  ""{ "" &amp;
    IF(
      REGEXMATCH(B452, ""^First\(\)""),
      "")"",
      REGEXEXTRACT(B452, ""^First\(([^ )]+)"")
    )
  &amp; "" }"",
  IF(
    REGEXMATCH($C452, ""^First\(&lt;""),
    VLOOKUP(REGEXEXTRACT($C452, ""\(([^)]+)\)""), 'First"&amp;" Set MacroA'!B:D, 3, FALSE),
    IF(
      REGEXMATCH($C452, ""^Follow\(&lt;""),
      VLOOKUP(REGEXEXTRACT($C452, ""\(([^)]+)\)""), 'Follow Set Macros'!B:D, 3, FALSE),
      ""{ "" &amp; REGEXEXTRACT($C452, ""\(([^)]+)\)"") &amp; "" }""
    )
  )
)
"),"#REF!")</f>
        <v>#REF!</v>
      </c>
      <c r="E452" s="664"/>
      <c r="F452" s="664"/>
      <c r="G452" s="664"/>
      <c r="H452" s="664"/>
      <c r="I452" s="664"/>
      <c r="J452" s="664"/>
      <c r="K452" s="664"/>
      <c r="L452" s="664"/>
      <c r="M452" s="664"/>
      <c r="N452" s="664"/>
      <c r="O452" s="664"/>
      <c r="P452" s="664"/>
      <c r="Q452" s="664"/>
      <c r="R452" s="664"/>
      <c r="S452" s="664"/>
      <c r="T452" s="664"/>
      <c r="U452" s="664"/>
      <c r="V452" s="664"/>
      <c r="W452" s="664"/>
      <c r="X452" s="664"/>
    </row>
    <row r="453">
      <c r="A453" s="661">
        <f t="shared" si="1"/>
        <v>453</v>
      </c>
      <c r="B453" s="662" t="str">
        <f t="shared" si="2"/>
        <v>#REF!</v>
      </c>
      <c r="C453" s="662" t="str">
        <f>IFERROR(__xludf.DUMMYFUNCTION("IF(
  REGEXMATCH(B453, ""^First\(λ - λ\) ∪ Follow\(""),
  ""Follow("" &amp; REGEXEXTRACT(B453, ""Follow\(([^)]+)\)"") &amp; "") ="",
  IF(
    OR(
      REGEXMATCH(B453, ""^First\([^&lt;]""),
      REGEXMATCH(B453, ""^First\(&lt;[^A-Za-z_]"")
    ),
    """",
    IF(
 "&amp;"     CFG!D453=""λ"",
      ""Follow("" &amp; CFG!B453 &amp; "") ="",
      ""First("" &amp; CFG!D453 &amp; "") =""
    )
  )
)
"),"#REF!")</f>
        <v>#REF!</v>
      </c>
      <c r="D453" s="663" t="str">
        <f>IFERROR(__xludf.DUMMYFUNCTION("IF(
  $C453="""",
  ""{ "" &amp;
    IF(
      REGEXMATCH(B453, ""^First\(\)""),
      "")"",
      REGEXEXTRACT(B453, ""^First\(([^ )]+)"")
    )
  &amp; "" }"",
  IF(
    REGEXMATCH($C453, ""^First\(&lt;""),
    VLOOKUP(REGEXEXTRACT($C453, ""\(([^)]+)\)""), 'First"&amp;" Set MacroA'!B:D, 3, FALSE),
    IF(
      REGEXMATCH($C453, ""^Follow\(&lt;""),
      VLOOKUP(REGEXEXTRACT($C453, ""\(([^)]+)\)""), 'Follow Set Macros'!B:D, 3, FALSE),
      ""{ "" &amp; REGEXEXTRACT($C453, ""\(([^)]+)\)"") &amp; "" }""
    )
  )
)
"),"#REF!")</f>
        <v>#REF!</v>
      </c>
      <c r="E453" s="664"/>
      <c r="F453" s="664"/>
      <c r="G453" s="664"/>
      <c r="H453" s="664"/>
      <c r="I453" s="664"/>
      <c r="J453" s="664"/>
      <c r="K453" s="664"/>
      <c r="L453" s="664"/>
      <c r="M453" s="664"/>
      <c r="N453" s="664"/>
      <c r="O453" s="664"/>
      <c r="P453" s="664"/>
      <c r="Q453" s="664"/>
      <c r="R453" s="664"/>
      <c r="S453" s="664"/>
      <c r="T453" s="664"/>
      <c r="U453" s="664"/>
      <c r="V453" s="664"/>
      <c r="W453" s="664"/>
      <c r="X453" s="664"/>
    </row>
    <row r="454">
      <c r="A454" s="661">
        <f t="shared" si="1"/>
        <v>454</v>
      </c>
      <c r="B454" s="662" t="str">
        <f t="shared" si="2"/>
        <v>#REF!</v>
      </c>
      <c r="C454" s="662" t="str">
        <f>IFERROR(__xludf.DUMMYFUNCTION("IF(
  REGEXMATCH(B454, ""^First\(λ - λ\) ∪ Follow\(""),
  ""Follow("" &amp; REGEXEXTRACT(B454, ""Follow\(([^)]+)\)"") &amp; "") ="",
  IF(
    OR(
      REGEXMATCH(B454, ""^First\([^&lt;]""),
      REGEXMATCH(B454, ""^First\(&lt;[^A-Za-z_]"")
    ),
    """",
    IF(
 "&amp;"     CFG!D454=""λ"",
      ""Follow("" &amp; CFG!B454 &amp; "") ="",
      ""First("" &amp; CFG!D454 &amp; "") =""
    )
  )
)
"),"#REF!")</f>
        <v>#REF!</v>
      </c>
      <c r="D454" s="663" t="str">
        <f>IFERROR(__xludf.DUMMYFUNCTION("IF(
  $C454="""",
  ""{ "" &amp;
    IF(
      REGEXMATCH(B454, ""^First\(\)""),
      "")"",
      REGEXEXTRACT(B454, ""^First\(([^ )]+)"")
    )
  &amp; "" }"",
  IF(
    REGEXMATCH($C454, ""^First\(&lt;""),
    VLOOKUP(REGEXEXTRACT($C454, ""\(([^)]+)\)""), 'First"&amp;" Set MacroA'!B:D, 3, FALSE),
    IF(
      REGEXMATCH($C454, ""^Follow\(&lt;""),
      VLOOKUP(REGEXEXTRACT($C454, ""\(([^)]+)\)""), 'Follow Set Macros'!B:D, 3, FALSE),
      ""{ "" &amp; REGEXEXTRACT($C454, ""\(([^)]+)\)"") &amp; "" }""
    )
  )
)
"),"#REF!")</f>
        <v>#REF!</v>
      </c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</row>
    <row r="455">
      <c r="A455" s="661">
        <f t="shared" si="1"/>
        <v>455</v>
      </c>
      <c r="B455" s="662" t="str">
        <f t="shared" si="2"/>
        <v>#REF!</v>
      </c>
      <c r="C455" s="662" t="str">
        <f>IFERROR(__xludf.DUMMYFUNCTION("IF(
  REGEXMATCH(B455, ""^First\(λ - λ\) ∪ Follow\(""),
  ""Follow("" &amp; REGEXEXTRACT(B455, ""Follow\(([^)]+)\)"") &amp; "") ="",
  IF(
    OR(
      REGEXMATCH(B455, ""^First\([^&lt;]""),
      REGEXMATCH(B455, ""^First\(&lt;[^A-Za-z_]"")
    ),
    """",
    IF(
 "&amp;"     CFG!D455=""λ"",
      ""Follow("" &amp; CFG!B455 &amp; "") ="",
      ""First("" &amp; CFG!D455 &amp; "") =""
    )
  )
)
"),"#REF!")</f>
        <v>#REF!</v>
      </c>
      <c r="D455" s="663" t="str">
        <f>IFERROR(__xludf.DUMMYFUNCTION("IF(
  $C455="""",
  ""{ "" &amp;
    IF(
      REGEXMATCH(B455, ""^First\(\)""),
      "")"",
      REGEXEXTRACT(B455, ""^First\(([^ )]+)"")
    )
  &amp; "" }"",
  IF(
    REGEXMATCH($C455, ""^First\(&lt;""),
    VLOOKUP(REGEXEXTRACT($C455, ""\(([^)]+)\)""), 'First"&amp;" Set MacroA'!B:D, 3, FALSE),
    IF(
      REGEXMATCH($C455, ""^Follow\(&lt;""),
      VLOOKUP(REGEXEXTRACT($C455, ""\(([^)]+)\)""), 'Follow Set Macros'!B:D, 3, FALSE),
      ""{ "" &amp; REGEXEXTRACT($C455, ""\(([^)]+)\)"") &amp; "" }""
    )
  )
)
"),"#REF!")</f>
        <v>#REF!</v>
      </c>
      <c r="E455" s="664"/>
      <c r="F455" s="664"/>
      <c r="G455" s="664"/>
      <c r="H455" s="664"/>
      <c r="I455" s="664"/>
      <c r="J455" s="664"/>
      <c r="K455" s="664"/>
      <c r="L455" s="664"/>
      <c r="M455" s="664"/>
      <c r="N455" s="664"/>
      <c r="O455" s="664"/>
      <c r="P455" s="664"/>
      <c r="Q455" s="664"/>
      <c r="R455" s="664"/>
      <c r="S455" s="664"/>
      <c r="T455" s="664"/>
      <c r="U455" s="664"/>
      <c r="V455" s="664"/>
      <c r="W455" s="664"/>
      <c r="X455" s="664"/>
    </row>
    <row r="456">
      <c r="A456" s="661">
        <f t="shared" si="1"/>
        <v>456</v>
      </c>
      <c r="B456" s="662" t="str">
        <f t="shared" si="2"/>
        <v>#REF!</v>
      </c>
      <c r="C456" s="662" t="str">
        <f>IFERROR(__xludf.DUMMYFUNCTION("IF(
  REGEXMATCH(B456, ""^First\(λ - λ\) ∪ Follow\(""),
  ""Follow("" &amp; REGEXEXTRACT(B456, ""Follow\(([^)]+)\)"") &amp; "") ="",
  IF(
    OR(
      REGEXMATCH(B456, ""^First\([^&lt;]""),
      REGEXMATCH(B456, ""^First\(&lt;[^A-Za-z_]"")
    ),
    """",
    IF(
 "&amp;"     CFG!D456=""λ"",
      ""Follow("" &amp; CFG!B456 &amp; "") ="",
      ""First("" &amp; CFG!D456 &amp; "") =""
    )
  )
)
"),"#REF!")</f>
        <v>#REF!</v>
      </c>
      <c r="D456" s="663" t="str">
        <f>IFERROR(__xludf.DUMMYFUNCTION("IF(
  $C456="""",
  ""{ "" &amp;
    IF(
      REGEXMATCH(B456, ""^First\(\)""),
      "")"",
      REGEXEXTRACT(B456, ""^First\(([^ )]+)"")
    )
  &amp; "" }"",
  IF(
    REGEXMATCH($C456, ""^First\(&lt;""),
    VLOOKUP(REGEXEXTRACT($C456, ""\(([^)]+)\)""), 'First"&amp;" Set MacroA'!B:D, 3, FALSE),
    IF(
      REGEXMATCH($C456, ""^Follow\(&lt;""),
      VLOOKUP(REGEXEXTRACT($C456, ""\(([^)]+)\)""), 'Follow Set Macros'!B:D, 3, FALSE),
      ""{ "" &amp; REGEXEXTRACT($C456, ""\(([^)]+)\)"") &amp; "" }""
    )
  )
)
"),"#REF!")</f>
        <v>#REF!</v>
      </c>
      <c r="E456" s="664"/>
      <c r="F456" s="664"/>
      <c r="G456" s="664"/>
      <c r="H456" s="664"/>
      <c r="I456" s="664"/>
      <c r="J456" s="664"/>
      <c r="K456" s="664"/>
      <c r="L456" s="664"/>
      <c r="M456" s="664"/>
      <c r="N456" s="664"/>
      <c r="O456" s="664"/>
      <c r="P456" s="664"/>
      <c r="Q456" s="664"/>
      <c r="R456" s="664"/>
      <c r="S456" s="664"/>
      <c r="T456" s="664"/>
      <c r="U456" s="664"/>
      <c r="V456" s="664"/>
      <c r="W456" s="664"/>
      <c r="X456" s="664"/>
    </row>
    <row r="457">
      <c r="A457" s="661">
        <f t="shared" si="1"/>
        <v>457</v>
      </c>
      <c r="B457" s="662" t="str">
        <f t="shared" si="2"/>
        <v>#REF!</v>
      </c>
      <c r="C457" s="662" t="str">
        <f>IFERROR(__xludf.DUMMYFUNCTION("IF(
  REGEXMATCH(B457, ""^First\(λ - λ\) ∪ Follow\(""),
  ""Follow("" &amp; REGEXEXTRACT(B457, ""Follow\(([^)]+)\)"") &amp; "") ="",
  IF(
    OR(
      REGEXMATCH(B457, ""^First\([^&lt;]""),
      REGEXMATCH(B457, ""^First\(&lt;[^A-Za-z_]"")
    ),
    """",
    IF(
 "&amp;"     CFG!D457=""λ"",
      ""Follow("" &amp; CFG!B457 &amp; "") ="",
      ""First("" &amp; CFG!D457 &amp; "") =""
    )
  )
)
"),"#REF!")</f>
        <v>#REF!</v>
      </c>
      <c r="D457" s="663" t="str">
        <f>IFERROR(__xludf.DUMMYFUNCTION("IF(
  $C457="""",
  ""{ "" &amp;
    IF(
      REGEXMATCH(B457, ""^First\(\)""),
      "")"",
      REGEXEXTRACT(B457, ""^First\(([^ )]+)"")
    )
  &amp; "" }"",
  IF(
    REGEXMATCH($C457, ""^First\(&lt;""),
    VLOOKUP(REGEXEXTRACT($C457, ""\(([^)]+)\)""), 'First"&amp;" Set MacroA'!B:D, 3, FALSE),
    IF(
      REGEXMATCH($C457, ""^Follow\(&lt;""),
      VLOOKUP(REGEXEXTRACT($C457, ""\(([^)]+)\)""), 'Follow Set Macros'!B:D, 3, FALSE),
      ""{ "" &amp; REGEXEXTRACT($C457, ""\(([^)]+)\)"") &amp; "" }""
    )
  )
)
"),"#REF!")</f>
        <v>#REF!</v>
      </c>
      <c r="E457" s="664"/>
      <c r="F457" s="664"/>
      <c r="G457" s="664"/>
      <c r="H457" s="664"/>
      <c r="I457" s="664"/>
      <c r="J457" s="664"/>
      <c r="K457" s="664"/>
      <c r="L457" s="664"/>
      <c r="M457" s="664"/>
      <c r="N457" s="664"/>
      <c r="O457" s="664"/>
      <c r="P457" s="664"/>
      <c r="Q457" s="664"/>
      <c r="R457" s="664"/>
      <c r="S457" s="664"/>
      <c r="T457" s="664"/>
      <c r="U457" s="664"/>
      <c r="V457" s="664"/>
      <c r="W457" s="664"/>
      <c r="X457" s="664"/>
    </row>
    <row r="458">
      <c r="A458" s="661">
        <f t="shared" si="1"/>
        <v>458</v>
      </c>
      <c r="B458" s="662" t="str">
        <f t="shared" si="2"/>
        <v>#REF!</v>
      </c>
      <c r="C458" s="662" t="str">
        <f>IFERROR(__xludf.DUMMYFUNCTION("IF(
  REGEXMATCH(B458, ""^First\(λ - λ\) ∪ Follow\(""),
  ""Follow("" &amp; REGEXEXTRACT(B458, ""Follow\(([^)]+)\)"") &amp; "") ="",
  IF(
    OR(
      REGEXMATCH(B458, ""^First\([^&lt;]""),
      REGEXMATCH(B458, ""^First\(&lt;[^A-Za-z_]"")
    ),
    """",
    IF(
 "&amp;"     CFG!D458=""λ"",
      ""Follow("" &amp; CFG!B458 &amp; "") ="",
      ""First("" &amp; CFG!D458 &amp; "") =""
    )
  )
)
"),"#REF!")</f>
        <v>#REF!</v>
      </c>
      <c r="D458" s="663" t="str">
        <f>IFERROR(__xludf.DUMMYFUNCTION("IF(
  $C458="""",
  ""{ "" &amp;
    IF(
      REGEXMATCH(B458, ""^First\(\)""),
      "")"",
      REGEXEXTRACT(B458, ""^First\(([^ )]+)"")
    )
  &amp; "" }"",
  IF(
    REGEXMATCH($C458, ""^First\(&lt;""),
    VLOOKUP(REGEXEXTRACT($C458, ""\(([^)]+)\)""), 'First"&amp;" Set MacroA'!B:D, 3, FALSE),
    IF(
      REGEXMATCH($C458, ""^Follow\(&lt;""),
      VLOOKUP(REGEXEXTRACT($C458, ""\(([^)]+)\)""), 'Follow Set Macros'!B:D, 3, FALSE),
      ""{ "" &amp; REGEXEXTRACT($C458, ""\(([^)]+)\)"") &amp; "" }""
    )
  )
)
"),"#REF!")</f>
        <v>#REF!</v>
      </c>
      <c r="E458" s="664"/>
      <c r="F458" s="664"/>
      <c r="G458" s="664"/>
      <c r="H458" s="664"/>
      <c r="I458" s="664"/>
      <c r="J458" s="664"/>
      <c r="K458" s="664"/>
      <c r="L458" s="664"/>
      <c r="M458" s="664"/>
      <c r="N458" s="664"/>
      <c r="O458" s="664"/>
      <c r="P458" s="664"/>
      <c r="Q458" s="664"/>
      <c r="R458" s="664"/>
      <c r="S458" s="664"/>
      <c r="T458" s="664"/>
      <c r="U458" s="664"/>
      <c r="V458" s="664"/>
      <c r="W458" s="664"/>
      <c r="X458" s="664"/>
    </row>
    <row r="459">
      <c r="A459" s="661">
        <f t="shared" si="1"/>
        <v>459</v>
      </c>
      <c r="B459" s="662" t="str">
        <f t="shared" si="2"/>
        <v>#REF!</v>
      </c>
      <c r="C459" s="662" t="str">
        <f>IFERROR(__xludf.DUMMYFUNCTION("IF(
  REGEXMATCH(B459, ""^First\(λ - λ\) ∪ Follow\(""),
  ""Follow("" &amp; REGEXEXTRACT(B459, ""Follow\(([^)]+)\)"") &amp; "") ="",
  IF(
    OR(
      REGEXMATCH(B459, ""^First\([^&lt;]""),
      REGEXMATCH(B459, ""^First\(&lt;[^A-Za-z_]"")
    ),
    """",
    IF(
 "&amp;"     CFG!D459=""λ"",
      ""Follow("" &amp; CFG!B459 &amp; "") ="",
      ""First("" &amp; CFG!D459 &amp; "") =""
    )
  )
)
"),"#REF!")</f>
        <v>#REF!</v>
      </c>
      <c r="D459" s="663" t="str">
        <f>IFERROR(__xludf.DUMMYFUNCTION("IF(
  $C459="""",
  ""{ "" &amp;
    IF(
      REGEXMATCH(B459, ""^First\(\)""),
      "")"",
      REGEXEXTRACT(B459, ""^First\(([^ )]+)"")
    )
  &amp; "" }"",
  IF(
    REGEXMATCH($C459, ""^First\(&lt;""),
    VLOOKUP(REGEXEXTRACT($C459, ""\(([^)]+)\)""), 'First"&amp;" Set MacroA'!B:D, 3, FALSE),
    IF(
      REGEXMATCH($C459, ""^Follow\(&lt;""),
      VLOOKUP(REGEXEXTRACT($C459, ""\(([^)]+)\)""), 'Follow Set Macros'!B:D, 3, FALSE),
      ""{ "" &amp; REGEXEXTRACT($C459, ""\(([^)]+)\)"") &amp; "" }""
    )
  )
)
"),"#REF!")</f>
        <v>#REF!</v>
      </c>
      <c r="E459" s="664"/>
      <c r="F459" s="664"/>
      <c r="G459" s="664"/>
      <c r="H459" s="664"/>
      <c r="I459" s="664"/>
      <c r="J459" s="664"/>
      <c r="K459" s="664"/>
      <c r="L459" s="664"/>
      <c r="M459" s="664"/>
      <c r="N459" s="664"/>
      <c r="O459" s="664"/>
      <c r="P459" s="664"/>
      <c r="Q459" s="664"/>
      <c r="R459" s="664"/>
      <c r="S459" s="664"/>
      <c r="T459" s="664"/>
      <c r="U459" s="664"/>
      <c r="V459" s="664"/>
      <c r="W459" s="664"/>
      <c r="X459" s="664"/>
    </row>
    <row r="460">
      <c r="A460" s="661">
        <f t="shared" si="1"/>
        <v>460</v>
      </c>
      <c r="B460" s="662" t="str">
        <f t="shared" si="2"/>
        <v>#REF!</v>
      </c>
      <c r="C460" s="662" t="str">
        <f>IFERROR(__xludf.DUMMYFUNCTION("IF(
  REGEXMATCH(B460, ""^First\(λ - λ\) ∪ Follow\(""),
  ""Follow("" &amp; REGEXEXTRACT(B460, ""Follow\(([^)]+)\)"") &amp; "") ="",
  IF(
    OR(
      REGEXMATCH(B460, ""^First\([^&lt;]""),
      REGEXMATCH(B460, ""^First\(&lt;[^A-Za-z_]"")
    ),
    """",
    IF(
 "&amp;"     CFG!D460=""λ"",
      ""Follow("" &amp; CFG!B460 &amp; "") ="",
      ""First("" &amp; CFG!D460 &amp; "") =""
    )
  )
)
"),"#REF!")</f>
        <v>#REF!</v>
      </c>
      <c r="D460" s="663" t="str">
        <f>IFERROR(__xludf.DUMMYFUNCTION("IF(
  $C460="""",
  ""{ "" &amp;
    IF(
      REGEXMATCH(B460, ""^First\(\)""),
      "")"",
      REGEXEXTRACT(B460, ""^First\(([^ )]+)"")
    )
  &amp; "" }"",
  IF(
    REGEXMATCH($C460, ""^First\(&lt;""),
    VLOOKUP(REGEXEXTRACT($C460, ""\(([^)]+)\)""), 'First"&amp;" Set MacroA'!B:D, 3, FALSE),
    IF(
      REGEXMATCH($C460, ""^Follow\(&lt;""),
      VLOOKUP(REGEXEXTRACT($C460, ""\(([^)]+)\)""), 'Follow Set Macros'!B:D, 3, FALSE),
      ""{ "" &amp; REGEXEXTRACT($C460, ""\(([^)]+)\)"") &amp; "" }""
    )
  )
)
"),"#REF!")</f>
        <v>#REF!</v>
      </c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</row>
    <row r="461">
      <c r="A461" s="661">
        <f t="shared" si="1"/>
        <v>461</v>
      </c>
      <c r="B461" s="662" t="str">
        <f t="shared" si="2"/>
        <v>#REF!</v>
      </c>
      <c r="C461" s="662" t="str">
        <f>IFERROR(__xludf.DUMMYFUNCTION("IF(
  REGEXMATCH(B461, ""^First\(λ - λ\) ∪ Follow\(""),
  ""Follow("" &amp; REGEXEXTRACT(B461, ""Follow\(([^)]+)\)"") &amp; "") ="",
  IF(
    OR(
      REGEXMATCH(B461, ""^First\([^&lt;]""),
      REGEXMATCH(B461, ""^First\(&lt;[^A-Za-z_]"")
    ),
    """",
    IF(
 "&amp;"     CFG!D461=""λ"",
      ""Follow("" &amp; CFG!B461 &amp; "") ="",
      ""First("" &amp; CFG!D461 &amp; "") =""
    )
  )
)
"),"#REF!")</f>
        <v>#REF!</v>
      </c>
      <c r="D461" s="663" t="str">
        <f>IFERROR(__xludf.DUMMYFUNCTION("IF(
  $C461="""",
  ""{ "" &amp;
    IF(
      REGEXMATCH(B461, ""^First\(\)""),
      "")"",
      REGEXEXTRACT(B461, ""^First\(([^ )]+)"")
    )
  &amp; "" }"",
  IF(
    REGEXMATCH($C461, ""^First\(&lt;""),
    VLOOKUP(REGEXEXTRACT($C461, ""\(([^)]+)\)""), 'First"&amp;" Set MacroA'!B:D, 3, FALSE),
    IF(
      REGEXMATCH($C461, ""^Follow\(&lt;""),
      VLOOKUP(REGEXEXTRACT($C461, ""\(([^)]+)\)""), 'Follow Set Macros'!B:D, 3, FALSE),
      ""{ "" &amp; REGEXEXTRACT($C461, ""\(([^)]+)\)"") &amp; "" }""
    )
  )
)
"),"#REF!")</f>
        <v>#REF!</v>
      </c>
      <c r="E461" s="664"/>
      <c r="F461" s="664"/>
      <c r="G461" s="664"/>
      <c r="H461" s="664"/>
      <c r="I461" s="664"/>
      <c r="J461" s="664"/>
      <c r="K461" s="664"/>
      <c r="L461" s="664"/>
      <c r="M461" s="664"/>
      <c r="N461" s="664"/>
      <c r="O461" s="664"/>
      <c r="P461" s="664"/>
      <c r="Q461" s="664"/>
      <c r="R461" s="664"/>
      <c r="S461" s="664"/>
      <c r="T461" s="664"/>
      <c r="U461" s="664"/>
      <c r="V461" s="664"/>
      <c r="W461" s="664"/>
      <c r="X461" s="664"/>
    </row>
    <row r="462">
      <c r="A462" s="661">
        <f t="shared" si="1"/>
        <v>462</v>
      </c>
      <c r="B462" s="662" t="str">
        <f t="shared" si="2"/>
        <v>#REF!</v>
      </c>
      <c r="C462" s="662" t="str">
        <f>IFERROR(__xludf.DUMMYFUNCTION("IF(
  REGEXMATCH(B462, ""^First\(λ - λ\) ∪ Follow\(""),
  ""Follow("" &amp; REGEXEXTRACT(B462, ""Follow\(([^)]+)\)"") &amp; "") ="",
  IF(
    OR(
      REGEXMATCH(B462, ""^First\([^&lt;]""),
      REGEXMATCH(B462, ""^First\(&lt;[^A-Za-z_]"")
    ),
    """",
    IF(
 "&amp;"     CFG!D462=""λ"",
      ""Follow("" &amp; CFG!B462 &amp; "") ="",
      ""First("" &amp; CFG!D462 &amp; "") =""
    )
  )
)
"),"#REF!")</f>
        <v>#REF!</v>
      </c>
      <c r="D462" s="663" t="str">
        <f>IFERROR(__xludf.DUMMYFUNCTION("IF(
  $C462="""",
  ""{ "" &amp;
    IF(
      REGEXMATCH(B462, ""^First\(\)""),
      "")"",
      REGEXEXTRACT(B462, ""^First\(([^ )]+)"")
    )
  &amp; "" }"",
  IF(
    REGEXMATCH($C462, ""^First\(&lt;""),
    VLOOKUP(REGEXEXTRACT($C462, ""\(([^)]+)\)""), 'First"&amp;" Set MacroA'!B:D, 3, FALSE),
    IF(
      REGEXMATCH($C462, ""^Follow\(&lt;""),
      VLOOKUP(REGEXEXTRACT($C462, ""\(([^)]+)\)""), 'Follow Set Macros'!B:D, 3, FALSE),
      ""{ "" &amp; REGEXEXTRACT($C462, ""\(([^)]+)\)"") &amp; "" }""
    )
  )
)
"),"#REF!")</f>
        <v>#REF!</v>
      </c>
      <c r="E462" s="664"/>
      <c r="F462" s="664"/>
      <c r="G462" s="664"/>
      <c r="H462" s="664"/>
      <c r="I462" s="664"/>
      <c r="J462" s="664"/>
      <c r="K462" s="664"/>
      <c r="L462" s="664"/>
      <c r="M462" s="664"/>
      <c r="N462" s="664"/>
      <c r="O462" s="664"/>
      <c r="P462" s="664"/>
      <c r="Q462" s="664"/>
      <c r="R462" s="664"/>
      <c r="S462" s="664"/>
      <c r="T462" s="664"/>
      <c r="U462" s="664"/>
      <c r="V462" s="664"/>
      <c r="W462" s="664"/>
      <c r="X462" s="664"/>
    </row>
    <row r="463">
      <c r="A463" s="661">
        <f t="shared" si="1"/>
        <v>463</v>
      </c>
      <c r="B463" s="662" t="str">
        <f t="shared" si="2"/>
        <v>#REF!</v>
      </c>
      <c r="C463" s="662" t="str">
        <f>IFERROR(__xludf.DUMMYFUNCTION("IF(
  REGEXMATCH(B463, ""^First\(λ - λ\) ∪ Follow\(""),
  ""Follow("" &amp; REGEXEXTRACT(B463, ""Follow\(([^)]+)\)"") &amp; "") ="",
  IF(
    OR(
      REGEXMATCH(B463, ""^First\([^&lt;]""),
      REGEXMATCH(B463, ""^First\(&lt;[^A-Za-z_]"")
    ),
    """",
    IF(
 "&amp;"     CFG!D463=""λ"",
      ""Follow("" &amp; CFG!B463 &amp; "") ="",
      ""First("" &amp; CFG!D463 &amp; "") =""
    )
  )
)
"),"#REF!")</f>
        <v>#REF!</v>
      </c>
      <c r="D463" s="663" t="str">
        <f>IFERROR(__xludf.DUMMYFUNCTION("IF(
  $C463="""",
  ""{ "" &amp;
    IF(
      REGEXMATCH(B463, ""^First\(\)""),
      "")"",
      REGEXEXTRACT(B463, ""^First\(([^ )]+)"")
    )
  &amp; "" }"",
  IF(
    REGEXMATCH($C463, ""^First\(&lt;""),
    VLOOKUP(REGEXEXTRACT($C463, ""\(([^)]+)\)""), 'First"&amp;" Set MacroA'!B:D, 3, FALSE),
    IF(
      REGEXMATCH($C463, ""^Follow\(&lt;""),
      VLOOKUP(REGEXEXTRACT($C463, ""\(([^)]+)\)""), 'Follow Set Macros'!B:D, 3, FALSE),
      ""{ "" &amp; REGEXEXTRACT($C463, ""\(([^)]+)\)"") &amp; "" }""
    )
  )
)
"),"#REF!")</f>
        <v>#REF!</v>
      </c>
      <c r="E463" s="664"/>
      <c r="F463" s="664"/>
      <c r="G463" s="664"/>
      <c r="H463" s="664"/>
      <c r="I463" s="664"/>
      <c r="J463" s="664"/>
      <c r="K463" s="664"/>
      <c r="L463" s="664"/>
      <c r="M463" s="664"/>
      <c r="N463" s="664"/>
      <c r="O463" s="664"/>
      <c r="P463" s="664"/>
      <c r="Q463" s="664"/>
      <c r="R463" s="664"/>
      <c r="S463" s="664"/>
      <c r="T463" s="664"/>
      <c r="U463" s="664"/>
      <c r="V463" s="664"/>
      <c r="W463" s="664"/>
      <c r="X463" s="664"/>
    </row>
    <row r="464">
      <c r="A464" s="661">
        <f t="shared" si="1"/>
        <v>464</v>
      </c>
      <c r="B464" s="662" t="str">
        <f t="shared" si="2"/>
        <v>#REF!</v>
      </c>
      <c r="C464" s="662" t="str">
        <f>IFERROR(__xludf.DUMMYFUNCTION("IF(
  REGEXMATCH(B464, ""^First\(λ - λ\) ∪ Follow\(""),
  ""Follow("" &amp; REGEXEXTRACT(B464, ""Follow\(([^)]+)\)"") &amp; "") ="",
  IF(
    OR(
      REGEXMATCH(B464, ""^First\([^&lt;]""),
      REGEXMATCH(B464, ""^First\(&lt;[^A-Za-z_]"")
    ),
    """",
    IF(
 "&amp;"     CFG!D464=""λ"",
      ""Follow("" &amp; CFG!B464 &amp; "") ="",
      ""First("" &amp; CFG!D464 &amp; "") =""
    )
  )
)
"),"#REF!")</f>
        <v>#REF!</v>
      </c>
      <c r="D464" s="663" t="str">
        <f>IFERROR(__xludf.DUMMYFUNCTION("IF(
  $C464="""",
  ""{ "" &amp;
    IF(
      REGEXMATCH(B464, ""^First\(\)""),
      "")"",
      REGEXEXTRACT(B464, ""^First\(([^ )]+)"")
    )
  &amp; "" }"",
  IF(
    REGEXMATCH($C464, ""^First\(&lt;""),
    VLOOKUP(REGEXEXTRACT($C464, ""\(([^)]+)\)""), 'First"&amp;" Set MacroA'!B:D, 3, FALSE),
    IF(
      REGEXMATCH($C464, ""^Follow\(&lt;""),
      VLOOKUP(REGEXEXTRACT($C464, ""\(([^)]+)\)""), 'Follow Set Macros'!B:D, 3, FALSE),
      ""{ "" &amp; REGEXEXTRACT($C464, ""\(([^)]+)\)"") &amp; "" }""
    )
  )
)
"),"#REF!")</f>
        <v>#REF!</v>
      </c>
      <c r="E464" s="664"/>
      <c r="F464" s="664"/>
      <c r="G464" s="664"/>
      <c r="H464" s="664"/>
      <c r="I464" s="664"/>
      <c r="J464" s="664"/>
      <c r="K464" s="664"/>
      <c r="L464" s="664"/>
      <c r="M464" s="664"/>
      <c r="N464" s="664"/>
      <c r="O464" s="664"/>
      <c r="P464" s="664"/>
      <c r="Q464" s="664"/>
      <c r="R464" s="664"/>
      <c r="S464" s="664"/>
      <c r="T464" s="664"/>
      <c r="U464" s="664"/>
      <c r="V464" s="664"/>
      <c r="W464" s="664"/>
      <c r="X464" s="664"/>
    </row>
    <row r="465">
      <c r="A465" s="661">
        <f t="shared" si="1"/>
        <v>465</v>
      </c>
      <c r="B465" s="662" t="str">
        <f t="shared" si="2"/>
        <v>#REF!</v>
      </c>
      <c r="C465" s="662" t="str">
        <f>IFERROR(__xludf.DUMMYFUNCTION("IF(
  REGEXMATCH(B465, ""^First\(λ - λ\) ∪ Follow\(""),
  ""Follow("" &amp; REGEXEXTRACT(B465, ""Follow\(([^)]+)\)"") &amp; "") ="",
  IF(
    OR(
      REGEXMATCH(B465, ""^First\([^&lt;]""),
      REGEXMATCH(B465, ""^First\(&lt;[^A-Za-z_]"")
    ),
    """",
    IF(
 "&amp;"     CFG!D465=""λ"",
      ""Follow("" &amp; CFG!B465 &amp; "") ="",
      ""First("" &amp; CFG!D465 &amp; "") =""
    )
  )
)
"),"#REF!")</f>
        <v>#REF!</v>
      </c>
      <c r="D465" s="663" t="str">
        <f>IFERROR(__xludf.DUMMYFUNCTION("IF(
  $C465="""",
  ""{ "" &amp;
    IF(
      REGEXMATCH(B465, ""^First\(\)""),
      "")"",
      REGEXEXTRACT(B465, ""^First\(([^ )]+)"")
    )
  &amp; "" }"",
  IF(
    REGEXMATCH($C465, ""^First\(&lt;""),
    VLOOKUP(REGEXEXTRACT($C465, ""\(([^)]+)\)""), 'First"&amp;" Set MacroA'!B:D, 3, FALSE),
    IF(
      REGEXMATCH($C465, ""^Follow\(&lt;""),
      VLOOKUP(REGEXEXTRACT($C465, ""\(([^)]+)\)""), 'Follow Set Macros'!B:D, 3, FALSE),
      ""{ "" &amp; REGEXEXTRACT($C465, ""\(([^)]+)\)"") &amp; "" }""
    )
  )
)
"),"#REF!")</f>
        <v>#REF!</v>
      </c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</row>
    <row r="466">
      <c r="A466" s="661">
        <f t="shared" si="1"/>
        <v>466</v>
      </c>
      <c r="B466" s="662" t="str">
        <f t="shared" si="2"/>
        <v>#REF!</v>
      </c>
      <c r="C466" s="662" t="str">
        <f>IFERROR(__xludf.DUMMYFUNCTION("IF(
  REGEXMATCH(B466, ""^First\(λ - λ\) ∪ Follow\(""),
  ""Follow("" &amp; REGEXEXTRACT(B466, ""Follow\(([^)]+)\)"") &amp; "") ="",
  IF(
    OR(
      REGEXMATCH(B466, ""^First\([^&lt;]""),
      REGEXMATCH(B466, ""^First\(&lt;[^A-Za-z_]"")
    ),
    """",
    IF(
 "&amp;"     CFG!D466=""λ"",
      ""Follow("" &amp; CFG!B466 &amp; "") ="",
      ""First("" &amp; CFG!D466 &amp; "") =""
    )
  )
)
"),"#REF!")</f>
        <v>#REF!</v>
      </c>
      <c r="D466" s="663" t="str">
        <f>IFERROR(__xludf.DUMMYFUNCTION("IF(
  $C466="""",
  ""{ "" &amp;
    IF(
      REGEXMATCH(B466, ""^First\(\)""),
      "")"",
      REGEXEXTRACT(B466, ""^First\(([^ )]+)"")
    )
  &amp; "" }"",
  IF(
    REGEXMATCH($C466, ""^First\(&lt;""),
    VLOOKUP(REGEXEXTRACT($C466, ""\(([^)]+)\)""), 'First"&amp;" Set MacroA'!B:D, 3, FALSE),
    IF(
      REGEXMATCH($C466, ""^Follow\(&lt;""),
      VLOOKUP(REGEXEXTRACT($C466, ""\(([^)]+)\)""), 'Follow Set Macros'!B:D, 3, FALSE),
      ""{ "" &amp; REGEXEXTRACT($C466, ""\(([^)]+)\)"") &amp; "" }""
    )
  )
)
"),"#REF!")</f>
        <v>#REF!</v>
      </c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</row>
    <row r="467">
      <c r="A467" s="661">
        <f t="shared" si="1"/>
        <v>467</v>
      </c>
      <c r="B467" s="662" t="str">
        <f t="shared" si="2"/>
        <v>#REF!</v>
      </c>
      <c r="C467" s="662" t="str">
        <f>IFERROR(__xludf.DUMMYFUNCTION("IF(
  REGEXMATCH(B467, ""^First\(λ - λ\) ∪ Follow\(""),
  ""Follow("" &amp; REGEXEXTRACT(B467, ""Follow\(([^)]+)\)"") &amp; "") ="",
  IF(
    OR(
      REGEXMATCH(B467, ""^First\([^&lt;]""),
      REGEXMATCH(B467, ""^First\(&lt;[^A-Za-z_]"")
    ),
    """",
    IF(
 "&amp;"     CFG!D467=""λ"",
      ""Follow("" &amp; CFG!B467 &amp; "") ="",
      ""First("" &amp; CFG!D467 &amp; "") =""
    )
  )
)
"),"#REF!")</f>
        <v>#REF!</v>
      </c>
      <c r="D467" s="663" t="str">
        <f>IFERROR(__xludf.DUMMYFUNCTION("IF(
  $C467="""",
  ""{ "" &amp;
    IF(
      REGEXMATCH(B467, ""^First\(\)""),
      "")"",
      REGEXEXTRACT(B467, ""^First\(([^ )]+)"")
    )
  &amp; "" }"",
  IF(
    REGEXMATCH($C467, ""^First\(&lt;""),
    VLOOKUP(REGEXEXTRACT($C467, ""\(([^)]+)\)""), 'First"&amp;" Set MacroA'!B:D, 3, FALSE),
    IF(
      REGEXMATCH($C467, ""^Follow\(&lt;""),
      VLOOKUP(REGEXEXTRACT($C467, ""\(([^)]+)\)""), 'Follow Set Macros'!B:D, 3, FALSE),
      ""{ "" &amp; REGEXEXTRACT($C467, ""\(([^)]+)\)"") &amp; "" }""
    )
  )
)
"),"#REF!")</f>
        <v>#REF!</v>
      </c>
      <c r="E467" s="664"/>
      <c r="F467" s="664"/>
      <c r="G467" s="664"/>
      <c r="H467" s="664"/>
      <c r="I467" s="664"/>
      <c r="J467" s="664"/>
      <c r="K467" s="664"/>
      <c r="L467" s="664"/>
      <c r="M467" s="664"/>
      <c r="N467" s="664"/>
      <c r="O467" s="664"/>
      <c r="P467" s="664"/>
      <c r="Q467" s="664"/>
      <c r="R467" s="664"/>
      <c r="S467" s="664"/>
      <c r="T467" s="664"/>
      <c r="U467" s="664"/>
      <c r="V467" s="664"/>
      <c r="W467" s="664"/>
      <c r="X467" s="664"/>
    </row>
    <row r="468">
      <c r="A468" s="661">
        <f t="shared" si="1"/>
        <v>468</v>
      </c>
      <c r="B468" s="662" t="str">
        <f t="shared" si="2"/>
        <v>#REF!</v>
      </c>
      <c r="C468" s="662" t="str">
        <f>IFERROR(__xludf.DUMMYFUNCTION("IF(
  REGEXMATCH(B468, ""^First\(λ - λ\) ∪ Follow\(""),
  ""Follow("" &amp; REGEXEXTRACT(B468, ""Follow\(([^)]+)\)"") &amp; "") ="",
  IF(
    OR(
      REGEXMATCH(B468, ""^First\([^&lt;]""),
      REGEXMATCH(B468, ""^First\(&lt;[^A-Za-z_]"")
    ),
    """",
    IF(
 "&amp;"     CFG!D468=""λ"",
      ""Follow("" &amp; CFG!B468 &amp; "") ="",
      ""First("" &amp; CFG!D468 &amp; "") =""
    )
  )
)
"),"#REF!")</f>
        <v>#REF!</v>
      </c>
      <c r="D468" s="663" t="str">
        <f>IFERROR(__xludf.DUMMYFUNCTION("IF(
  $C468="""",
  ""{ "" &amp;
    IF(
      REGEXMATCH(B468, ""^First\(\)""),
      "")"",
      REGEXEXTRACT(B468, ""^First\(([^ )]+)"")
    )
  &amp; "" }"",
  IF(
    REGEXMATCH($C468, ""^First\(&lt;""),
    VLOOKUP(REGEXEXTRACT($C468, ""\(([^)]+)\)""), 'First"&amp;" Set MacroA'!B:D, 3, FALSE),
    IF(
      REGEXMATCH($C468, ""^Follow\(&lt;""),
      VLOOKUP(REGEXEXTRACT($C468, ""\(([^)]+)\)""), 'Follow Set Macros'!B:D, 3, FALSE),
      ""{ "" &amp; REGEXEXTRACT($C468, ""\(([^)]+)\)"") &amp; "" }""
    )
  )
)
"),"#REF!")</f>
        <v>#REF!</v>
      </c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</row>
    <row r="469">
      <c r="A469" s="661">
        <f t="shared" si="1"/>
        <v>469</v>
      </c>
      <c r="B469" s="662" t="str">
        <f t="shared" si="2"/>
        <v>#REF!</v>
      </c>
      <c r="C469" s="662" t="str">
        <f>IFERROR(__xludf.DUMMYFUNCTION("IF(
  REGEXMATCH(B469, ""^First\(λ - λ\) ∪ Follow\(""),
  ""Follow("" &amp; REGEXEXTRACT(B469, ""Follow\(([^)]+)\)"") &amp; "") ="",
  IF(
    OR(
      REGEXMATCH(B469, ""^First\([^&lt;]""),
      REGEXMATCH(B469, ""^First\(&lt;[^A-Za-z_]"")
    ),
    """",
    IF(
 "&amp;"     CFG!D469=""λ"",
      ""Follow("" &amp; CFG!B469 &amp; "") ="",
      ""First("" &amp; CFG!D469 &amp; "") =""
    )
  )
)
"),"#REF!")</f>
        <v>#REF!</v>
      </c>
      <c r="D469" s="663" t="str">
        <f>IFERROR(__xludf.DUMMYFUNCTION("IF(
  $C469="""",
  ""{ "" &amp;
    IF(
      REGEXMATCH(B469, ""^First\(\)""),
      "")"",
      REGEXEXTRACT(B469, ""^First\(([^ )]+)"")
    )
  &amp; "" }"",
  IF(
    REGEXMATCH($C469, ""^First\(&lt;""),
    VLOOKUP(REGEXEXTRACT($C469, ""\(([^)]+)\)""), 'First"&amp;" Set MacroA'!B:D, 3, FALSE),
    IF(
      REGEXMATCH($C469, ""^Follow\(&lt;""),
      VLOOKUP(REGEXEXTRACT($C469, ""\(([^)]+)\)""), 'Follow Set Macros'!B:D, 3, FALSE),
      ""{ "" &amp; REGEXEXTRACT($C469, ""\(([^)]+)\)"") &amp; "" }""
    )
  )
)
"),"#REF!")</f>
        <v>#REF!</v>
      </c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</row>
    <row r="470">
      <c r="A470" s="661">
        <f t="shared" si="1"/>
        <v>470</v>
      </c>
      <c r="B470" s="662" t="str">
        <f t="shared" si="2"/>
        <v>#REF!</v>
      </c>
      <c r="C470" s="662" t="str">
        <f>IFERROR(__xludf.DUMMYFUNCTION("IF(
  REGEXMATCH(B470, ""^First\(λ - λ\) ∪ Follow\(""),
  ""Follow("" &amp; REGEXEXTRACT(B470, ""Follow\(([^)]+)\)"") &amp; "") ="",
  IF(
    OR(
      REGEXMATCH(B470, ""^First\([^&lt;]""),
      REGEXMATCH(B470, ""^First\(&lt;[^A-Za-z_]"")
    ),
    """",
    IF(
 "&amp;"     CFG!D470=""λ"",
      ""Follow("" &amp; CFG!B470 &amp; "") ="",
      ""First("" &amp; CFG!D470 &amp; "") =""
    )
  )
)
"),"#REF!")</f>
        <v>#REF!</v>
      </c>
      <c r="D470" s="663" t="str">
        <f>IFERROR(__xludf.DUMMYFUNCTION("IF(
  $C470="""",
  ""{ "" &amp;
    IF(
      REGEXMATCH(B470, ""^First\(\)""),
      "")"",
      REGEXEXTRACT(B470, ""^First\(([^ )]+)"")
    )
  &amp; "" }"",
  IF(
    REGEXMATCH($C470, ""^First\(&lt;""),
    VLOOKUP(REGEXEXTRACT($C470, ""\(([^)]+)\)""), 'First"&amp;" Set MacroA'!B:D, 3, FALSE),
    IF(
      REGEXMATCH($C470, ""^Follow\(&lt;""),
      VLOOKUP(REGEXEXTRACT($C470, ""\(([^)]+)\)""), 'Follow Set Macros'!B:D, 3, FALSE),
      ""{ "" &amp; REGEXEXTRACT($C470, ""\(([^)]+)\)"") &amp; "" }""
    )
  )
)
"),"#REF!")</f>
        <v>#REF!</v>
      </c>
      <c r="E470" s="664"/>
      <c r="F470" s="664"/>
      <c r="G470" s="664"/>
      <c r="H470" s="664"/>
      <c r="I470" s="664"/>
      <c r="J470" s="664"/>
      <c r="K470" s="664"/>
      <c r="L470" s="664"/>
      <c r="M470" s="664"/>
      <c r="N470" s="664"/>
      <c r="O470" s="664"/>
      <c r="P470" s="664"/>
      <c r="Q470" s="664"/>
      <c r="R470" s="664"/>
      <c r="S470" s="664"/>
      <c r="T470" s="664"/>
      <c r="U470" s="664"/>
      <c r="V470" s="664"/>
      <c r="W470" s="664"/>
      <c r="X470" s="664"/>
    </row>
    <row r="471">
      <c r="A471" s="661">
        <f t="shared" si="1"/>
        <v>471</v>
      </c>
      <c r="B471" s="662" t="str">
        <f t="shared" si="2"/>
        <v>#REF!</v>
      </c>
      <c r="C471" s="662" t="str">
        <f>IFERROR(__xludf.DUMMYFUNCTION("IF(
  REGEXMATCH(B471, ""^First\(λ - λ\) ∪ Follow\(""),
  ""Follow("" &amp; REGEXEXTRACT(B471, ""Follow\(([^)]+)\)"") &amp; "") ="",
  IF(
    OR(
      REGEXMATCH(B471, ""^First\([^&lt;]""),
      REGEXMATCH(B471, ""^First\(&lt;[^A-Za-z_]"")
    ),
    """",
    IF(
 "&amp;"     CFG!D471=""λ"",
      ""Follow("" &amp; CFG!B471 &amp; "") ="",
      ""First("" &amp; CFG!D471 &amp; "") =""
    )
  )
)
"),"#REF!")</f>
        <v>#REF!</v>
      </c>
      <c r="D471" s="663" t="str">
        <f>IFERROR(__xludf.DUMMYFUNCTION("IF(
  $C471="""",
  ""{ "" &amp;
    IF(
      REGEXMATCH(B471, ""^First\(\)""),
      "")"",
      REGEXEXTRACT(B471, ""^First\(([^ )]+)"")
    )
  &amp; "" }"",
  IF(
    REGEXMATCH($C471, ""^First\(&lt;""),
    VLOOKUP(REGEXEXTRACT($C471, ""\(([^)]+)\)""), 'First"&amp;" Set MacroA'!B:D, 3, FALSE),
    IF(
      REGEXMATCH($C471, ""^Follow\(&lt;""),
      VLOOKUP(REGEXEXTRACT($C471, ""\(([^)]+)\)""), 'Follow Set Macros'!B:D, 3, FALSE),
      ""{ "" &amp; REGEXEXTRACT($C471, ""\(([^)]+)\)"") &amp; "" }""
    )
  )
)
"),"#REF!")</f>
        <v>#REF!</v>
      </c>
      <c r="E471" s="664"/>
      <c r="F471" s="664"/>
      <c r="G471" s="664"/>
      <c r="H471" s="664"/>
      <c r="I471" s="664"/>
      <c r="J471" s="664"/>
      <c r="K471" s="664"/>
      <c r="L471" s="664"/>
      <c r="M471" s="664"/>
      <c r="N471" s="664"/>
      <c r="O471" s="664"/>
      <c r="P471" s="664"/>
      <c r="Q471" s="664"/>
      <c r="R471" s="664"/>
      <c r="S471" s="664"/>
      <c r="T471" s="664"/>
      <c r="U471" s="664"/>
      <c r="V471" s="664"/>
      <c r="W471" s="664"/>
      <c r="X471" s="664"/>
    </row>
    <row r="472">
      <c r="A472" s="661">
        <f t="shared" si="1"/>
        <v>472</v>
      </c>
      <c r="B472" s="662" t="str">
        <f t="shared" si="2"/>
        <v>#REF!</v>
      </c>
      <c r="C472" s="662" t="str">
        <f>IFERROR(__xludf.DUMMYFUNCTION("IF(
  REGEXMATCH(B472, ""^First\(λ - λ\) ∪ Follow\(""),
  ""Follow("" &amp; REGEXEXTRACT(B472, ""Follow\(([^)]+)\)"") &amp; "") ="",
  IF(
    OR(
      REGEXMATCH(B472, ""^First\([^&lt;]""),
      REGEXMATCH(B472, ""^First\(&lt;[^A-Za-z_]"")
    ),
    """",
    IF(
 "&amp;"     CFG!D472=""λ"",
      ""Follow("" &amp; CFG!B472 &amp; "") ="",
      ""First("" &amp; CFG!D472 &amp; "") =""
    )
  )
)
"),"#REF!")</f>
        <v>#REF!</v>
      </c>
      <c r="D472" s="663" t="str">
        <f>IFERROR(__xludf.DUMMYFUNCTION("IF(
  $C472="""",
  ""{ "" &amp;
    IF(
      REGEXMATCH(B472, ""^First\(\)""),
      "")"",
      REGEXEXTRACT(B472, ""^First\(([^ )]+)"")
    )
  &amp; "" }"",
  IF(
    REGEXMATCH($C472, ""^First\(&lt;""),
    VLOOKUP(REGEXEXTRACT($C472, ""\(([^)]+)\)""), 'First"&amp;" Set MacroA'!B:D, 3, FALSE),
    IF(
      REGEXMATCH($C472, ""^Follow\(&lt;""),
      VLOOKUP(REGEXEXTRACT($C472, ""\(([^)]+)\)""), 'Follow Set Macros'!B:D, 3, FALSE),
      ""{ "" &amp; REGEXEXTRACT($C472, ""\(([^)]+)\)"") &amp; "" }""
    )
  )
)
"),"#REF!")</f>
        <v>#REF!</v>
      </c>
      <c r="E472" s="664"/>
      <c r="F472" s="664"/>
      <c r="G472" s="664"/>
      <c r="H472" s="664"/>
      <c r="I472" s="664"/>
      <c r="J472" s="664"/>
      <c r="K472" s="664"/>
      <c r="L472" s="664"/>
      <c r="M472" s="664"/>
      <c r="N472" s="664"/>
      <c r="O472" s="664"/>
      <c r="P472" s="664"/>
      <c r="Q472" s="664"/>
      <c r="R472" s="664"/>
      <c r="S472" s="664"/>
      <c r="T472" s="664"/>
      <c r="U472" s="664"/>
      <c r="V472" s="664"/>
      <c r="W472" s="664"/>
      <c r="X472" s="664"/>
    </row>
    <row r="473">
      <c r="A473" s="661">
        <f t="shared" si="1"/>
        <v>473</v>
      </c>
      <c r="B473" s="662" t="str">
        <f t="shared" si="2"/>
        <v>#REF!</v>
      </c>
      <c r="C473" s="662" t="str">
        <f>IFERROR(__xludf.DUMMYFUNCTION("IF(
  REGEXMATCH(B473, ""^First\(λ - λ\) ∪ Follow\(""),
  ""Follow("" &amp; REGEXEXTRACT(B473, ""Follow\(([^)]+)\)"") &amp; "") ="",
  IF(
    OR(
      REGEXMATCH(B473, ""^First\([^&lt;]""),
      REGEXMATCH(B473, ""^First\(&lt;[^A-Za-z_]"")
    ),
    """",
    IF(
 "&amp;"     CFG!D473=""λ"",
      ""Follow("" &amp; CFG!B473 &amp; "") ="",
      ""First("" &amp; CFG!D473 &amp; "") =""
    )
  )
)
"),"#REF!")</f>
        <v>#REF!</v>
      </c>
      <c r="D473" s="663" t="str">
        <f>IFERROR(__xludf.DUMMYFUNCTION("IF(
  $C473="""",
  ""{ "" &amp;
    IF(
      REGEXMATCH(B473, ""^First\(\)""),
      "")"",
      REGEXEXTRACT(B473, ""^First\(([^ )]+)"")
    )
  &amp; "" }"",
  IF(
    REGEXMATCH($C473, ""^First\(&lt;""),
    VLOOKUP(REGEXEXTRACT($C473, ""\(([^)]+)\)""), 'First"&amp;" Set MacroA'!B:D, 3, FALSE),
    IF(
      REGEXMATCH($C473, ""^Follow\(&lt;""),
      VLOOKUP(REGEXEXTRACT($C473, ""\(([^)]+)\)""), 'Follow Set Macros'!B:D, 3, FALSE),
      ""{ "" &amp; REGEXEXTRACT($C473, ""\(([^)]+)\)"") &amp; "" }""
    )
  )
)
"),"#REF!")</f>
        <v>#REF!</v>
      </c>
      <c r="E473" s="664"/>
      <c r="F473" s="664"/>
      <c r="G473" s="664"/>
      <c r="H473" s="664"/>
      <c r="I473" s="664"/>
      <c r="J473" s="664"/>
      <c r="K473" s="664"/>
      <c r="L473" s="664"/>
      <c r="M473" s="664"/>
      <c r="N473" s="664"/>
      <c r="O473" s="664"/>
      <c r="P473" s="664"/>
      <c r="Q473" s="664"/>
      <c r="R473" s="664"/>
      <c r="S473" s="664"/>
      <c r="T473" s="664"/>
      <c r="U473" s="664"/>
      <c r="V473" s="664"/>
      <c r="W473" s="664"/>
      <c r="X473" s="664"/>
    </row>
    <row r="474">
      <c r="A474" s="661">
        <f t="shared" si="1"/>
        <v>474</v>
      </c>
      <c r="B474" s="662" t="str">
        <f t="shared" si="2"/>
        <v>#REF!</v>
      </c>
      <c r="C474" s="662" t="str">
        <f>IFERROR(__xludf.DUMMYFUNCTION("IF(
  REGEXMATCH(B474, ""^First\(λ - λ\) ∪ Follow\(""),
  ""Follow("" &amp; REGEXEXTRACT(B474, ""Follow\(([^)]+)\)"") &amp; "") ="",
  IF(
    OR(
      REGEXMATCH(B474, ""^First\([^&lt;]""),
      REGEXMATCH(B474, ""^First\(&lt;[^A-Za-z_]"")
    ),
    """",
    IF(
 "&amp;"     CFG!D474=""λ"",
      ""Follow("" &amp; CFG!B474 &amp; "") ="",
      ""First("" &amp; CFG!D474 &amp; "") =""
    )
  )
)
"),"#REF!")</f>
        <v>#REF!</v>
      </c>
      <c r="D474" s="663" t="str">
        <f>IFERROR(__xludf.DUMMYFUNCTION("IF(
  $C474="""",
  ""{ "" &amp;
    IF(
      REGEXMATCH(B474, ""^First\(\)""),
      "")"",
      REGEXEXTRACT(B474, ""^First\(([^ )]+)"")
    )
  &amp; "" }"",
  IF(
    REGEXMATCH($C474, ""^First\(&lt;""),
    VLOOKUP(REGEXEXTRACT($C474, ""\(([^)]+)\)""), 'First"&amp;" Set MacroA'!B:D, 3, FALSE),
    IF(
      REGEXMATCH($C474, ""^Follow\(&lt;""),
      VLOOKUP(REGEXEXTRACT($C474, ""\(([^)]+)\)""), 'Follow Set Macros'!B:D, 3, FALSE),
      ""{ "" &amp; REGEXEXTRACT($C474, ""\(([^)]+)\)"") &amp; "" }""
    )
  )
)
"),"#REF!")</f>
        <v>#REF!</v>
      </c>
      <c r="E474" s="664"/>
      <c r="F474" s="664"/>
      <c r="G474" s="664"/>
      <c r="H474" s="664"/>
      <c r="I474" s="664"/>
      <c r="J474" s="664"/>
      <c r="K474" s="664"/>
      <c r="L474" s="664"/>
      <c r="M474" s="664"/>
      <c r="N474" s="664"/>
      <c r="O474" s="664"/>
      <c r="P474" s="664"/>
      <c r="Q474" s="664"/>
      <c r="R474" s="664"/>
      <c r="S474" s="664"/>
      <c r="T474" s="664"/>
      <c r="U474" s="664"/>
      <c r="V474" s="664"/>
      <c r="W474" s="664"/>
      <c r="X474" s="664"/>
    </row>
    <row r="475">
      <c r="A475" s="661">
        <f t="shared" si="1"/>
        <v>475</v>
      </c>
      <c r="B475" s="662" t="str">
        <f t="shared" si="2"/>
        <v>#REF!</v>
      </c>
      <c r="C475" s="662" t="str">
        <f>IFERROR(__xludf.DUMMYFUNCTION("IF(
  REGEXMATCH(B475, ""^First\(λ - λ\) ∪ Follow\(""),
  ""Follow("" &amp; REGEXEXTRACT(B475, ""Follow\(([^)]+)\)"") &amp; "") ="",
  IF(
    OR(
      REGEXMATCH(B475, ""^First\([^&lt;]""),
      REGEXMATCH(B475, ""^First\(&lt;[^A-Za-z_]"")
    ),
    """",
    IF(
 "&amp;"     CFG!D475=""λ"",
      ""Follow("" &amp; CFG!B475 &amp; "") ="",
      ""First("" &amp; CFG!D475 &amp; "") =""
    )
  )
)
"),"#REF!")</f>
        <v>#REF!</v>
      </c>
      <c r="D475" s="663" t="str">
        <f>IFERROR(__xludf.DUMMYFUNCTION("IF(
  $C475="""",
  ""{ "" &amp;
    IF(
      REGEXMATCH(B475, ""^First\(\)""),
      "")"",
      REGEXEXTRACT(B475, ""^First\(([^ )]+)"")
    )
  &amp; "" }"",
  IF(
    REGEXMATCH($C475, ""^First\(&lt;""),
    VLOOKUP(REGEXEXTRACT($C475, ""\(([^)]+)\)""), 'First"&amp;" Set MacroA'!B:D, 3, FALSE),
    IF(
      REGEXMATCH($C475, ""^Follow\(&lt;""),
      VLOOKUP(REGEXEXTRACT($C475, ""\(([^)]+)\)""), 'Follow Set Macros'!B:D, 3, FALSE),
      ""{ "" &amp; REGEXEXTRACT($C475, ""\(([^)]+)\)"") &amp; "" }""
    )
  )
)
"),"#REF!")</f>
        <v>#REF!</v>
      </c>
      <c r="E475" s="664"/>
      <c r="F475" s="664"/>
      <c r="G475" s="664"/>
      <c r="H475" s="664"/>
      <c r="I475" s="664"/>
      <c r="J475" s="664"/>
      <c r="K475" s="664"/>
      <c r="L475" s="664"/>
      <c r="M475" s="664"/>
      <c r="N475" s="664"/>
      <c r="O475" s="664"/>
      <c r="P475" s="664"/>
      <c r="Q475" s="664"/>
      <c r="R475" s="664"/>
      <c r="S475" s="664"/>
      <c r="T475" s="664"/>
      <c r="U475" s="664"/>
      <c r="V475" s="664"/>
      <c r="W475" s="664"/>
      <c r="X475" s="664"/>
    </row>
    <row r="476">
      <c r="A476" s="661">
        <f t="shared" si="1"/>
        <v>476</v>
      </c>
      <c r="B476" s="662" t="str">
        <f t="shared" si="2"/>
        <v>#REF!</v>
      </c>
      <c r="C476" s="662" t="str">
        <f>IFERROR(__xludf.DUMMYFUNCTION("IF(
  REGEXMATCH(B476, ""^First\(λ - λ\) ∪ Follow\(""),
  ""Follow("" &amp; REGEXEXTRACT(B476, ""Follow\(([^)]+)\)"") &amp; "") ="",
  IF(
    OR(
      REGEXMATCH(B476, ""^First\([^&lt;]""),
      REGEXMATCH(B476, ""^First\(&lt;[^A-Za-z_]"")
    ),
    """",
    IF(
 "&amp;"     CFG!D476=""λ"",
      ""Follow("" &amp; CFG!B476 &amp; "") ="",
      ""First("" &amp; CFG!D476 &amp; "") =""
    )
  )
)
"),"#REF!")</f>
        <v>#REF!</v>
      </c>
      <c r="D476" s="663" t="str">
        <f>IFERROR(__xludf.DUMMYFUNCTION("IF(
  $C476="""",
  ""{ "" &amp;
    IF(
      REGEXMATCH(B476, ""^First\(\)""),
      "")"",
      REGEXEXTRACT(B476, ""^First\(([^ )]+)"")
    )
  &amp; "" }"",
  IF(
    REGEXMATCH($C476, ""^First\(&lt;""),
    VLOOKUP(REGEXEXTRACT($C476, ""\(([^)]+)\)""), 'First"&amp;" Set MacroA'!B:D, 3, FALSE),
    IF(
      REGEXMATCH($C476, ""^Follow\(&lt;""),
      VLOOKUP(REGEXEXTRACT($C476, ""\(([^)]+)\)""), 'Follow Set Macros'!B:D, 3, FALSE),
      ""{ "" &amp; REGEXEXTRACT($C476, ""\(([^)]+)\)"") &amp; "" }""
    )
  )
)
"),"#REF!")</f>
        <v>#REF!</v>
      </c>
      <c r="E476" s="664"/>
      <c r="F476" s="664"/>
      <c r="G476" s="664"/>
      <c r="H476" s="664"/>
      <c r="I476" s="664"/>
      <c r="J476" s="664"/>
      <c r="K476" s="664"/>
      <c r="L476" s="664"/>
      <c r="M476" s="664"/>
      <c r="N476" s="664"/>
      <c r="O476" s="664"/>
      <c r="P476" s="664"/>
      <c r="Q476" s="664"/>
      <c r="R476" s="664"/>
      <c r="S476" s="664"/>
      <c r="T476" s="664"/>
      <c r="U476" s="664"/>
      <c r="V476" s="664"/>
      <c r="W476" s="664"/>
      <c r="X476" s="664"/>
    </row>
    <row r="477">
      <c r="A477" s="661">
        <f t="shared" si="1"/>
        <v>477</v>
      </c>
      <c r="B477" s="662" t="str">
        <f t="shared" si="2"/>
        <v>#REF!</v>
      </c>
      <c r="C477" s="662" t="str">
        <f>IFERROR(__xludf.DUMMYFUNCTION("IF(
  REGEXMATCH(B477, ""^First\(λ - λ\) ∪ Follow\(""),
  ""Follow("" &amp; REGEXEXTRACT(B477, ""Follow\(([^)]+)\)"") &amp; "") ="",
  IF(
    OR(
      REGEXMATCH(B477, ""^First\([^&lt;]""),
      REGEXMATCH(B477, ""^First\(&lt;[^A-Za-z_]"")
    ),
    """",
    IF(
 "&amp;"     CFG!D477=""λ"",
      ""Follow("" &amp; CFG!B477 &amp; "") ="",
      ""First("" &amp; CFG!D477 &amp; "") =""
    )
  )
)
"),"#REF!")</f>
        <v>#REF!</v>
      </c>
      <c r="D477" s="663" t="str">
        <f>IFERROR(__xludf.DUMMYFUNCTION("IF(
  $C477="""",
  ""{ "" &amp;
    IF(
      REGEXMATCH(B477, ""^First\(\)""),
      "")"",
      REGEXEXTRACT(B477, ""^First\(([^ )]+)"")
    )
  &amp; "" }"",
  IF(
    REGEXMATCH($C477, ""^First\(&lt;""),
    VLOOKUP(REGEXEXTRACT($C477, ""\(([^)]+)\)""), 'First"&amp;" Set MacroA'!B:D, 3, FALSE),
    IF(
      REGEXMATCH($C477, ""^Follow\(&lt;""),
      VLOOKUP(REGEXEXTRACT($C477, ""\(([^)]+)\)""), 'Follow Set Macros'!B:D, 3, FALSE),
      ""{ "" &amp; REGEXEXTRACT($C477, ""\(([^)]+)\)"") &amp; "" }""
    )
  )
)
"),"#REF!")</f>
        <v>#REF!</v>
      </c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</row>
    <row r="478">
      <c r="A478" s="661">
        <f t="shared" si="1"/>
        <v>478</v>
      </c>
      <c r="B478" s="662" t="str">
        <f t="shared" si="2"/>
        <v>#REF!</v>
      </c>
      <c r="C478" s="662" t="str">
        <f>IFERROR(__xludf.DUMMYFUNCTION("IF(
  REGEXMATCH(B478, ""^First\(λ - λ\) ∪ Follow\(""),
  ""Follow("" &amp; REGEXEXTRACT(B478, ""Follow\(([^)]+)\)"") &amp; "") ="",
  IF(
    OR(
      REGEXMATCH(B478, ""^First\([^&lt;]""),
      REGEXMATCH(B478, ""^First\(&lt;[^A-Za-z_]"")
    ),
    """",
    IF(
 "&amp;"     CFG!D478=""λ"",
      ""Follow("" &amp; CFG!B478 &amp; "") ="",
      ""First("" &amp; CFG!D478 &amp; "") =""
    )
  )
)
"),"#REF!")</f>
        <v>#REF!</v>
      </c>
      <c r="D478" s="663" t="str">
        <f>IFERROR(__xludf.DUMMYFUNCTION("IF(
  $C478="""",
  ""{ "" &amp;
    IF(
      REGEXMATCH(B478, ""^First\(\)""),
      "")"",
      REGEXEXTRACT(B478, ""^First\(([^ )]+)"")
    )
  &amp; "" }"",
  IF(
    REGEXMATCH($C478, ""^First\(&lt;""),
    VLOOKUP(REGEXEXTRACT($C478, ""\(([^)]+)\)""), 'First"&amp;" Set MacroA'!B:D, 3, FALSE),
    IF(
      REGEXMATCH($C478, ""^Follow\(&lt;""),
      VLOOKUP(REGEXEXTRACT($C478, ""\(([^)]+)\)""), 'Follow Set Macros'!B:D, 3, FALSE),
      ""{ "" &amp; REGEXEXTRACT($C478, ""\(([^)]+)\)"") &amp; "" }""
    )
  )
)
"),"#REF!")</f>
        <v>#REF!</v>
      </c>
      <c r="E478" s="664"/>
      <c r="F478" s="664"/>
      <c r="G478" s="664"/>
      <c r="H478" s="664"/>
      <c r="I478" s="664"/>
      <c r="J478" s="664"/>
      <c r="K478" s="664"/>
      <c r="L478" s="664"/>
      <c r="M478" s="664"/>
      <c r="N478" s="664"/>
      <c r="O478" s="664"/>
      <c r="P478" s="664"/>
      <c r="Q478" s="664"/>
      <c r="R478" s="664"/>
      <c r="S478" s="664"/>
      <c r="T478" s="664"/>
      <c r="U478" s="664"/>
      <c r="V478" s="664"/>
      <c r="W478" s="664"/>
      <c r="X478" s="664"/>
    </row>
    <row r="479">
      <c r="A479" s="661">
        <f t="shared" si="1"/>
        <v>479</v>
      </c>
      <c r="B479" s="662" t="str">
        <f t="shared" si="2"/>
        <v>#REF!</v>
      </c>
      <c r="C479" s="662" t="str">
        <f>IFERROR(__xludf.DUMMYFUNCTION("IF(
  REGEXMATCH(B479, ""^First\(λ - λ\) ∪ Follow\(""),
  ""Follow("" &amp; REGEXEXTRACT(B479, ""Follow\(([^)]+)\)"") &amp; "") ="",
  IF(
    OR(
      REGEXMATCH(B479, ""^First\([^&lt;]""),
      REGEXMATCH(B479, ""^First\(&lt;[^A-Za-z_]"")
    ),
    """",
    IF(
 "&amp;"     CFG!D479=""λ"",
      ""Follow("" &amp; CFG!B479 &amp; "") ="",
      ""First("" &amp; CFG!D479 &amp; "") =""
    )
  )
)
"),"#REF!")</f>
        <v>#REF!</v>
      </c>
      <c r="D479" s="663" t="str">
        <f>IFERROR(__xludf.DUMMYFUNCTION("IF(
  $C479="""",
  ""{ "" &amp;
    IF(
      REGEXMATCH(B479, ""^First\(\)""),
      "")"",
      REGEXEXTRACT(B479, ""^First\(([^ )]+)"")
    )
  &amp; "" }"",
  IF(
    REGEXMATCH($C479, ""^First\(&lt;""),
    VLOOKUP(REGEXEXTRACT($C479, ""\(([^)]+)\)""), 'First"&amp;" Set MacroA'!B:D, 3, FALSE),
    IF(
      REGEXMATCH($C479, ""^Follow\(&lt;""),
      VLOOKUP(REGEXEXTRACT($C479, ""\(([^)]+)\)""), 'Follow Set Macros'!B:D, 3, FALSE),
      ""{ "" &amp; REGEXEXTRACT($C479, ""\(([^)]+)\)"") &amp; "" }""
    )
  )
)
"),"#REF!")</f>
        <v>#REF!</v>
      </c>
      <c r="E479" s="664"/>
      <c r="F479" s="664"/>
      <c r="G479" s="664"/>
      <c r="H479" s="664"/>
      <c r="I479" s="664"/>
      <c r="J479" s="664"/>
      <c r="K479" s="664"/>
      <c r="L479" s="664"/>
      <c r="M479" s="664"/>
      <c r="N479" s="664"/>
      <c r="O479" s="664"/>
      <c r="P479" s="664"/>
      <c r="Q479" s="664"/>
      <c r="R479" s="664"/>
      <c r="S479" s="664"/>
      <c r="T479" s="664"/>
      <c r="U479" s="664"/>
      <c r="V479" s="664"/>
      <c r="W479" s="664"/>
      <c r="X479" s="664"/>
    </row>
    <row r="480">
      <c r="A480" s="661">
        <f t="shared" si="1"/>
        <v>480</v>
      </c>
      <c r="B480" s="662" t="str">
        <f t="shared" si="2"/>
        <v>#REF!</v>
      </c>
      <c r="C480" s="662" t="str">
        <f>IFERROR(__xludf.DUMMYFUNCTION("IF(
  REGEXMATCH(B480, ""^First\(λ - λ\) ∪ Follow\(""),
  ""Follow("" &amp; REGEXEXTRACT(B480, ""Follow\(([^)]+)\)"") &amp; "") ="",
  IF(
    OR(
      REGEXMATCH(B480, ""^First\([^&lt;]""),
      REGEXMATCH(B480, ""^First\(&lt;[^A-Za-z_]"")
    ),
    """",
    IF(
 "&amp;"     CFG!D480=""λ"",
      ""Follow("" &amp; CFG!B480 &amp; "") ="",
      ""First("" &amp; CFG!D480 &amp; "") =""
    )
  )
)
"),"#REF!")</f>
        <v>#REF!</v>
      </c>
      <c r="D480" s="663" t="str">
        <f>IFERROR(__xludf.DUMMYFUNCTION("IF(
  $C480="""",
  ""{ "" &amp;
    IF(
      REGEXMATCH(B480, ""^First\(\)""),
      "")"",
      REGEXEXTRACT(B480, ""^First\(([^ )]+)"")
    )
  &amp; "" }"",
  IF(
    REGEXMATCH($C480, ""^First\(&lt;""),
    VLOOKUP(REGEXEXTRACT($C480, ""\(([^)]+)\)""), 'First"&amp;" Set MacroA'!B:D, 3, FALSE),
    IF(
      REGEXMATCH($C480, ""^Follow\(&lt;""),
      VLOOKUP(REGEXEXTRACT($C480, ""\(([^)]+)\)""), 'Follow Set Macros'!B:D, 3, FALSE),
      ""{ "" &amp; REGEXEXTRACT($C480, ""\(([^)]+)\)"") &amp; "" }""
    )
  )
)
"),"#REF!")</f>
        <v>#REF!</v>
      </c>
      <c r="E480" s="664"/>
      <c r="F480" s="664"/>
      <c r="G480" s="664"/>
      <c r="H480" s="664"/>
      <c r="I480" s="664"/>
      <c r="J480" s="664"/>
      <c r="K480" s="664"/>
      <c r="L480" s="664"/>
      <c r="M480" s="664"/>
      <c r="N480" s="664"/>
      <c r="O480" s="664"/>
      <c r="P480" s="664"/>
      <c r="Q480" s="664"/>
      <c r="R480" s="664"/>
      <c r="S480" s="664"/>
      <c r="T480" s="664"/>
      <c r="U480" s="664"/>
      <c r="V480" s="664"/>
      <c r="W480" s="664"/>
      <c r="X480" s="664"/>
    </row>
    <row r="481">
      <c r="A481" s="661">
        <f t="shared" si="1"/>
        <v>481</v>
      </c>
      <c r="B481" s="662" t="str">
        <f t="shared" si="2"/>
        <v>#REF!</v>
      </c>
      <c r="C481" s="662" t="str">
        <f>IFERROR(__xludf.DUMMYFUNCTION("IF(
  REGEXMATCH(B481, ""^First\(λ - λ\) ∪ Follow\(""),
  ""Follow("" &amp; REGEXEXTRACT(B481, ""Follow\(([^)]+)\)"") &amp; "") ="",
  IF(
    OR(
      REGEXMATCH(B481, ""^First\([^&lt;]""),
      REGEXMATCH(B481, ""^First\(&lt;[^A-Za-z_]"")
    ),
    """",
    IF(
 "&amp;"     CFG!D481=""λ"",
      ""Follow("" &amp; CFG!B481 &amp; "") ="",
      ""First("" &amp; CFG!D481 &amp; "") =""
    )
  )
)
"),"#REF!")</f>
        <v>#REF!</v>
      </c>
      <c r="D481" s="663" t="str">
        <f>IFERROR(__xludf.DUMMYFUNCTION("IF(
  $C481="""",
  ""{ "" &amp;
    IF(
      REGEXMATCH(B481, ""^First\(\)""),
      "")"",
      REGEXEXTRACT(B481, ""^First\(([^ )]+)"")
    )
  &amp; "" }"",
  IF(
    REGEXMATCH($C481, ""^First\(&lt;""),
    VLOOKUP(REGEXEXTRACT($C481, ""\(([^)]+)\)""), 'First"&amp;" Set MacroA'!B:D, 3, FALSE),
    IF(
      REGEXMATCH($C481, ""^Follow\(&lt;""),
      VLOOKUP(REGEXEXTRACT($C481, ""\(([^)]+)\)""), 'Follow Set Macros'!B:D, 3, FALSE),
      ""{ "" &amp; REGEXEXTRACT($C481, ""\(([^)]+)\)"") &amp; "" }""
    )
  )
)
"),"#REF!")</f>
        <v>#REF!</v>
      </c>
      <c r="E481" s="664"/>
      <c r="F481" s="664"/>
      <c r="G481" s="664"/>
      <c r="H481" s="664"/>
      <c r="I481" s="664"/>
      <c r="J481" s="664"/>
      <c r="K481" s="664"/>
      <c r="L481" s="664"/>
      <c r="M481" s="664"/>
      <c r="N481" s="664"/>
      <c r="O481" s="664"/>
      <c r="P481" s="664"/>
      <c r="Q481" s="664"/>
      <c r="R481" s="664"/>
      <c r="S481" s="664"/>
      <c r="T481" s="664"/>
      <c r="U481" s="664"/>
      <c r="V481" s="664"/>
      <c r="W481" s="664"/>
      <c r="X481" s="664"/>
    </row>
    <row r="482">
      <c r="A482" s="661">
        <f t="shared" si="1"/>
        <v>482</v>
      </c>
      <c r="B482" s="662" t="str">
        <f t="shared" si="2"/>
        <v>#REF!</v>
      </c>
      <c r="C482" s="662" t="str">
        <f>IFERROR(__xludf.DUMMYFUNCTION("IF(
  REGEXMATCH(B482, ""^First\(λ - λ\) ∪ Follow\(""),
  ""Follow("" &amp; REGEXEXTRACT(B482, ""Follow\(([^)]+)\)"") &amp; "") ="",
  IF(
    OR(
      REGEXMATCH(B482, ""^First\([^&lt;]""),
      REGEXMATCH(B482, ""^First\(&lt;[^A-Za-z_]"")
    ),
    """",
    IF(
 "&amp;"     CFG!D482=""λ"",
      ""Follow("" &amp; CFG!B482 &amp; "") ="",
      ""First("" &amp; CFG!D482 &amp; "") =""
    )
  )
)
"),"#REF!")</f>
        <v>#REF!</v>
      </c>
      <c r="D482" s="663" t="str">
        <f>IFERROR(__xludf.DUMMYFUNCTION("IF(
  $C482="""",
  ""{ "" &amp;
    IF(
      REGEXMATCH(B482, ""^First\(\)""),
      "")"",
      REGEXEXTRACT(B482, ""^First\(([^ )]+)"")
    )
  &amp; "" }"",
  IF(
    REGEXMATCH($C482, ""^First\(&lt;""),
    VLOOKUP(REGEXEXTRACT($C482, ""\(([^)]+)\)""), 'First"&amp;" Set MacroA'!B:D, 3, FALSE),
    IF(
      REGEXMATCH($C482, ""^Follow\(&lt;""),
      VLOOKUP(REGEXEXTRACT($C482, ""\(([^)]+)\)""), 'Follow Set Macros'!B:D, 3, FALSE),
      ""{ "" &amp; REGEXEXTRACT($C482, ""\(([^)]+)\)"") &amp; "" }""
    )
  )
)
"),"#REF!")</f>
        <v>#REF!</v>
      </c>
      <c r="E482" s="664"/>
      <c r="F482" s="664"/>
      <c r="G482" s="664"/>
      <c r="H482" s="664"/>
      <c r="I482" s="664"/>
      <c r="J482" s="664"/>
      <c r="K482" s="664"/>
      <c r="L482" s="664"/>
      <c r="M482" s="664"/>
      <c r="N482" s="664"/>
      <c r="O482" s="664"/>
      <c r="P482" s="664"/>
      <c r="Q482" s="664"/>
      <c r="R482" s="664"/>
      <c r="S482" s="664"/>
      <c r="T482" s="664"/>
      <c r="U482" s="664"/>
      <c r="V482" s="664"/>
      <c r="W482" s="664"/>
      <c r="X482" s="664"/>
    </row>
    <row r="483">
      <c r="A483" s="661">
        <f t="shared" si="1"/>
        <v>483</v>
      </c>
      <c r="B483" s="662" t="str">
        <f t="shared" si="2"/>
        <v>#REF!</v>
      </c>
      <c r="C483" s="662" t="str">
        <f>IFERROR(__xludf.DUMMYFUNCTION("IF(
  REGEXMATCH(B483, ""^First\(λ - λ\) ∪ Follow\(""),
  ""Follow("" &amp; REGEXEXTRACT(B483, ""Follow\(([^)]+)\)"") &amp; "") ="",
  IF(
    OR(
      REGEXMATCH(B483, ""^First\([^&lt;]""),
      REGEXMATCH(B483, ""^First\(&lt;[^A-Za-z_]"")
    ),
    """",
    IF(
 "&amp;"     CFG!D483=""λ"",
      ""Follow("" &amp; CFG!B483 &amp; "") ="",
      ""First("" &amp; CFG!D483 &amp; "") =""
    )
  )
)
"),"#REF!")</f>
        <v>#REF!</v>
      </c>
      <c r="D483" s="663" t="str">
        <f>IFERROR(__xludf.DUMMYFUNCTION("IF(
  $C483="""",
  ""{ "" &amp;
    IF(
      REGEXMATCH(B483, ""^First\(\)""),
      "")"",
      REGEXEXTRACT(B483, ""^First\(([^ )]+)"")
    )
  &amp; "" }"",
  IF(
    REGEXMATCH($C483, ""^First\(&lt;""),
    VLOOKUP(REGEXEXTRACT($C483, ""\(([^)]+)\)""), 'First"&amp;" Set MacroA'!B:D, 3, FALSE),
    IF(
      REGEXMATCH($C483, ""^Follow\(&lt;""),
      VLOOKUP(REGEXEXTRACT($C483, ""\(([^)]+)\)""), 'Follow Set Macros'!B:D, 3, FALSE),
      ""{ "" &amp; REGEXEXTRACT($C483, ""\(([^)]+)\)"") &amp; "" }""
    )
  )
)
"),"#REF!")</f>
        <v>#REF!</v>
      </c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</row>
    <row r="484">
      <c r="A484" s="661">
        <f t="shared" si="1"/>
        <v>484</v>
      </c>
      <c r="B484" s="662" t="str">
        <f t="shared" si="2"/>
        <v>#REF!</v>
      </c>
      <c r="C484" s="662" t="str">
        <f>IFERROR(__xludf.DUMMYFUNCTION("IF(
  REGEXMATCH(B484, ""^First\(λ - λ\) ∪ Follow\(""),
  ""Follow("" &amp; REGEXEXTRACT(B484, ""Follow\(([^)]+)\)"") &amp; "") ="",
  IF(
    OR(
      REGEXMATCH(B484, ""^First\([^&lt;]""),
      REGEXMATCH(B484, ""^First\(&lt;[^A-Za-z_]"")
    ),
    """",
    IF(
 "&amp;"     CFG!D484=""λ"",
      ""Follow("" &amp; CFG!B484 &amp; "") ="",
      ""First("" &amp; CFG!D484 &amp; "") =""
    )
  )
)
"),"#REF!")</f>
        <v>#REF!</v>
      </c>
      <c r="D484" s="663" t="str">
        <f>IFERROR(__xludf.DUMMYFUNCTION("IF(
  $C484="""",
  ""{ "" &amp;
    IF(
      REGEXMATCH(B484, ""^First\(\)""),
      "")"",
      REGEXEXTRACT(B484, ""^First\(([^ )]+)"")
    )
  &amp; "" }"",
  IF(
    REGEXMATCH($C484, ""^First\(&lt;""),
    VLOOKUP(REGEXEXTRACT($C484, ""\(([^)]+)\)""), 'First"&amp;" Set MacroA'!B:D, 3, FALSE),
    IF(
      REGEXMATCH($C484, ""^Follow\(&lt;""),
      VLOOKUP(REGEXEXTRACT($C484, ""\(([^)]+)\)""), 'Follow Set Macros'!B:D, 3, FALSE),
      ""{ "" &amp; REGEXEXTRACT($C484, ""\(([^)]+)\)"") &amp; "" }""
    )
  )
)
"),"#REF!")</f>
        <v>#REF!</v>
      </c>
      <c r="E484" s="664"/>
      <c r="F484" s="664"/>
      <c r="G484" s="664"/>
      <c r="H484" s="664"/>
      <c r="I484" s="664"/>
      <c r="J484" s="664"/>
      <c r="K484" s="664"/>
      <c r="L484" s="664"/>
      <c r="M484" s="664"/>
      <c r="N484" s="664"/>
      <c r="O484" s="664"/>
      <c r="P484" s="664"/>
      <c r="Q484" s="664"/>
      <c r="R484" s="664"/>
      <c r="S484" s="664"/>
      <c r="T484" s="664"/>
      <c r="U484" s="664"/>
      <c r="V484" s="664"/>
      <c r="W484" s="664"/>
      <c r="X484" s="664"/>
    </row>
    <row r="485">
      <c r="A485" s="661">
        <f t="shared" si="1"/>
        <v>485</v>
      </c>
      <c r="B485" s="662" t="str">
        <f t="shared" si="2"/>
        <v>#REF!</v>
      </c>
      <c r="C485" s="662" t="str">
        <f>IFERROR(__xludf.DUMMYFUNCTION("IF(
  REGEXMATCH(B485, ""^First\(λ - λ\) ∪ Follow\(""),
  ""Follow("" &amp; REGEXEXTRACT(B485, ""Follow\(([^)]+)\)"") &amp; "") ="",
  IF(
    OR(
      REGEXMATCH(B485, ""^First\([^&lt;]""),
      REGEXMATCH(B485, ""^First\(&lt;[^A-Za-z_]"")
    ),
    """",
    IF(
 "&amp;"     CFG!D485=""λ"",
      ""Follow("" &amp; CFG!B485 &amp; "") ="",
      ""First("" &amp; CFG!D485 &amp; "") =""
    )
  )
)
"),"#REF!")</f>
        <v>#REF!</v>
      </c>
      <c r="D485" s="663" t="str">
        <f>IFERROR(__xludf.DUMMYFUNCTION("IF(
  $C485="""",
  ""{ "" &amp;
    IF(
      REGEXMATCH(B485, ""^First\(\)""),
      "")"",
      REGEXEXTRACT(B485, ""^First\(([^ )]+)"")
    )
  &amp; "" }"",
  IF(
    REGEXMATCH($C485, ""^First\(&lt;""),
    VLOOKUP(REGEXEXTRACT($C485, ""\(([^)]+)\)""), 'First"&amp;" Set MacroA'!B:D, 3, FALSE),
    IF(
      REGEXMATCH($C485, ""^Follow\(&lt;""),
      VLOOKUP(REGEXEXTRACT($C485, ""\(([^)]+)\)""), 'Follow Set Macros'!B:D, 3, FALSE),
      ""{ "" &amp; REGEXEXTRACT($C485, ""\(([^)]+)\)"") &amp; "" }""
    )
  )
)
"),"#REF!")</f>
        <v>#REF!</v>
      </c>
      <c r="E485" s="664"/>
      <c r="F485" s="664"/>
      <c r="G485" s="664"/>
      <c r="H485" s="664"/>
      <c r="I485" s="664"/>
      <c r="J485" s="664"/>
      <c r="K485" s="664"/>
      <c r="L485" s="664"/>
      <c r="M485" s="664"/>
      <c r="N485" s="664"/>
      <c r="O485" s="664"/>
      <c r="P485" s="664"/>
      <c r="Q485" s="664"/>
      <c r="R485" s="664"/>
      <c r="S485" s="664"/>
      <c r="T485" s="664"/>
      <c r="U485" s="664"/>
      <c r="V485" s="664"/>
      <c r="W485" s="664"/>
      <c r="X485" s="664"/>
    </row>
    <row r="486">
      <c r="A486" s="661">
        <f t="shared" si="1"/>
        <v>486</v>
      </c>
      <c r="B486" s="662" t="str">
        <f t="shared" si="2"/>
        <v>#REF!</v>
      </c>
      <c r="C486" s="662" t="str">
        <f>IFERROR(__xludf.DUMMYFUNCTION("IF(
  REGEXMATCH(B486, ""^First\(λ - λ\) ∪ Follow\(""),
  ""Follow("" &amp; REGEXEXTRACT(B486, ""Follow\(([^)]+)\)"") &amp; "") ="",
  IF(
    OR(
      REGEXMATCH(B486, ""^First\([^&lt;]""),
      REGEXMATCH(B486, ""^First\(&lt;[^A-Za-z_]"")
    ),
    """",
    IF(
 "&amp;"     CFG!D486=""λ"",
      ""Follow("" &amp; CFG!B486 &amp; "") ="",
      ""First("" &amp; CFG!D486 &amp; "") =""
    )
  )
)
"),"#REF!")</f>
        <v>#REF!</v>
      </c>
      <c r="D486" s="663" t="str">
        <f>IFERROR(__xludf.DUMMYFUNCTION("IF(
  $C486="""",
  ""{ "" &amp;
    IF(
      REGEXMATCH(B486, ""^First\(\)""),
      "")"",
      REGEXEXTRACT(B486, ""^First\(([^ )]+)"")
    )
  &amp; "" }"",
  IF(
    REGEXMATCH($C486, ""^First\(&lt;""),
    VLOOKUP(REGEXEXTRACT($C486, ""\(([^)]+)\)""), 'First"&amp;" Set MacroA'!B:D, 3, FALSE),
    IF(
      REGEXMATCH($C486, ""^Follow\(&lt;""),
      VLOOKUP(REGEXEXTRACT($C486, ""\(([^)]+)\)""), 'Follow Set Macros'!B:D, 3, FALSE),
      ""{ "" &amp; REGEXEXTRACT($C486, ""\(([^)]+)\)"") &amp; "" }""
    )
  )
)
"),"#REF!")</f>
        <v>#REF!</v>
      </c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</row>
    <row r="487">
      <c r="A487" s="661">
        <f t="shared" si="1"/>
        <v>487</v>
      </c>
      <c r="B487" s="662" t="str">
        <f t="shared" si="2"/>
        <v>#REF!</v>
      </c>
      <c r="C487" s="662" t="str">
        <f>IFERROR(__xludf.DUMMYFUNCTION("IF(
  REGEXMATCH(B487, ""^First\(λ - λ\) ∪ Follow\(""),
  ""Follow("" &amp; REGEXEXTRACT(B487, ""Follow\(([^)]+)\)"") &amp; "") ="",
  IF(
    OR(
      REGEXMATCH(B487, ""^First\([^&lt;]""),
      REGEXMATCH(B487, ""^First\(&lt;[^A-Za-z_]"")
    ),
    """",
    IF(
 "&amp;"     CFG!D487=""λ"",
      ""Follow("" &amp; CFG!B487 &amp; "") ="",
      ""First("" &amp; CFG!D487 &amp; "") =""
    )
  )
)
"),"#REF!")</f>
        <v>#REF!</v>
      </c>
      <c r="D487" s="663" t="str">
        <f>IFERROR(__xludf.DUMMYFUNCTION("IF(
  $C487="""",
  ""{ "" &amp;
    IF(
      REGEXMATCH(B487, ""^First\(\)""),
      "")"",
      REGEXEXTRACT(B487, ""^First\(([^ )]+)"")
    )
  &amp; "" }"",
  IF(
    REGEXMATCH($C487, ""^First\(&lt;""),
    VLOOKUP(REGEXEXTRACT($C487, ""\(([^)]+)\)""), 'First"&amp;" Set MacroA'!B:D, 3, FALSE),
    IF(
      REGEXMATCH($C487, ""^Follow\(&lt;""),
      VLOOKUP(REGEXEXTRACT($C487, ""\(([^)]+)\)""), 'Follow Set Macros'!B:D, 3, FALSE),
      ""{ "" &amp; REGEXEXTRACT($C487, ""\(([^)]+)\)"") &amp; "" }""
    )
  )
)
"),"#REF!")</f>
        <v>#REF!</v>
      </c>
      <c r="E487" s="664"/>
      <c r="F487" s="664"/>
      <c r="G487" s="664"/>
      <c r="H487" s="664"/>
      <c r="I487" s="664"/>
      <c r="J487" s="664"/>
      <c r="K487" s="664"/>
      <c r="L487" s="664"/>
      <c r="M487" s="664"/>
      <c r="N487" s="664"/>
      <c r="O487" s="664"/>
      <c r="P487" s="664"/>
      <c r="Q487" s="664"/>
      <c r="R487" s="664"/>
      <c r="S487" s="664"/>
      <c r="T487" s="664"/>
      <c r="U487" s="664"/>
      <c r="V487" s="664"/>
      <c r="W487" s="664"/>
      <c r="X487" s="664"/>
    </row>
    <row r="488">
      <c r="A488" s="661">
        <f t="shared" si="1"/>
        <v>488</v>
      </c>
      <c r="B488" s="662" t="str">
        <f t="shared" si="2"/>
        <v>#REF!</v>
      </c>
      <c r="C488" s="662" t="str">
        <f>IFERROR(__xludf.DUMMYFUNCTION("IF(
  REGEXMATCH(B488, ""^First\(λ - λ\) ∪ Follow\(""),
  ""Follow("" &amp; REGEXEXTRACT(B488, ""Follow\(([^)]+)\)"") &amp; "") ="",
  IF(
    OR(
      REGEXMATCH(B488, ""^First\([^&lt;]""),
      REGEXMATCH(B488, ""^First\(&lt;[^A-Za-z_]"")
    ),
    """",
    IF(
 "&amp;"     CFG!D488=""λ"",
      ""Follow("" &amp; CFG!B488 &amp; "") ="",
      ""First("" &amp; CFG!D488 &amp; "") =""
    )
  )
)
"),"#REF!")</f>
        <v>#REF!</v>
      </c>
      <c r="D488" s="663" t="str">
        <f>IFERROR(__xludf.DUMMYFUNCTION("IF(
  $C488="""",
  ""{ "" &amp;
    IF(
      REGEXMATCH(B488, ""^First\(\)""),
      "")"",
      REGEXEXTRACT(B488, ""^First\(([^ )]+)"")
    )
  &amp; "" }"",
  IF(
    REGEXMATCH($C488, ""^First\(&lt;""),
    VLOOKUP(REGEXEXTRACT($C488, ""\(([^)]+)\)""), 'First"&amp;" Set MacroA'!B:D, 3, FALSE),
    IF(
      REGEXMATCH($C488, ""^Follow\(&lt;""),
      VLOOKUP(REGEXEXTRACT($C488, ""\(([^)]+)\)""), 'Follow Set Macros'!B:D, 3, FALSE),
      ""{ "" &amp; REGEXEXTRACT($C488, ""\(([^)]+)\)"") &amp; "" }""
    )
  )
)
"),"#REF!")</f>
        <v>#REF!</v>
      </c>
      <c r="E488" s="664"/>
      <c r="F488" s="664"/>
      <c r="G488" s="664"/>
      <c r="H488" s="664"/>
      <c r="I488" s="664"/>
      <c r="J488" s="664"/>
      <c r="K488" s="664"/>
      <c r="L488" s="664"/>
      <c r="M488" s="664"/>
      <c r="N488" s="664"/>
      <c r="O488" s="664"/>
      <c r="P488" s="664"/>
      <c r="Q488" s="664"/>
      <c r="R488" s="664"/>
      <c r="S488" s="664"/>
      <c r="T488" s="664"/>
      <c r="U488" s="664"/>
      <c r="V488" s="664"/>
      <c r="W488" s="664"/>
      <c r="X488" s="664"/>
    </row>
    <row r="489">
      <c r="A489" s="661">
        <f t="shared" si="1"/>
        <v>489</v>
      </c>
      <c r="B489" s="662" t="str">
        <f t="shared" si="2"/>
        <v>#REF!</v>
      </c>
      <c r="C489" s="662" t="str">
        <f>IFERROR(__xludf.DUMMYFUNCTION("IF(
  REGEXMATCH(B489, ""^First\(λ - λ\) ∪ Follow\(""),
  ""Follow("" &amp; REGEXEXTRACT(B489, ""Follow\(([^)]+)\)"") &amp; "") ="",
  IF(
    OR(
      REGEXMATCH(B489, ""^First\([^&lt;]""),
      REGEXMATCH(B489, ""^First\(&lt;[^A-Za-z_]"")
    ),
    """",
    IF(
 "&amp;"     CFG!D489=""λ"",
      ""Follow("" &amp; CFG!B489 &amp; "") ="",
      ""First("" &amp; CFG!D489 &amp; "") =""
    )
  )
)
"),"#REF!")</f>
        <v>#REF!</v>
      </c>
      <c r="D489" s="663" t="str">
        <f>IFERROR(__xludf.DUMMYFUNCTION("IF(
  $C489="""",
  ""{ "" &amp;
    IF(
      REGEXMATCH(B489, ""^First\(\)""),
      "")"",
      REGEXEXTRACT(B489, ""^First\(([^ )]+)"")
    )
  &amp; "" }"",
  IF(
    REGEXMATCH($C489, ""^First\(&lt;""),
    VLOOKUP(REGEXEXTRACT($C489, ""\(([^)]+)\)""), 'First"&amp;" Set MacroA'!B:D, 3, FALSE),
    IF(
      REGEXMATCH($C489, ""^Follow\(&lt;""),
      VLOOKUP(REGEXEXTRACT($C489, ""\(([^)]+)\)""), 'Follow Set Macros'!B:D, 3, FALSE),
      ""{ "" &amp; REGEXEXTRACT($C489, ""\(([^)]+)\)"") &amp; "" }""
    )
  )
)
"),"#REF!")</f>
        <v>#REF!</v>
      </c>
      <c r="E489" s="664"/>
      <c r="F489" s="664"/>
      <c r="G489" s="664"/>
      <c r="H489" s="664"/>
      <c r="I489" s="664"/>
      <c r="J489" s="664"/>
      <c r="K489" s="664"/>
      <c r="L489" s="664"/>
      <c r="M489" s="664"/>
      <c r="N489" s="664"/>
      <c r="O489" s="664"/>
      <c r="P489" s="664"/>
      <c r="Q489" s="664"/>
      <c r="R489" s="664"/>
      <c r="S489" s="664"/>
      <c r="T489" s="664"/>
      <c r="U489" s="664"/>
      <c r="V489" s="664"/>
      <c r="W489" s="664"/>
      <c r="X489" s="664"/>
    </row>
    <row r="490">
      <c r="A490" s="661">
        <f t="shared" si="1"/>
        <v>490</v>
      </c>
      <c r="B490" s="662" t="str">
        <f t="shared" si="2"/>
        <v>#REF!</v>
      </c>
      <c r="C490" s="662" t="str">
        <f>IFERROR(__xludf.DUMMYFUNCTION("IF(
  REGEXMATCH(B490, ""^First\(λ - λ\) ∪ Follow\(""),
  ""Follow("" &amp; REGEXEXTRACT(B490, ""Follow\(([^)]+)\)"") &amp; "") ="",
  IF(
    OR(
      REGEXMATCH(B490, ""^First\([^&lt;]""),
      REGEXMATCH(B490, ""^First\(&lt;[^A-Za-z_]"")
    ),
    """",
    IF(
 "&amp;"     CFG!D490=""λ"",
      ""Follow("" &amp; CFG!B490 &amp; "") ="",
      ""First("" &amp; CFG!D490 &amp; "") =""
    )
  )
)
"),"#REF!")</f>
        <v>#REF!</v>
      </c>
      <c r="D490" s="663" t="str">
        <f>IFERROR(__xludf.DUMMYFUNCTION("IF(
  $C490="""",
  ""{ "" &amp;
    IF(
      REGEXMATCH(B490, ""^First\(\)""),
      "")"",
      REGEXEXTRACT(B490, ""^First\(([^ )]+)"")
    )
  &amp; "" }"",
  IF(
    REGEXMATCH($C490, ""^First\(&lt;""),
    VLOOKUP(REGEXEXTRACT($C490, ""\(([^)]+)\)""), 'First"&amp;" Set MacroA'!B:D, 3, FALSE),
    IF(
      REGEXMATCH($C490, ""^Follow\(&lt;""),
      VLOOKUP(REGEXEXTRACT($C490, ""\(([^)]+)\)""), 'Follow Set Macros'!B:D, 3, FALSE),
      ""{ "" &amp; REGEXEXTRACT($C490, ""\(([^)]+)\)"") &amp; "" }""
    )
  )
)
"),"#REF!")</f>
        <v>#REF!</v>
      </c>
      <c r="E490" s="664"/>
      <c r="F490" s="664"/>
      <c r="G490" s="664"/>
      <c r="H490" s="664"/>
      <c r="I490" s="664"/>
      <c r="J490" s="664"/>
      <c r="K490" s="664"/>
      <c r="L490" s="664"/>
      <c r="M490" s="664"/>
      <c r="N490" s="664"/>
      <c r="O490" s="664"/>
      <c r="P490" s="664"/>
      <c r="Q490" s="664"/>
      <c r="R490" s="664"/>
      <c r="S490" s="664"/>
      <c r="T490" s="664"/>
      <c r="U490" s="664"/>
      <c r="V490" s="664"/>
      <c r="W490" s="664"/>
      <c r="X490" s="664"/>
    </row>
    <row r="491">
      <c r="A491" s="661">
        <f t="shared" si="1"/>
        <v>491</v>
      </c>
      <c r="B491" s="662" t="str">
        <f t="shared" si="2"/>
        <v>#REF!</v>
      </c>
      <c r="C491" s="662" t="str">
        <f>IFERROR(__xludf.DUMMYFUNCTION("IF(
  REGEXMATCH(B491, ""^First\(λ - λ\) ∪ Follow\(""),
  ""Follow("" &amp; REGEXEXTRACT(B491, ""Follow\(([^)]+)\)"") &amp; "") ="",
  IF(
    OR(
      REGEXMATCH(B491, ""^First\([^&lt;]""),
      REGEXMATCH(B491, ""^First\(&lt;[^A-Za-z_]"")
    ),
    """",
    IF(
 "&amp;"     CFG!D491=""λ"",
      ""Follow("" &amp; CFG!B491 &amp; "") ="",
      ""First("" &amp; CFG!D491 &amp; "") =""
    )
  )
)
"),"#REF!")</f>
        <v>#REF!</v>
      </c>
      <c r="D491" s="663" t="str">
        <f>IFERROR(__xludf.DUMMYFUNCTION("IF(
  $C491="""",
  ""{ "" &amp;
    IF(
      REGEXMATCH(B491, ""^First\(\)""),
      "")"",
      REGEXEXTRACT(B491, ""^First\(([^ )]+)"")
    )
  &amp; "" }"",
  IF(
    REGEXMATCH($C491, ""^First\(&lt;""),
    VLOOKUP(REGEXEXTRACT($C491, ""\(([^)]+)\)""), 'First"&amp;" Set MacroA'!B:D, 3, FALSE),
    IF(
      REGEXMATCH($C491, ""^Follow\(&lt;""),
      VLOOKUP(REGEXEXTRACT($C491, ""\(([^)]+)\)""), 'Follow Set Macros'!B:D, 3, FALSE),
      ""{ "" &amp; REGEXEXTRACT($C491, ""\(([^)]+)\)"") &amp; "" }""
    )
  )
)
"),"#REF!")</f>
        <v>#REF!</v>
      </c>
      <c r="E491" s="664"/>
      <c r="F491" s="664"/>
      <c r="G491" s="664"/>
      <c r="H491" s="664"/>
      <c r="I491" s="664"/>
      <c r="J491" s="664"/>
      <c r="K491" s="664"/>
      <c r="L491" s="664"/>
      <c r="M491" s="664"/>
      <c r="N491" s="664"/>
      <c r="O491" s="664"/>
      <c r="P491" s="664"/>
      <c r="Q491" s="664"/>
      <c r="R491" s="664"/>
      <c r="S491" s="664"/>
      <c r="T491" s="664"/>
      <c r="U491" s="664"/>
      <c r="V491" s="664"/>
      <c r="W491" s="664"/>
      <c r="X491" s="664"/>
    </row>
    <row r="492">
      <c r="A492" s="661">
        <f t="shared" si="1"/>
        <v>492</v>
      </c>
      <c r="B492" s="662" t="str">
        <f t="shared" si="2"/>
        <v>#REF!</v>
      </c>
      <c r="C492" s="662" t="str">
        <f>IFERROR(__xludf.DUMMYFUNCTION("IF(
  REGEXMATCH(B492, ""^First\(λ - λ\) ∪ Follow\(""),
  ""Follow("" &amp; REGEXEXTRACT(B492, ""Follow\(([^)]+)\)"") &amp; "") ="",
  IF(
    OR(
      REGEXMATCH(B492, ""^First\([^&lt;]""),
      REGEXMATCH(B492, ""^First\(&lt;[^A-Za-z_]"")
    ),
    """",
    IF(
 "&amp;"     CFG!D492=""λ"",
      ""Follow("" &amp; CFG!B492 &amp; "") ="",
      ""First("" &amp; CFG!D492 &amp; "") =""
    )
  )
)
"),"#REF!")</f>
        <v>#REF!</v>
      </c>
      <c r="D492" s="663" t="str">
        <f>IFERROR(__xludf.DUMMYFUNCTION("IF(
  $C492="""",
  ""{ "" &amp;
    IF(
      REGEXMATCH(B492, ""^First\(\)""),
      "")"",
      REGEXEXTRACT(B492, ""^First\(([^ )]+)"")
    )
  &amp; "" }"",
  IF(
    REGEXMATCH($C492, ""^First\(&lt;""),
    VLOOKUP(REGEXEXTRACT($C492, ""\(([^)]+)\)""), 'First"&amp;" Set MacroA'!B:D, 3, FALSE),
    IF(
      REGEXMATCH($C492, ""^Follow\(&lt;""),
      VLOOKUP(REGEXEXTRACT($C492, ""\(([^)]+)\)""), 'Follow Set Macros'!B:D, 3, FALSE),
      ""{ "" &amp; REGEXEXTRACT($C492, ""\(([^)]+)\)"") &amp; "" }""
    )
  )
)
"),"#REF!")</f>
        <v>#REF!</v>
      </c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</row>
    <row r="493">
      <c r="A493" s="661">
        <f t="shared" si="1"/>
        <v>493</v>
      </c>
      <c r="B493" s="662" t="str">
        <f t="shared" si="2"/>
        <v>#REF!</v>
      </c>
      <c r="C493" s="662" t="str">
        <f>IFERROR(__xludf.DUMMYFUNCTION("IF(
  REGEXMATCH(B493, ""^First\(λ - λ\) ∪ Follow\(""),
  ""Follow("" &amp; REGEXEXTRACT(B493, ""Follow\(([^)]+)\)"") &amp; "") ="",
  IF(
    OR(
      REGEXMATCH(B493, ""^First\([^&lt;]""),
      REGEXMATCH(B493, ""^First\(&lt;[^A-Za-z_]"")
    ),
    """",
    IF(
 "&amp;"     CFG!D493=""λ"",
      ""Follow("" &amp; CFG!B493 &amp; "") ="",
      ""First("" &amp; CFG!D493 &amp; "") =""
    )
  )
)
"),"#REF!")</f>
        <v>#REF!</v>
      </c>
      <c r="D493" s="663" t="str">
        <f>IFERROR(__xludf.DUMMYFUNCTION("IF(
  $C493="""",
  ""{ "" &amp;
    IF(
      REGEXMATCH(B493, ""^First\(\)""),
      "")"",
      REGEXEXTRACT(B493, ""^First\(([^ )]+)"")
    )
  &amp; "" }"",
  IF(
    REGEXMATCH($C493, ""^First\(&lt;""),
    VLOOKUP(REGEXEXTRACT($C493, ""\(([^)]+)\)""), 'First"&amp;" Set MacroA'!B:D, 3, FALSE),
    IF(
      REGEXMATCH($C493, ""^Follow\(&lt;""),
      VLOOKUP(REGEXEXTRACT($C493, ""\(([^)]+)\)""), 'Follow Set Macros'!B:D, 3, FALSE),
      ""{ "" &amp; REGEXEXTRACT($C493, ""\(([^)]+)\)"") &amp; "" }""
    )
  )
)
"),"#REF!")</f>
        <v>#REF!</v>
      </c>
      <c r="E493" s="664"/>
      <c r="F493" s="664"/>
      <c r="G493" s="664"/>
      <c r="H493" s="664"/>
      <c r="I493" s="664"/>
      <c r="J493" s="664"/>
      <c r="K493" s="664"/>
      <c r="L493" s="664"/>
      <c r="M493" s="664"/>
      <c r="N493" s="664"/>
      <c r="O493" s="664"/>
      <c r="P493" s="664"/>
      <c r="Q493" s="664"/>
      <c r="R493" s="664"/>
      <c r="S493" s="664"/>
      <c r="T493" s="664"/>
      <c r="U493" s="664"/>
      <c r="V493" s="664"/>
      <c r="W493" s="664"/>
      <c r="X493" s="664"/>
    </row>
    <row r="494">
      <c r="A494" s="661">
        <f t="shared" si="1"/>
        <v>494</v>
      </c>
      <c r="B494" s="662" t="str">
        <f t="shared" si="2"/>
        <v>#REF!</v>
      </c>
      <c r="C494" s="662" t="str">
        <f>IFERROR(__xludf.DUMMYFUNCTION("IF(
  REGEXMATCH(B494, ""^First\(λ - λ\) ∪ Follow\(""),
  ""Follow("" &amp; REGEXEXTRACT(B494, ""Follow\(([^)]+)\)"") &amp; "") ="",
  IF(
    OR(
      REGEXMATCH(B494, ""^First\([^&lt;]""),
      REGEXMATCH(B494, ""^First\(&lt;[^A-Za-z_]"")
    ),
    """",
    IF(
 "&amp;"     CFG!D494=""λ"",
      ""Follow("" &amp; CFG!B494 &amp; "") ="",
      ""First("" &amp; CFG!D494 &amp; "") =""
    )
  )
)
"),"#REF!")</f>
        <v>#REF!</v>
      </c>
      <c r="D494" s="663" t="str">
        <f>IFERROR(__xludf.DUMMYFUNCTION("IF(
  $C494="""",
  ""{ "" &amp;
    IF(
      REGEXMATCH(B494, ""^First\(\)""),
      "")"",
      REGEXEXTRACT(B494, ""^First\(([^ )]+)"")
    )
  &amp; "" }"",
  IF(
    REGEXMATCH($C494, ""^First\(&lt;""),
    VLOOKUP(REGEXEXTRACT($C494, ""\(([^)]+)\)""), 'First"&amp;" Set MacroA'!B:D, 3, FALSE),
    IF(
      REGEXMATCH($C494, ""^Follow\(&lt;""),
      VLOOKUP(REGEXEXTRACT($C494, ""\(([^)]+)\)""), 'Follow Set Macros'!B:D, 3, FALSE),
      ""{ "" &amp; REGEXEXTRACT($C494, ""\(([^)]+)\)"") &amp; "" }""
    )
  )
)
"),"#REF!")</f>
        <v>#REF!</v>
      </c>
      <c r="E494" s="664"/>
      <c r="F494" s="664"/>
      <c r="G494" s="664"/>
      <c r="H494" s="664"/>
      <c r="I494" s="664"/>
      <c r="J494" s="664"/>
      <c r="K494" s="664"/>
      <c r="L494" s="664"/>
      <c r="M494" s="664"/>
      <c r="N494" s="664"/>
      <c r="O494" s="664"/>
      <c r="P494" s="664"/>
      <c r="Q494" s="664"/>
      <c r="R494" s="664"/>
      <c r="S494" s="664"/>
      <c r="T494" s="664"/>
      <c r="U494" s="664"/>
      <c r="V494" s="664"/>
      <c r="W494" s="664"/>
      <c r="X494" s="664"/>
    </row>
    <row r="495">
      <c r="A495" s="661">
        <f t="shared" si="1"/>
        <v>495</v>
      </c>
      <c r="B495" s="662" t="str">
        <f t="shared" si="2"/>
        <v>#REF!</v>
      </c>
      <c r="C495" s="662" t="str">
        <f>IFERROR(__xludf.DUMMYFUNCTION("IF(
  REGEXMATCH(B495, ""^First\(λ - λ\) ∪ Follow\(""),
  ""Follow("" &amp; REGEXEXTRACT(B495, ""Follow\(([^)]+)\)"") &amp; "") ="",
  IF(
    OR(
      REGEXMATCH(B495, ""^First\([^&lt;]""),
      REGEXMATCH(B495, ""^First\(&lt;[^A-Za-z_]"")
    ),
    """",
    IF(
 "&amp;"     CFG!D495=""λ"",
      ""Follow("" &amp; CFG!B495 &amp; "") ="",
      ""First("" &amp; CFG!D495 &amp; "") =""
    )
  )
)
"),"#REF!")</f>
        <v>#REF!</v>
      </c>
      <c r="D495" s="663" t="str">
        <f>IFERROR(__xludf.DUMMYFUNCTION("IF(
  $C495="""",
  ""{ "" &amp;
    IF(
      REGEXMATCH(B495, ""^First\(\)""),
      "")"",
      REGEXEXTRACT(B495, ""^First\(([^ )]+)"")
    )
  &amp; "" }"",
  IF(
    REGEXMATCH($C495, ""^First\(&lt;""),
    VLOOKUP(REGEXEXTRACT($C495, ""\(([^)]+)\)""), 'First"&amp;" Set MacroA'!B:D, 3, FALSE),
    IF(
      REGEXMATCH($C495, ""^Follow\(&lt;""),
      VLOOKUP(REGEXEXTRACT($C495, ""\(([^)]+)\)""), 'Follow Set Macros'!B:D, 3, FALSE),
      ""{ "" &amp; REGEXEXTRACT($C495, ""\(([^)]+)\)"") &amp; "" }""
    )
  )
)
"),"#REF!")</f>
        <v>#REF!</v>
      </c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</row>
    <row r="496">
      <c r="A496" s="661">
        <f t="shared" si="1"/>
        <v>496</v>
      </c>
      <c r="B496" s="662" t="str">
        <f t="shared" si="2"/>
        <v>#REF!</v>
      </c>
      <c r="C496" s="662" t="str">
        <f>IFERROR(__xludf.DUMMYFUNCTION("IF(
  REGEXMATCH(B496, ""^First\(λ - λ\) ∪ Follow\(""),
  ""Follow("" &amp; REGEXEXTRACT(B496, ""Follow\(([^)]+)\)"") &amp; "") ="",
  IF(
    OR(
      REGEXMATCH(B496, ""^First\([^&lt;]""),
      REGEXMATCH(B496, ""^First\(&lt;[^A-Za-z_]"")
    ),
    """",
    IF(
 "&amp;"     CFG!D496=""λ"",
      ""Follow("" &amp; CFG!B496 &amp; "") ="",
      ""First("" &amp; CFG!D496 &amp; "") =""
    )
  )
)
"),"#REF!")</f>
        <v>#REF!</v>
      </c>
      <c r="D496" s="663" t="str">
        <f>IFERROR(__xludf.DUMMYFUNCTION("IF(
  $C496="""",
  ""{ "" &amp;
    IF(
      REGEXMATCH(B496, ""^First\(\)""),
      "")"",
      REGEXEXTRACT(B496, ""^First\(([^ )]+)"")
    )
  &amp; "" }"",
  IF(
    REGEXMATCH($C496, ""^First\(&lt;""),
    VLOOKUP(REGEXEXTRACT($C496, ""\(([^)]+)\)""), 'First"&amp;" Set MacroA'!B:D, 3, FALSE),
    IF(
      REGEXMATCH($C496, ""^Follow\(&lt;""),
      VLOOKUP(REGEXEXTRACT($C496, ""\(([^)]+)\)""), 'Follow Set Macros'!B:D, 3, FALSE),
      ""{ "" &amp; REGEXEXTRACT($C496, ""\(([^)]+)\)"") &amp; "" }""
    )
  )
)
"),"#REF!")</f>
        <v>#REF!</v>
      </c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</row>
    <row r="497">
      <c r="A497" s="661">
        <f t="shared" si="1"/>
        <v>497</v>
      </c>
      <c r="B497" s="662" t="str">
        <f t="shared" si="2"/>
        <v>#REF!</v>
      </c>
      <c r="C497" s="662" t="str">
        <f>IFERROR(__xludf.DUMMYFUNCTION("IF(
  REGEXMATCH(B497, ""^First\(λ - λ\) ∪ Follow\(""),
  ""Follow("" &amp; REGEXEXTRACT(B497, ""Follow\(([^)]+)\)"") &amp; "") ="",
  IF(
    OR(
      REGEXMATCH(B497, ""^First\([^&lt;]""),
      REGEXMATCH(B497, ""^First\(&lt;[^A-Za-z_]"")
    ),
    """",
    IF(
 "&amp;"     CFG!D497=""λ"",
      ""Follow("" &amp; CFG!B497 &amp; "") ="",
      ""First("" &amp; CFG!D497 &amp; "") =""
    )
  )
)
"),"#REF!")</f>
        <v>#REF!</v>
      </c>
      <c r="D497" s="663" t="str">
        <f>IFERROR(__xludf.DUMMYFUNCTION("IF(
  $C497="""",
  ""{ "" &amp;
    IF(
      REGEXMATCH(B497, ""^First\(\)""),
      "")"",
      REGEXEXTRACT(B497, ""^First\(([^ )]+)"")
    )
  &amp; "" }"",
  IF(
    REGEXMATCH($C497, ""^First\(&lt;""),
    VLOOKUP(REGEXEXTRACT($C497, ""\(([^)]+)\)""), 'First"&amp;" Set MacroA'!B:D, 3, FALSE),
    IF(
      REGEXMATCH($C497, ""^Follow\(&lt;""),
      VLOOKUP(REGEXEXTRACT($C497, ""\(([^)]+)\)""), 'Follow Set Macros'!B:D, 3, FALSE),
      ""{ "" &amp; REGEXEXTRACT($C497, ""\(([^)]+)\)"") &amp; "" }""
    )
  )
)
"),"#REF!")</f>
        <v>#REF!</v>
      </c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</row>
    <row r="498">
      <c r="A498" s="661">
        <f t="shared" si="1"/>
        <v>498</v>
      </c>
      <c r="B498" s="662" t="str">
        <f t="shared" si="2"/>
        <v>#REF!</v>
      </c>
      <c r="C498" s="662" t="str">
        <f>IFERROR(__xludf.DUMMYFUNCTION("IF(
  REGEXMATCH(B498, ""^First\(λ - λ\) ∪ Follow\(""),
  ""Follow("" &amp; REGEXEXTRACT(B498, ""Follow\(([^)]+)\)"") &amp; "") ="",
  IF(
    OR(
      REGEXMATCH(B498, ""^First\([^&lt;]""),
      REGEXMATCH(B498, ""^First\(&lt;[^A-Za-z_]"")
    ),
    """",
    IF(
 "&amp;"     CFG!D498=""λ"",
      ""Follow("" &amp; CFG!B498 &amp; "") ="",
      ""First("" &amp; CFG!D498 &amp; "") =""
    )
  )
)
"),"#REF!")</f>
        <v>#REF!</v>
      </c>
      <c r="D498" s="663" t="str">
        <f>IFERROR(__xludf.DUMMYFUNCTION("IF(
  $C498="""",
  ""{ "" &amp;
    IF(
      REGEXMATCH(B498, ""^First\(\)""),
      "")"",
      REGEXEXTRACT(B498, ""^First\(([^ )]+)"")
    )
  &amp; "" }"",
  IF(
    REGEXMATCH($C498, ""^First\(&lt;""),
    VLOOKUP(REGEXEXTRACT($C498, ""\(([^)]+)\)""), 'First"&amp;" Set MacroA'!B:D, 3, FALSE),
    IF(
      REGEXMATCH($C498, ""^Follow\(&lt;""),
      VLOOKUP(REGEXEXTRACT($C498, ""\(([^)]+)\)""), 'Follow Set Macros'!B:D, 3, FALSE),
      ""{ "" &amp; REGEXEXTRACT($C498, ""\(([^)]+)\)"") &amp; "" }""
    )
  )
)
"),"#REF!")</f>
        <v>#REF!</v>
      </c>
      <c r="E498" s="664"/>
      <c r="F498" s="664"/>
      <c r="G498" s="664"/>
      <c r="H498" s="664"/>
      <c r="I498" s="664"/>
      <c r="J498" s="664"/>
      <c r="K498" s="664"/>
      <c r="L498" s="664"/>
      <c r="M498" s="664"/>
      <c r="N498" s="664"/>
      <c r="O498" s="664"/>
      <c r="P498" s="664"/>
      <c r="Q498" s="664"/>
      <c r="R498" s="664"/>
      <c r="S498" s="664"/>
      <c r="T498" s="664"/>
      <c r="U498" s="664"/>
      <c r="V498" s="664"/>
      <c r="W498" s="664"/>
      <c r="X498" s="664"/>
    </row>
    <row r="499">
      <c r="A499" s="661">
        <f t="shared" si="1"/>
        <v>499</v>
      </c>
      <c r="B499" s="662" t="str">
        <f t="shared" si="2"/>
        <v>#REF!</v>
      </c>
      <c r="C499" s="662" t="str">
        <f>IFERROR(__xludf.DUMMYFUNCTION("IF(
  REGEXMATCH(B499, ""^First\(λ - λ\) ∪ Follow\(""),
  ""Follow("" &amp; REGEXEXTRACT(B499, ""Follow\(([^)]+)\)"") &amp; "") ="",
  IF(
    OR(
      REGEXMATCH(B499, ""^First\([^&lt;]""),
      REGEXMATCH(B499, ""^First\(&lt;[^A-Za-z_]"")
    ),
    """",
    IF(
 "&amp;"     CFG!D499=""λ"",
      ""Follow("" &amp; CFG!B499 &amp; "") ="",
      ""First("" &amp; CFG!D499 &amp; "") =""
    )
  )
)
"),"#REF!")</f>
        <v>#REF!</v>
      </c>
      <c r="D499" s="663" t="str">
        <f>IFERROR(__xludf.DUMMYFUNCTION("IF(
  $C499="""",
  ""{ "" &amp;
    IF(
      REGEXMATCH(B499, ""^First\(\)""),
      "")"",
      REGEXEXTRACT(B499, ""^First\(([^ )]+)"")
    )
  &amp; "" }"",
  IF(
    REGEXMATCH($C499, ""^First\(&lt;""),
    VLOOKUP(REGEXEXTRACT($C499, ""\(([^)]+)\)""), 'First"&amp;" Set MacroA'!B:D, 3, FALSE),
    IF(
      REGEXMATCH($C499, ""^Follow\(&lt;""),
      VLOOKUP(REGEXEXTRACT($C499, ""\(([^)]+)\)""), 'Follow Set Macros'!B:D, 3, FALSE),
      ""{ "" &amp; REGEXEXTRACT($C499, ""\(([^)]+)\)"") &amp; "" }""
    )
  )
)
"),"#REF!")</f>
        <v>#REF!</v>
      </c>
      <c r="E499" s="664"/>
      <c r="F499" s="664"/>
      <c r="G499" s="664"/>
      <c r="H499" s="664"/>
      <c r="I499" s="664"/>
      <c r="J499" s="664"/>
      <c r="K499" s="664"/>
      <c r="L499" s="664"/>
      <c r="M499" s="664"/>
      <c r="N499" s="664"/>
      <c r="O499" s="664"/>
      <c r="P499" s="664"/>
      <c r="Q499" s="664"/>
      <c r="R499" s="664"/>
      <c r="S499" s="664"/>
      <c r="T499" s="664"/>
      <c r="U499" s="664"/>
      <c r="V499" s="664"/>
      <c r="W499" s="664"/>
      <c r="X499" s="664"/>
    </row>
    <row r="500">
      <c r="A500" s="661">
        <f t="shared" si="1"/>
        <v>500</v>
      </c>
      <c r="B500" s="662" t="str">
        <f t="shared" si="2"/>
        <v>#REF!</v>
      </c>
      <c r="C500" s="662" t="str">
        <f>IFERROR(__xludf.DUMMYFUNCTION("IF(
  REGEXMATCH(B500, ""^First\(λ - λ\) ∪ Follow\(""),
  ""Follow("" &amp; REGEXEXTRACT(B500, ""Follow\(([^)]+)\)"") &amp; "") ="",
  IF(
    OR(
      REGEXMATCH(B500, ""^First\([^&lt;]""),
      REGEXMATCH(B500, ""^First\(&lt;[^A-Za-z_]"")
    ),
    """",
    IF(
 "&amp;"     CFG!D500=""λ"",
      ""Follow("" &amp; CFG!B500 &amp; "") ="",
      ""First("" &amp; CFG!D500 &amp; "") =""
    )
  )
)
"),"#REF!")</f>
        <v>#REF!</v>
      </c>
      <c r="D500" s="663" t="str">
        <f>IFERROR(__xludf.DUMMYFUNCTION("IF(
  $C500="""",
  ""{ "" &amp;
    IF(
      REGEXMATCH(B500, ""^First\(\)""),
      "")"",
      REGEXEXTRACT(B500, ""^First\(([^ )]+)"")
    )
  &amp; "" }"",
  IF(
    REGEXMATCH($C500, ""^First\(&lt;""),
    VLOOKUP(REGEXEXTRACT($C500, ""\(([^)]+)\)""), 'First"&amp;" Set MacroA'!B:D, 3, FALSE),
    IF(
      REGEXMATCH($C500, ""^Follow\(&lt;""),
      VLOOKUP(REGEXEXTRACT($C500, ""\(([^)]+)\)""), 'Follow Set Macros'!B:D, 3, FALSE),
      ""{ "" &amp; REGEXEXTRACT($C500, ""\(([^)]+)\)"") &amp; "" }""
    )
  )
)
"),"#REF!")</f>
        <v>#REF!</v>
      </c>
      <c r="E500" s="664"/>
      <c r="F500" s="664"/>
      <c r="G500" s="664"/>
      <c r="H500" s="664"/>
      <c r="I500" s="664"/>
      <c r="J500" s="664"/>
      <c r="K500" s="664"/>
      <c r="L500" s="664"/>
      <c r="M500" s="664"/>
      <c r="N500" s="664"/>
      <c r="O500" s="664"/>
      <c r="P500" s="664"/>
      <c r="Q500" s="664"/>
      <c r="R500" s="664"/>
      <c r="S500" s="664"/>
      <c r="T500" s="664"/>
      <c r="U500" s="664"/>
      <c r="V500" s="664"/>
      <c r="W500" s="664"/>
      <c r="X500" s="664"/>
    </row>
    <row r="501">
      <c r="A501" s="661">
        <f t="shared" si="1"/>
        <v>501</v>
      </c>
      <c r="B501" s="662" t="str">
        <f t="shared" si="2"/>
        <v>#REF!</v>
      </c>
      <c r="C501" s="662" t="str">
        <f>IFERROR(__xludf.DUMMYFUNCTION("IF(
  REGEXMATCH(B501, ""^First\(λ - λ\) ∪ Follow\(""),
  ""Follow("" &amp; REGEXEXTRACT(B501, ""Follow\(([^)]+)\)"") &amp; "") ="",
  IF(
    OR(
      REGEXMATCH(B501, ""^First\([^&lt;]""),
      REGEXMATCH(B501, ""^First\(&lt;[^A-Za-z_]"")
    ),
    """",
    IF(
 "&amp;"     CFG!D501=""λ"",
      ""Follow("" &amp; CFG!B501 &amp; "") ="",
      ""First("" &amp; CFG!D501 &amp; "") =""
    )
  )
)
"),"#REF!")</f>
        <v>#REF!</v>
      </c>
      <c r="D501" s="663" t="str">
        <f>IFERROR(__xludf.DUMMYFUNCTION("IF(
  $C501="""",
  ""{ "" &amp;
    IF(
      REGEXMATCH(B501, ""^First\(\)""),
      "")"",
      REGEXEXTRACT(B501, ""^First\(([^ )]+)"")
    )
  &amp; "" }"",
  IF(
    REGEXMATCH($C501, ""^First\(&lt;""),
    VLOOKUP(REGEXEXTRACT($C501, ""\(([^)]+)\)""), 'First"&amp;" Set MacroA'!B:D, 3, FALSE),
    IF(
      REGEXMATCH($C501, ""^Follow\(&lt;""),
      VLOOKUP(REGEXEXTRACT($C501, ""\(([^)]+)\)""), 'Follow Set Macros'!B:D, 3, FALSE),
      ""{ "" &amp; REGEXEXTRACT($C501, ""\(([^)]+)\)"") &amp; "" }""
    )
  )
)
"),"#REF!")</f>
        <v>#REF!</v>
      </c>
      <c r="E501" s="664"/>
      <c r="F501" s="664"/>
      <c r="G501" s="664"/>
      <c r="H501" s="664"/>
      <c r="I501" s="664"/>
      <c r="J501" s="664"/>
      <c r="K501" s="664"/>
      <c r="L501" s="664"/>
      <c r="M501" s="664"/>
      <c r="N501" s="664"/>
      <c r="O501" s="664"/>
      <c r="P501" s="664"/>
      <c r="Q501" s="664"/>
      <c r="R501" s="664"/>
      <c r="S501" s="664"/>
      <c r="T501" s="664"/>
      <c r="U501" s="664"/>
      <c r="V501" s="664"/>
      <c r="W501" s="664"/>
      <c r="X501" s="664"/>
    </row>
    <row r="502">
      <c r="A502" s="661">
        <f t="shared" si="1"/>
        <v>502</v>
      </c>
      <c r="B502" s="662" t="str">
        <f t="shared" si="2"/>
        <v>#REF!</v>
      </c>
      <c r="C502" s="662" t="str">
        <f>IFERROR(__xludf.DUMMYFUNCTION("IF(
  REGEXMATCH(B502, ""^First\(λ - λ\) ∪ Follow\(""),
  ""Follow("" &amp; REGEXEXTRACT(B502, ""Follow\(([^)]+)\)"") &amp; "") ="",
  IF(
    OR(
      REGEXMATCH(B502, ""^First\([^&lt;]""),
      REGEXMATCH(B502, ""^First\(&lt;[^A-Za-z_]"")
    ),
    """",
    IF(
 "&amp;"     CFG!D502=""λ"",
      ""Follow("" &amp; CFG!B502 &amp; "") ="",
      ""First("" &amp; CFG!D502 &amp; "") =""
    )
  )
)
"),"#REF!")</f>
        <v>#REF!</v>
      </c>
      <c r="D502" s="663" t="str">
        <f>IFERROR(__xludf.DUMMYFUNCTION("IF(
  $C502="""",
  ""{ "" &amp;
    IF(
      REGEXMATCH(B502, ""^First\(\)""),
      "")"",
      REGEXEXTRACT(B502, ""^First\(([^ )]+)"")
    )
  &amp; "" }"",
  IF(
    REGEXMATCH($C502, ""^First\(&lt;""),
    VLOOKUP(REGEXEXTRACT($C502, ""\(([^)]+)\)""), 'First"&amp;" Set MacroA'!B:D, 3, FALSE),
    IF(
      REGEXMATCH($C502, ""^Follow\(&lt;""),
      VLOOKUP(REGEXEXTRACT($C502, ""\(([^)]+)\)""), 'Follow Set Macros'!B:D, 3, FALSE),
      ""{ "" &amp; REGEXEXTRACT($C502, ""\(([^)]+)\)"") &amp; "" }""
    )
  )
)
"),"#REF!")</f>
        <v>#REF!</v>
      </c>
      <c r="E502" s="664"/>
      <c r="F502" s="664"/>
      <c r="G502" s="664"/>
      <c r="H502" s="664"/>
      <c r="I502" s="664"/>
      <c r="J502" s="664"/>
      <c r="K502" s="664"/>
      <c r="L502" s="664"/>
      <c r="M502" s="664"/>
      <c r="N502" s="664"/>
      <c r="O502" s="664"/>
      <c r="P502" s="664"/>
      <c r="Q502" s="664"/>
      <c r="R502" s="664"/>
      <c r="S502" s="664"/>
      <c r="T502" s="664"/>
      <c r="U502" s="664"/>
      <c r="V502" s="664"/>
      <c r="W502" s="664"/>
      <c r="X502" s="664"/>
    </row>
    <row r="503">
      <c r="A503" s="661">
        <f t="shared" si="1"/>
        <v>503</v>
      </c>
      <c r="B503" s="662" t="str">
        <f t="shared" si="2"/>
        <v>#REF!</v>
      </c>
      <c r="C503" s="662" t="str">
        <f>IFERROR(__xludf.DUMMYFUNCTION("IF(
  REGEXMATCH(B503, ""^First\(λ - λ\) ∪ Follow\(""),
  ""Follow("" &amp; REGEXEXTRACT(B503, ""Follow\(([^)]+)\)"") &amp; "") ="",
  IF(
    OR(
      REGEXMATCH(B503, ""^First\([^&lt;]""),
      REGEXMATCH(B503, ""^First\(&lt;[^A-Za-z_]"")
    ),
    """",
    IF(
 "&amp;"     CFG!D503=""λ"",
      ""Follow("" &amp; CFG!B503 &amp; "") ="",
      ""First("" &amp; CFG!D503 &amp; "") =""
    )
  )
)
"),"#REF!")</f>
        <v>#REF!</v>
      </c>
      <c r="D503" s="663" t="str">
        <f>IFERROR(__xludf.DUMMYFUNCTION("IF(
  $C503="""",
  ""{ "" &amp;
    IF(
      REGEXMATCH(B503, ""^First\(\)""),
      "")"",
      REGEXEXTRACT(B503, ""^First\(([^ )]+)"")
    )
  &amp; "" }"",
  IF(
    REGEXMATCH($C503, ""^First\(&lt;""),
    VLOOKUP(REGEXEXTRACT($C503, ""\(([^)]+)\)""), 'First"&amp;" Set MacroA'!B:D, 3, FALSE),
    IF(
      REGEXMATCH($C503, ""^Follow\(&lt;""),
      VLOOKUP(REGEXEXTRACT($C503, ""\(([^)]+)\)""), 'Follow Set Macros'!B:D, 3, FALSE),
      ""{ "" &amp; REGEXEXTRACT($C503, ""\(([^)]+)\)"") &amp; "" }""
    )
  )
)
"),"#REF!")</f>
        <v>#REF!</v>
      </c>
      <c r="E503" s="664"/>
      <c r="F503" s="664"/>
      <c r="G503" s="664"/>
      <c r="H503" s="664"/>
      <c r="I503" s="664"/>
      <c r="J503" s="664"/>
      <c r="K503" s="664"/>
      <c r="L503" s="664"/>
      <c r="M503" s="664"/>
      <c r="N503" s="664"/>
      <c r="O503" s="664"/>
      <c r="P503" s="664"/>
      <c r="Q503" s="664"/>
      <c r="R503" s="664"/>
      <c r="S503" s="664"/>
      <c r="T503" s="664"/>
      <c r="U503" s="664"/>
      <c r="V503" s="664"/>
      <c r="W503" s="664"/>
      <c r="X503" s="664"/>
    </row>
    <row r="504">
      <c r="A504" s="661">
        <f t="shared" si="1"/>
        <v>504</v>
      </c>
      <c r="B504" s="662" t="str">
        <f t="shared" si="2"/>
        <v>#REF!</v>
      </c>
      <c r="C504" s="662" t="str">
        <f>IFERROR(__xludf.DUMMYFUNCTION("IF(
  REGEXMATCH(B504, ""^First\(λ - λ\) ∪ Follow\(""),
  ""Follow("" &amp; REGEXEXTRACT(B504, ""Follow\(([^)]+)\)"") &amp; "") ="",
  IF(
    OR(
      REGEXMATCH(B504, ""^First\([^&lt;]""),
      REGEXMATCH(B504, ""^First\(&lt;[^A-Za-z_]"")
    ),
    """",
    IF(
 "&amp;"     CFG!D504=""λ"",
      ""Follow("" &amp; CFG!B504 &amp; "") ="",
      ""First("" &amp; CFG!D504 &amp; "") =""
    )
  )
)
"),"#REF!")</f>
        <v>#REF!</v>
      </c>
      <c r="D504" s="663" t="str">
        <f>IFERROR(__xludf.DUMMYFUNCTION("IF(
  $C504="""",
  ""{ "" &amp;
    IF(
      REGEXMATCH(B504, ""^First\(\)""),
      "")"",
      REGEXEXTRACT(B504, ""^First\(([^ )]+)"")
    )
  &amp; "" }"",
  IF(
    REGEXMATCH($C504, ""^First\(&lt;""),
    VLOOKUP(REGEXEXTRACT($C504, ""\(([^)]+)\)""), 'First"&amp;" Set MacroA'!B:D, 3, FALSE),
    IF(
      REGEXMATCH($C504, ""^Follow\(&lt;""),
      VLOOKUP(REGEXEXTRACT($C504, ""\(([^)]+)\)""), 'Follow Set Macros'!B:D, 3, FALSE),
      ""{ "" &amp; REGEXEXTRACT($C504, ""\(([^)]+)\)"") &amp; "" }""
    )
  )
)
"),"#REF!")</f>
        <v>#REF!</v>
      </c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</row>
    <row r="505">
      <c r="A505" s="661">
        <f t="shared" si="1"/>
        <v>505</v>
      </c>
      <c r="B505" s="662" t="str">
        <f t="shared" si="2"/>
        <v>#REF!</v>
      </c>
      <c r="C505" s="662" t="str">
        <f>IFERROR(__xludf.DUMMYFUNCTION("IF(
  REGEXMATCH(B505, ""^First\(λ - λ\) ∪ Follow\(""),
  ""Follow("" &amp; REGEXEXTRACT(B505, ""Follow\(([^)]+)\)"") &amp; "") ="",
  IF(
    OR(
      REGEXMATCH(B505, ""^First\([^&lt;]""),
      REGEXMATCH(B505, ""^First\(&lt;[^A-Za-z_]"")
    ),
    """",
    IF(
 "&amp;"     CFG!D505=""λ"",
      ""Follow("" &amp; CFG!B505 &amp; "") ="",
      ""First("" &amp; CFG!D505 &amp; "") =""
    )
  )
)
"),"#REF!")</f>
        <v>#REF!</v>
      </c>
      <c r="D505" s="663" t="str">
        <f>IFERROR(__xludf.DUMMYFUNCTION("IF(
  $C505="""",
  ""{ "" &amp;
    IF(
      REGEXMATCH(B505, ""^First\(\)""),
      "")"",
      REGEXEXTRACT(B505, ""^First\(([^ )]+)"")
    )
  &amp; "" }"",
  IF(
    REGEXMATCH($C505, ""^First\(&lt;""),
    VLOOKUP(REGEXEXTRACT($C505, ""\(([^)]+)\)""), 'First"&amp;" Set MacroA'!B:D, 3, FALSE),
    IF(
      REGEXMATCH($C505, ""^Follow\(&lt;""),
      VLOOKUP(REGEXEXTRACT($C505, ""\(([^)]+)\)""), 'Follow Set Macros'!B:D, 3, FALSE),
      ""{ "" &amp; REGEXEXTRACT($C505, ""\(([^)]+)\)"") &amp; "" }""
    )
  )
)
"),"#REF!")</f>
        <v>#REF!</v>
      </c>
      <c r="E505" s="664"/>
      <c r="F505" s="664"/>
      <c r="G505" s="664"/>
      <c r="H505" s="664"/>
      <c r="I505" s="664"/>
      <c r="J505" s="664"/>
      <c r="K505" s="664"/>
      <c r="L505" s="664"/>
      <c r="M505" s="664"/>
      <c r="N505" s="664"/>
      <c r="O505" s="664"/>
      <c r="P505" s="664"/>
      <c r="Q505" s="664"/>
      <c r="R505" s="664"/>
      <c r="S505" s="664"/>
      <c r="T505" s="664"/>
      <c r="U505" s="664"/>
      <c r="V505" s="664"/>
      <c r="W505" s="664"/>
      <c r="X505" s="664"/>
    </row>
    <row r="506">
      <c r="A506" s="661">
        <f t="shared" si="1"/>
        <v>506</v>
      </c>
      <c r="B506" s="662" t="str">
        <f t="shared" si="2"/>
        <v>#REF!</v>
      </c>
      <c r="C506" s="662" t="str">
        <f>IFERROR(__xludf.DUMMYFUNCTION("IF(
  REGEXMATCH(B506, ""^First\(λ - λ\) ∪ Follow\(""),
  ""Follow("" &amp; REGEXEXTRACT(B506, ""Follow\(([^)]+)\)"") &amp; "") ="",
  IF(
    OR(
      REGEXMATCH(B506, ""^First\([^&lt;]""),
      REGEXMATCH(B506, ""^First\(&lt;[^A-Za-z_]"")
    ),
    """",
    IF(
 "&amp;"     CFG!D506=""λ"",
      ""Follow("" &amp; CFG!B506 &amp; "") ="",
      ""First("" &amp; CFG!D506 &amp; "") =""
    )
  )
)
"),"#REF!")</f>
        <v>#REF!</v>
      </c>
      <c r="D506" s="663" t="str">
        <f>IFERROR(__xludf.DUMMYFUNCTION("IF(
  $C506="""",
  ""{ "" &amp;
    IF(
      REGEXMATCH(B506, ""^First\(\)""),
      "")"",
      REGEXEXTRACT(B506, ""^First\(([^ )]+)"")
    )
  &amp; "" }"",
  IF(
    REGEXMATCH($C506, ""^First\(&lt;""),
    VLOOKUP(REGEXEXTRACT($C506, ""\(([^)]+)\)""), 'First"&amp;" Set MacroA'!B:D, 3, FALSE),
    IF(
      REGEXMATCH($C506, ""^Follow\(&lt;""),
      VLOOKUP(REGEXEXTRACT($C506, ""\(([^)]+)\)""), 'Follow Set Macros'!B:D, 3, FALSE),
      ""{ "" &amp; REGEXEXTRACT($C506, ""\(([^)]+)\)"") &amp; "" }""
    )
  )
)
"),"#REF!")</f>
        <v>#REF!</v>
      </c>
      <c r="E506" s="664"/>
      <c r="F506" s="664"/>
      <c r="G506" s="664"/>
      <c r="H506" s="664"/>
      <c r="I506" s="664"/>
      <c r="J506" s="664"/>
      <c r="K506" s="664"/>
      <c r="L506" s="664"/>
      <c r="M506" s="664"/>
      <c r="N506" s="664"/>
      <c r="O506" s="664"/>
      <c r="P506" s="664"/>
      <c r="Q506" s="664"/>
      <c r="R506" s="664"/>
      <c r="S506" s="664"/>
      <c r="T506" s="664"/>
      <c r="U506" s="664"/>
      <c r="V506" s="664"/>
      <c r="W506" s="664"/>
      <c r="X506" s="664"/>
    </row>
    <row r="507">
      <c r="A507" s="661">
        <f t="shared" si="1"/>
        <v>507</v>
      </c>
      <c r="B507" s="662" t="str">
        <f t="shared" si="2"/>
        <v>#REF!</v>
      </c>
      <c r="C507" s="662" t="str">
        <f>IFERROR(__xludf.DUMMYFUNCTION("IF(
  REGEXMATCH(B507, ""^First\(λ - λ\) ∪ Follow\(""),
  ""Follow("" &amp; REGEXEXTRACT(B507, ""Follow\(([^)]+)\)"") &amp; "") ="",
  IF(
    OR(
      REGEXMATCH(B507, ""^First\([^&lt;]""),
      REGEXMATCH(B507, ""^First\(&lt;[^A-Za-z_]"")
    ),
    """",
    IF(
 "&amp;"     CFG!D507=""λ"",
      ""Follow("" &amp; CFG!B507 &amp; "") ="",
      ""First("" &amp; CFG!D507 &amp; "") =""
    )
  )
)
"),"#REF!")</f>
        <v>#REF!</v>
      </c>
      <c r="D507" s="663" t="str">
        <f>IFERROR(__xludf.DUMMYFUNCTION("IF(
  $C507="""",
  ""{ "" &amp;
    IF(
      REGEXMATCH(B507, ""^First\(\)""),
      "")"",
      REGEXEXTRACT(B507, ""^First\(([^ )]+)"")
    )
  &amp; "" }"",
  IF(
    REGEXMATCH($C507, ""^First\(&lt;""),
    VLOOKUP(REGEXEXTRACT($C507, ""\(([^)]+)\)""), 'First"&amp;" Set MacroA'!B:D, 3, FALSE),
    IF(
      REGEXMATCH($C507, ""^Follow\(&lt;""),
      VLOOKUP(REGEXEXTRACT($C507, ""\(([^)]+)\)""), 'Follow Set Macros'!B:D, 3, FALSE),
      ""{ "" &amp; REGEXEXTRACT($C507, ""\(([^)]+)\)"") &amp; "" }""
    )
  )
)
"),"#REF!")</f>
        <v>#REF!</v>
      </c>
      <c r="E507" s="664"/>
      <c r="F507" s="664"/>
      <c r="G507" s="664"/>
      <c r="H507" s="664"/>
      <c r="I507" s="664"/>
      <c r="J507" s="664"/>
      <c r="K507" s="664"/>
      <c r="L507" s="664"/>
      <c r="M507" s="664"/>
      <c r="N507" s="664"/>
      <c r="O507" s="664"/>
      <c r="P507" s="664"/>
      <c r="Q507" s="664"/>
      <c r="R507" s="664"/>
      <c r="S507" s="664"/>
      <c r="T507" s="664"/>
      <c r="U507" s="664"/>
      <c r="V507" s="664"/>
      <c r="W507" s="664"/>
      <c r="X507" s="664"/>
    </row>
    <row r="508">
      <c r="A508" s="661">
        <f t="shared" si="1"/>
        <v>508</v>
      </c>
      <c r="B508" s="662" t="str">
        <f t="shared" si="2"/>
        <v>#REF!</v>
      </c>
      <c r="C508" s="662" t="str">
        <f>IFERROR(__xludf.DUMMYFUNCTION("IF(
  REGEXMATCH(B508, ""^First\(λ - λ\) ∪ Follow\(""),
  ""Follow("" &amp; REGEXEXTRACT(B508, ""Follow\(([^)]+)\)"") &amp; "") ="",
  IF(
    OR(
      REGEXMATCH(B508, ""^First\([^&lt;]""),
      REGEXMATCH(B508, ""^First\(&lt;[^A-Za-z_]"")
    ),
    """",
    IF(
 "&amp;"     CFG!D508=""λ"",
      ""Follow("" &amp; CFG!B508 &amp; "") ="",
      ""First("" &amp; CFG!D508 &amp; "") =""
    )
  )
)
"),"#REF!")</f>
        <v>#REF!</v>
      </c>
      <c r="D508" s="663" t="str">
        <f>IFERROR(__xludf.DUMMYFUNCTION("IF(
  $C508="""",
  ""{ "" &amp;
    IF(
      REGEXMATCH(B508, ""^First\(\)""),
      "")"",
      REGEXEXTRACT(B508, ""^First\(([^ )]+)"")
    )
  &amp; "" }"",
  IF(
    REGEXMATCH($C508, ""^First\(&lt;""),
    VLOOKUP(REGEXEXTRACT($C508, ""\(([^)]+)\)""), 'First"&amp;" Set MacroA'!B:D, 3, FALSE),
    IF(
      REGEXMATCH($C508, ""^Follow\(&lt;""),
      VLOOKUP(REGEXEXTRACT($C508, ""\(([^)]+)\)""), 'Follow Set Macros'!B:D, 3, FALSE),
      ""{ "" &amp; REGEXEXTRACT($C508, ""\(([^)]+)\)"") &amp; "" }""
    )
  )
)
"),"#REF!")</f>
        <v>#REF!</v>
      </c>
      <c r="E508" s="664"/>
      <c r="F508" s="664"/>
      <c r="G508" s="664"/>
      <c r="H508" s="664"/>
      <c r="I508" s="664"/>
      <c r="J508" s="664"/>
      <c r="K508" s="664"/>
      <c r="L508" s="664"/>
      <c r="M508" s="664"/>
      <c r="N508" s="664"/>
      <c r="O508" s="664"/>
      <c r="P508" s="664"/>
      <c r="Q508" s="664"/>
      <c r="R508" s="664"/>
      <c r="S508" s="664"/>
      <c r="T508" s="664"/>
      <c r="U508" s="664"/>
      <c r="V508" s="664"/>
      <c r="W508" s="664"/>
      <c r="X508" s="664"/>
    </row>
    <row r="509">
      <c r="A509" s="661">
        <f t="shared" si="1"/>
        <v>509</v>
      </c>
      <c r="B509" s="662" t="str">
        <f t="shared" si="2"/>
        <v>#REF!</v>
      </c>
      <c r="C509" s="662" t="str">
        <f>IFERROR(__xludf.DUMMYFUNCTION("IF(
  REGEXMATCH(B509, ""^First\(λ - λ\) ∪ Follow\(""),
  ""Follow("" &amp; REGEXEXTRACT(B509, ""Follow\(([^)]+)\)"") &amp; "") ="",
  IF(
    OR(
      REGEXMATCH(B509, ""^First\([^&lt;]""),
      REGEXMATCH(B509, ""^First\(&lt;[^A-Za-z_]"")
    ),
    """",
    IF(
 "&amp;"     CFG!D509=""λ"",
      ""Follow("" &amp; CFG!B509 &amp; "") ="",
      ""First("" &amp; CFG!D509 &amp; "") =""
    )
  )
)
"),"#REF!")</f>
        <v>#REF!</v>
      </c>
      <c r="D509" s="663" t="str">
        <f>IFERROR(__xludf.DUMMYFUNCTION("IF(
  $C509="""",
  ""{ "" &amp;
    IF(
      REGEXMATCH(B509, ""^First\(\)""),
      "")"",
      REGEXEXTRACT(B509, ""^First\(([^ )]+)"")
    )
  &amp; "" }"",
  IF(
    REGEXMATCH($C509, ""^First\(&lt;""),
    VLOOKUP(REGEXEXTRACT($C509, ""\(([^)]+)\)""), 'First"&amp;" Set MacroA'!B:D, 3, FALSE),
    IF(
      REGEXMATCH($C509, ""^Follow\(&lt;""),
      VLOOKUP(REGEXEXTRACT($C509, ""\(([^)]+)\)""), 'Follow Set Macros'!B:D, 3, FALSE),
      ""{ "" &amp; REGEXEXTRACT($C509, ""\(([^)]+)\)"") &amp; "" }""
    )
  )
)
"),"#REF!")</f>
        <v>#REF!</v>
      </c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</row>
    <row r="510">
      <c r="A510" s="661">
        <f t="shared" si="1"/>
        <v>510</v>
      </c>
      <c r="B510" s="662" t="str">
        <f t="shared" si="2"/>
        <v>#REF!</v>
      </c>
      <c r="C510" s="662" t="str">
        <f>IFERROR(__xludf.DUMMYFUNCTION("IF(
  REGEXMATCH(B510, ""^First\(λ - λ\) ∪ Follow\(""),
  ""Follow("" &amp; REGEXEXTRACT(B510, ""Follow\(([^)]+)\)"") &amp; "") ="",
  IF(
    OR(
      REGEXMATCH(B510, ""^First\([^&lt;]""),
      REGEXMATCH(B510, ""^First\(&lt;[^A-Za-z_]"")
    ),
    """",
    IF(
 "&amp;"     CFG!D510=""λ"",
      ""Follow("" &amp; CFG!B510 &amp; "") ="",
      ""First("" &amp; CFG!D510 &amp; "") =""
    )
  )
)
"),"#REF!")</f>
        <v>#REF!</v>
      </c>
      <c r="D510" s="663" t="str">
        <f>IFERROR(__xludf.DUMMYFUNCTION("IF(
  $C510="""",
  ""{ "" &amp;
    IF(
      REGEXMATCH(B510, ""^First\(\)""),
      "")"",
      REGEXEXTRACT(B510, ""^First\(([^ )]+)"")
    )
  &amp; "" }"",
  IF(
    REGEXMATCH($C510, ""^First\(&lt;""),
    VLOOKUP(REGEXEXTRACT($C510, ""\(([^)]+)\)""), 'First"&amp;" Set MacroA'!B:D, 3, FALSE),
    IF(
      REGEXMATCH($C510, ""^Follow\(&lt;""),
      VLOOKUP(REGEXEXTRACT($C510, ""\(([^)]+)\)""), 'Follow Set Macros'!B:D, 3, FALSE),
      ""{ "" &amp; REGEXEXTRACT($C510, ""\(([^)]+)\)"") &amp; "" }""
    )
  )
)
"),"#REF!")</f>
        <v>#REF!</v>
      </c>
      <c r="E510" s="664"/>
      <c r="F510" s="664"/>
      <c r="G510" s="664"/>
      <c r="H510" s="664"/>
      <c r="I510" s="664"/>
      <c r="J510" s="664"/>
      <c r="K510" s="664"/>
      <c r="L510" s="664"/>
      <c r="M510" s="664"/>
      <c r="N510" s="664"/>
      <c r="O510" s="664"/>
      <c r="P510" s="664"/>
      <c r="Q510" s="664"/>
      <c r="R510" s="664"/>
      <c r="S510" s="664"/>
      <c r="T510" s="664"/>
      <c r="U510" s="664"/>
      <c r="V510" s="664"/>
      <c r="W510" s="664"/>
      <c r="X510" s="664"/>
    </row>
    <row r="511">
      <c r="A511" s="661">
        <f t="shared" si="1"/>
        <v>511</v>
      </c>
      <c r="B511" s="662" t="str">
        <f t="shared" si="2"/>
        <v>#REF!</v>
      </c>
      <c r="C511" s="662" t="str">
        <f>IFERROR(__xludf.DUMMYFUNCTION("IF(
  REGEXMATCH(B511, ""^First\(λ - λ\) ∪ Follow\(""),
  ""Follow("" &amp; REGEXEXTRACT(B511, ""Follow\(([^)]+)\)"") &amp; "") ="",
  IF(
    OR(
      REGEXMATCH(B511, ""^First\([^&lt;]""),
      REGEXMATCH(B511, ""^First\(&lt;[^A-Za-z_]"")
    ),
    """",
    IF(
 "&amp;"     CFG!D511=""λ"",
      ""Follow("" &amp; CFG!B511 &amp; "") ="",
      ""First("" &amp; CFG!D511 &amp; "") =""
    )
  )
)
"),"#REF!")</f>
        <v>#REF!</v>
      </c>
      <c r="D511" s="663" t="str">
        <f>IFERROR(__xludf.DUMMYFUNCTION("IF(
  $C511="""",
  ""{ "" &amp;
    IF(
      REGEXMATCH(B511, ""^First\(\)""),
      "")"",
      REGEXEXTRACT(B511, ""^First\(([^ )]+)"")
    )
  &amp; "" }"",
  IF(
    REGEXMATCH($C511, ""^First\(&lt;""),
    VLOOKUP(REGEXEXTRACT($C511, ""\(([^)]+)\)""), 'First"&amp;" Set MacroA'!B:D, 3, FALSE),
    IF(
      REGEXMATCH($C511, ""^Follow\(&lt;""),
      VLOOKUP(REGEXEXTRACT($C511, ""\(([^)]+)\)""), 'Follow Set Macros'!B:D, 3, FALSE),
      ""{ "" &amp; REGEXEXTRACT($C511, ""\(([^)]+)\)"") &amp; "" }""
    )
  )
)
"),"#REF!")</f>
        <v>#REF!</v>
      </c>
      <c r="E511" s="664"/>
      <c r="F511" s="664"/>
      <c r="G511" s="664"/>
      <c r="H511" s="664"/>
      <c r="I511" s="664"/>
      <c r="J511" s="664"/>
      <c r="K511" s="664"/>
      <c r="L511" s="664"/>
      <c r="M511" s="664"/>
      <c r="N511" s="664"/>
      <c r="O511" s="664"/>
      <c r="P511" s="664"/>
      <c r="Q511" s="664"/>
      <c r="R511" s="664"/>
      <c r="S511" s="664"/>
      <c r="T511" s="664"/>
      <c r="U511" s="664"/>
      <c r="V511" s="664"/>
      <c r="W511" s="664"/>
      <c r="X511" s="664"/>
    </row>
    <row r="512">
      <c r="A512" s="661">
        <f t="shared" si="1"/>
        <v>512</v>
      </c>
      <c r="B512" s="662" t="str">
        <f t="shared" si="2"/>
        <v>#REF!</v>
      </c>
      <c r="C512" s="662" t="str">
        <f>IFERROR(__xludf.DUMMYFUNCTION("IF(
  REGEXMATCH(B512, ""^First\(λ - λ\) ∪ Follow\(""),
  ""Follow("" &amp; REGEXEXTRACT(B512, ""Follow\(([^)]+)\)"") &amp; "") ="",
  IF(
    OR(
      REGEXMATCH(B512, ""^First\([^&lt;]""),
      REGEXMATCH(B512, ""^First\(&lt;[^A-Za-z_]"")
    ),
    """",
    IF(
 "&amp;"     CFG!D512=""λ"",
      ""Follow("" &amp; CFG!B512 &amp; "") ="",
      ""First("" &amp; CFG!D512 &amp; "") =""
    )
  )
)
"),"#REF!")</f>
        <v>#REF!</v>
      </c>
      <c r="D512" s="663" t="str">
        <f>IFERROR(__xludf.DUMMYFUNCTION("IF(
  $C512="""",
  ""{ "" &amp;
    IF(
      REGEXMATCH(B512, ""^First\(\)""),
      "")"",
      REGEXEXTRACT(B512, ""^First\(([^ )]+)"")
    )
  &amp; "" }"",
  IF(
    REGEXMATCH($C512, ""^First\(&lt;""),
    VLOOKUP(REGEXEXTRACT($C512, ""\(([^)]+)\)""), 'First"&amp;" Set MacroA'!B:D, 3, FALSE),
    IF(
      REGEXMATCH($C512, ""^Follow\(&lt;""),
      VLOOKUP(REGEXEXTRACT($C512, ""\(([^)]+)\)""), 'Follow Set Macros'!B:D, 3, FALSE),
      ""{ "" &amp; REGEXEXTRACT($C512, ""\(([^)]+)\)"") &amp; "" }""
    )
  )
)
"),"#REF!")</f>
        <v>#REF!</v>
      </c>
      <c r="E512" s="664"/>
      <c r="F512" s="664"/>
      <c r="G512" s="664"/>
      <c r="H512" s="664"/>
      <c r="I512" s="664"/>
      <c r="J512" s="664"/>
      <c r="K512" s="664"/>
      <c r="L512" s="664"/>
      <c r="M512" s="664"/>
      <c r="N512" s="664"/>
      <c r="O512" s="664"/>
      <c r="P512" s="664"/>
      <c r="Q512" s="664"/>
      <c r="R512" s="664"/>
      <c r="S512" s="664"/>
      <c r="T512" s="664"/>
      <c r="U512" s="664"/>
      <c r="V512" s="664"/>
      <c r="W512" s="664"/>
      <c r="X512" s="664"/>
    </row>
    <row r="513">
      <c r="A513" s="661">
        <f t="shared" si="1"/>
        <v>513</v>
      </c>
      <c r="B513" s="662" t="str">
        <f t="shared" si="2"/>
        <v>#REF!</v>
      </c>
      <c r="C513" s="662" t="str">
        <f>IFERROR(__xludf.DUMMYFUNCTION("IF(
  REGEXMATCH(B513, ""^First\(λ - λ\) ∪ Follow\(""),
  ""Follow("" &amp; REGEXEXTRACT(B513, ""Follow\(([^)]+)\)"") &amp; "") ="",
  IF(
    OR(
      REGEXMATCH(B513, ""^First\([^&lt;]""),
      REGEXMATCH(B513, ""^First\(&lt;[^A-Za-z_]"")
    ),
    """",
    IF(
 "&amp;"     CFG!D513=""λ"",
      ""Follow("" &amp; CFG!B513 &amp; "") ="",
      ""First("" &amp; CFG!D513 &amp; "") =""
    )
  )
)
"),"#REF!")</f>
        <v>#REF!</v>
      </c>
      <c r="D513" s="663" t="str">
        <f>IFERROR(__xludf.DUMMYFUNCTION("IF(
  $C513="""",
  ""{ "" &amp;
    IF(
      REGEXMATCH(B513, ""^First\(\)""),
      "")"",
      REGEXEXTRACT(B513, ""^First\(([^ )]+)"")
    )
  &amp; "" }"",
  IF(
    REGEXMATCH($C513, ""^First\(&lt;""),
    VLOOKUP(REGEXEXTRACT($C513, ""\(([^)]+)\)""), 'First"&amp;" Set MacroA'!B:D, 3, FALSE),
    IF(
      REGEXMATCH($C513, ""^Follow\(&lt;""),
      VLOOKUP(REGEXEXTRACT($C513, ""\(([^)]+)\)""), 'Follow Set Macros'!B:D, 3, FALSE),
      ""{ "" &amp; REGEXEXTRACT($C513, ""\(([^)]+)\)"") &amp; "" }""
    )
  )
)
"),"#REF!")</f>
        <v>#REF!</v>
      </c>
      <c r="E513" s="664"/>
      <c r="F513" s="664"/>
      <c r="G513" s="664"/>
      <c r="H513" s="664"/>
      <c r="I513" s="664"/>
      <c r="J513" s="664"/>
      <c r="K513" s="664"/>
      <c r="L513" s="664"/>
      <c r="M513" s="664"/>
      <c r="N513" s="664"/>
      <c r="O513" s="664"/>
      <c r="P513" s="664"/>
      <c r="Q513" s="664"/>
      <c r="R513" s="664"/>
      <c r="S513" s="664"/>
      <c r="T513" s="664"/>
      <c r="U513" s="664"/>
      <c r="V513" s="664"/>
      <c r="W513" s="664"/>
      <c r="X513" s="664"/>
    </row>
    <row r="514">
      <c r="A514" s="661">
        <f t="shared" si="1"/>
        <v>514</v>
      </c>
      <c r="B514" s="662" t="str">
        <f t="shared" si="2"/>
        <v>#REF!</v>
      </c>
      <c r="C514" s="662" t="str">
        <f>IFERROR(__xludf.DUMMYFUNCTION("IF(
  REGEXMATCH(B514, ""^First\(λ - λ\) ∪ Follow\(""),
  ""Follow("" &amp; REGEXEXTRACT(B514, ""Follow\(([^)]+)\)"") &amp; "") ="",
  IF(
    OR(
      REGEXMATCH(B514, ""^First\([^&lt;]""),
      REGEXMATCH(B514, ""^First\(&lt;[^A-Za-z_]"")
    ),
    """",
    IF(
 "&amp;"     CFG!D514=""λ"",
      ""Follow("" &amp; CFG!B514 &amp; "") ="",
      ""First("" &amp; CFG!D514 &amp; "") =""
    )
  )
)
"),"#REF!")</f>
        <v>#REF!</v>
      </c>
      <c r="D514" s="663" t="str">
        <f>IFERROR(__xludf.DUMMYFUNCTION("IF(
  $C514="""",
  ""{ "" &amp;
    IF(
      REGEXMATCH(B514, ""^First\(\)""),
      "")"",
      REGEXEXTRACT(B514, ""^First\(([^ )]+)"")
    )
  &amp; "" }"",
  IF(
    REGEXMATCH($C514, ""^First\(&lt;""),
    VLOOKUP(REGEXEXTRACT($C514, ""\(([^)]+)\)""), 'First"&amp;" Set MacroA'!B:D, 3, FALSE),
    IF(
      REGEXMATCH($C514, ""^Follow\(&lt;""),
      VLOOKUP(REGEXEXTRACT($C514, ""\(([^)]+)\)""), 'Follow Set Macros'!B:D, 3, FALSE),
      ""{ "" &amp; REGEXEXTRACT($C514, ""\(([^)]+)\)"") &amp; "" }""
    )
  )
)
"),"#REF!")</f>
        <v>#REF!</v>
      </c>
      <c r="E514" s="664"/>
      <c r="F514" s="664"/>
      <c r="G514" s="664"/>
      <c r="H514" s="664"/>
      <c r="I514" s="664"/>
      <c r="J514" s="664"/>
      <c r="K514" s="664"/>
      <c r="L514" s="664"/>
      <c r="M514" s="664"/>
      <c r="N514" s="664"/>
      <c r="O514" s="664"/>
      <c r="P514" s="664"/>
      <c r="Q514" s="664"/>
      <c r="R514" s="664"/>
      <c r="S514" s="664"/>
      <c r="T514" s="664"/>
      <c r="U514" s="664"/>
      <c r="V514" s="664"/>
      <c r="W514" s="664"/>
      <c r="X514" s="664"/>
    </row>
    <row r="515">
      <c r="A515" s="661">
        <f t="shared" si="1"/>
        <v>515</v>
      </c>
      <c r="B515" s="662" t="str">
        <f t="shared" si="2"/>
        <v>#REF!</v>
      </c>
      <c r="C515" s="662" t="str">
        <f>IFERROR(__xludf.DUMMYFUNCTION("IF(
  REGEXMATCH(B515, ""^First\(λ - λ\) ∪ Follow\(""),
  ""Follow("" &amp; REGEXEXTRACT(B515, ""Follow\(([^)]+)\)"") &amp; "") ="",
  IF(
    OR(
      REGEXMATCH(B515, ""^First\([^&lt;]""),
      REGEXMATCH(B515, ""^First\(&lt;[^A-Za-z_]"")
    ),
    """",
    IF(
 "&amp;"     CFG!D515=""λ"",
      ""Follow("" &amp; CFG!B515 &amp; "") ="",
      ""First("" &amp; CFG!D515 &amp; "") =""
    )
  )
)
"),"#REF!")</f>
        <v>#REF!</v>
      </c>
      <c r="D515" s="663" t="str">
        <f>IFERROR(__xludf.DUMMYFUNCTION("IF(
  $C515="""",
  ""{ "" &amp;
    IF(
      REGEXMATCH(B515, ""^First\(\)""),
      "")"",
      REGEXEXTRACT(B515, ""^First\(([^ )]+)"")
    )
  &amp; "" }"",
  IF(
    REGEXMATCH($C515, ""^First\(&lt;""),
    VLOOKUP(REGEXEXTRACT($C515, ""\(([^)]+)\)""), 'First"&amp;" Set MacroA'!B:D, 3, FALSE),
    IF(
      REGEXMATCH($C515, ""^Follow\(&lt;""),
      VLOOKUP(REGEXEXTRACT($C515, ""\(([^)]+)\)""), 'Follow Set Macros'!B:D, 3, FALSE),
      ""{ "" &amp; REGEXEXTRACT($C515, ""\(([^)]+)\)"") &amp; "" }""
    )
  )
)
"),"#REF!")</f>
        <v>#REF!</v>
      </c>
      <c r="E515" s="664"/>
      <c r="F515" s="664"/>
      <c r="G515" s="664"/>
      <c r="H515" s="664"/>
      <c r="I515" s="664"/>
      <c r="J515" s="664"/>
      <c r="K515" s="664"/>
      <c r="L515" s="664"/>
      <c r="M515" s="664"/>
      <c r="N515" s="664"/>
      <c r="O515" s="664"/>
      <c r="P515" s="664"/>
      <c r="Q515" s="664"/>
      <c r="R515" s="664"/>
      <c r="S515" s="664"/>
      <c r="T515" s="664"/>
      <c r="U515" s="664"/>
      <c r="V515" s="664"/>
      <c r="W515" s="664"/>
      <c r="X515" s="664"/>
    </row>
    <row r="516">
      <c r="A516" s="661">
        <f t="shared" si="1"/>
        <v>516</v>
      </c>
      <c r="B516" s="662" t="str">
        <f t="shared" si="2"/>
        <v>#REF!</v>
      </c>
      <c r="C516" s="662" t="str">
        <f>IFERROR(__xludf.DUMMYFUNCTION("IF(
  REGEXMATCH(B516, ""^First\(λ - λ\) ∪ Follow\(""),
  ""Follow("" &amp; REGEXEXTRACT(B516, ""Follow\(([^)]+)\)"") &amp; "") ="",
  IF(
    OR(
      REGEXMATCH(B516, ""^First\([^&lt;]""),
      REGEXMATCH(B516, ""^First\(&lt;[^A-Za-z_]"")
    ),
    """",
    IF(
 "&amp;"     CFG!D516=""λ"",
      ""Follow("" &amp; CFG!B516 &amp; "") ="",
      ""First("" &amp; CFG!D516 &amp; "") =""
    )
  )
)
"),"#REF!")</f>
        <v>#REF!</v>
      </c>
      <c r="D516" s="663" t="str">
        <f>IFERROR(__xludf.DUMMYFUNCTION("IF(
  $C516="""",
  ""{ "" &amp;
    IF(
      REGEXMATCH(B516, ""^First\(\)""),
      "")"",
      REGEXEXTRACT(B516, ""^First\(([^ )]+)"")
    )
  &amp; "" }"",
  IF(
    REGEXMATCH($C516, ""^First\(&lt;""),
    VLOOKUP(REGEXEXTRACT($C516, ""\(([^)]+)\)""), 'First"&amp;" Set MacroA'!B:D, 3, FALSE),
    IF(
      REGEXMATCH($C516, ""^Follow\(&lt;""),
      VLOOKUP(REGEXEXTRACT($C516, ""\(([^)]+)\)""), 'Follow Set Macros'!B:D, 3, FALSE),
      ""{ "" &amp; REGEXEXTRACT($C516, ""\(([^)]+)\)"") &amp; "" }""
    )
  )
)
"),"#REF!")</f>
        <v>#REF!</v>
      </c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</row>
    <row r="517">
      <c r="A517" s="661">
        <f t="shared" si="1"/>
        <v>517</v>
      </c>
      <c r="B517" s="662" t="str">
        <f t="shared" si="2"/>
        <v>#REF!</v>
      </c>
      <c r="C517" s="662" t="str">
        <f>IFERROR(__xludf.DUMMYFUNCTION("IF(
  REGEXMATCH(B517, ""^First\(λ - λ\) ∪ Follow\(""),
  ""Follow("" &amp; REGEXEXTRACT(B517, ""Follow\(([^)]+)\)"") &amp; "") ="",
  IF(
    OR(
      REGEXMATCH(B517, ""^First\([^&lt;]""),
      REGEXMATCH(B517, ""^First\(&lt;[^A-Za-z_]"")
    ),
    """",
    IF(
 "&amp;"     CFG!D517=""λ"",
      ""Follow("" &amp; CFG!B517 &amp; "") ="",
      ""First("" &amp; CFG!D517 &amp; "") =""
    )
  )
)
"),"#REF!")</f>
        <v>#REF!</v>
      </c>
      <c r="D517" s="663" t="str">
        <f>IFERROR(__xludf.DUMMYFUNCTION("IF(
  $C517="""",
  ""{ "" &amp;
    IF(
      REGEXMATCH(B517, ""^First\(\)""),
      "")"",
      REGEXEXTRACT(B517, ""^First\(([^ )]+)"")
    )
  &amp; "" }"",
  IF(
    REGEXMATCH($C517, ""^First\(&lt;""),
    VLOOKUP(REGEXEXTRACT($C517, ""\(([^)]+)\)""), 'First"&amp;" Set MacroA'!B:D, 3, FALSE),
    IF(
      REGEXMATCH($C517, ""^Follow\(&lt;""),
      VLOOKUP(REGEXEXTRACT($C517, ""\(([^)]+)\)""), 'Follow Set Macros'!B:D, 3, FALSE),
      ""{ "" &amp; REGEXEXTRACT($C517, ""\(([^)]+)\)"") &amp; "" }""
    )
  )
)
"),"#REF!")</f>
        <v>#REF!</v>
      </c>
      <c r="E517" s="664"/>
      <c r="F517" s="664"/>
      <c r="G517" s="664"/>
      <c r="H517" s="664"/>
      <c r="I517" s="664"/>
      <c r="J517" s="664"/>
      <c r="K517" s="664"/>
      <c r="L517" s="664"/>
      <c r="M517" s="664"/>
      <c r="N517" s="664"/>
      <c r="O517" s="664"/>
      <c r="P517" s="664"/>
      <c r="Q517" s="664"/>
      <c r="R517" s="664"/>
      <c r="S517" s="664"/>
      <c r="T517" s="664"/>
      <c r="U517" s="664"/>
      <c r="V517" s="664"/>
      <c r="W517" s="664"/>
      <c r="X517" s="664"/>
    </row>
    <row r="518">
      <c r="A518" s="661">
        <f t="shared" si="1"/>
        <v>518</v>
      </c>
      <c r="B518" s="662" t="str">
        <f t="shared" si="2"/>
        <v>#REF!</v>
      </c>
      <c r="C518" s="662" t="str">
        <f>IFERROR(__xludf.DUMMYFUNCTION("IF(
  REGEXMATCH(B518, ""^First\(λ - λ\) ∪ Follow\(""),
  ""Follow("" &amp; REGEXEXTRACT(B518, ""Follow\(([^)]+)\)"") &amp; "") ="",
  IF(
    OR(
      REGEXMATCH(B518, ""^First\([^&lt;]""),
      REGEXMATCH(B518, ""^First\(&lt;[^A-Za-z_]"")
    ),
    """",
    IF(
 "&amp;"     CFG!D518=""λ"",
      ""Follow("" &amp; CFG!B518 &amp; "") ="",
      ""First("" &amp; CFG!D518 &amp; "") =""
    )
  )
)
"),"#REF!")</f>
        <v>#REF!</v>
      </c>
      <c r="D518" s="663" t="str">
        <f>IFERROR(__xludf.DUMMYFUNCTION("IF(
  $C518="""",
  ""{ "" &amp;
    IF(
      REGEXMATCH(B518, ""^First\(\)""),
      "")"",
      REGEXEXTRACT(B518, ""^First\(([^ )]+)"")
    )
  &amp; "" }"",
  IF(
    REGEXMATCH($C518, ""^First\(&lt;""),
    VLOOKUP(REGEXEXTRACT($C518, ""\(([^)]+)\)""), 'First"&amp;" Set MacroA'!B:D, 3, FALSE),
    IF(
      REGEXMATCH($C518, ""^Follow\(&lt;""),
      VLOOKUP(REGEXEXTRACT($C518, ""\(([^)]+)\)""), 'Follow Set Macros'!B:D, 3, FALSE),
      ""{ "" &amp; REGEXEXTRACT($C518, ""\(([^)]+)\)"") &amp; "" }""
    )
  )
)
"),"#REF!")</f>
        <v>#REF!</v>
      </c>
      <c r="E518" s="664"/>
      <c r="F518" s="664"/>
      <c r="G518" s="664"/>
      <c r="H518" s="664"/>
      <c r="I518" s="664"/>
      <c r="J518" s="664"/>
      <c r="K518" s="664"/>
      <c r="L518" s="664"/>
      <c r="M518" s="664"/>
      <c r="N518" s="664"/>
      <c r="O518" s="664"/>
      <c r="P518" s="664"/>
      <c r="Q518" s="664"/>
      <c r="R518" s="664"/>
      <c r="S518" s="664"/>
      <c r="T518" s="664"/>
      <c r="U518" s="664"/>
      <c r="V518" s="664"/>
      <c r="W518" s="664"/>
      <c r="X518" s="664"/>
    </row>
    <row r="519">
      <c r="A519" s="661">
        <f t="shared" si="1"/>
        <v>519</v>
      </c>
      <c r="B519" s="662" t="str">
        <f t="shared" si="2"/>
        <v>#REF!</v>
      </c>
      <c r="C519" s="662" t="str">
        <f>IFERROR(__xludf.DUMMYFUNCTION("IF(
  REGEXMATCH(B519, ""^First\(λ - λ\) ∪ Follow\(""),
  ""Follow("" &amp; REGEXEXTRACT(B519, ""Follow\(([^)]+)\)"") &amp; "") ="",
  IF(
    OR(
      REGEXMATCH(B519, ""^First\([^&lt;]""),
      REGEXMATCH(B519, ""^First\(&lt;[^A-Za-z_]"")
    ),
    """",
    IF(
 "&amp;"     CFG!D519=""λ"",
      ""Follow("" &amp; CFG!B519 &amp; "") ="",
      ""First("" &amp; CFG!D519 &amp; "") =""
    )
  )
)
"),"#REF!")</f>
        <v>#REF!</v>
      </c>
      <c r="D519" s="663" t="str">
        <f>IFERROR(__xludf.DUMMYFUNCTION("IF(
  $C519="""",
  ""{ "" &amp;
    IF(
      REGEXMATCH(B519, ""^First\(\)""),
      "")"",
      REGEXEXTRACT(B519, ""^First\(([^ )]+)"")
    )
  &amp; "" }"",
  IF(
    REGEXMATCH($C519, ""^First\(&lt;""),
    VLOOKUP(REGEXEXTRACT($C519, ""\(([^)]+)\)""), 'First"&amp;" Set MacroA'!B:D, 3, FALSE),
    IF(
      REGEXMATCH($C519, ""^Follow\(&lt;""),
      VLOOKUP(REGEXEXTRACT($C519, ""\(([^)]+)\)""), 'Follow Set Macros'!B:D, 3, FALSE),
      ""{ "" &amp; REGEXEXTRACT($C519, ""\(([^)]+)\)"") &amp; "" }""
    )
  )
)
"),"#REF!")</f>
        <v>#REF!</v>
      </c>
      <c r="E519" s="664"/>
      <c r="F519" s="664"/>
      <c r="G519" s="664"/>
      <c r="H519" s="664"/>
      <c r="I519" s="664"/>
      <c r="J519" s="664"/>
      <c r="K519" s="664"/>
      <c r="L519" s="664"/>
      <c r="M519" s="664"/>
      <c r="N519" s="664"/>
      <c r="O519" s="664"/>
      <c r="P519" s="664"/>
      <c r="Q519" s="664"/>
      <c r="R519" s="664"/>
      <c r="S519" s="664"/>
      <c r="T519" s="664"/>
      <c r="U519" s="664"/>
      <c r="V519" s="664"/>
      <c r="W519" s="664"/>
      <c r="X519" s="664"/>
    </row>
    <row r="520">
      <c r="A520" s="661">
        <f t="shared" si="1"/>
        <v>520</v>
      </c>
      <c r="B520" s="662" t="str">
        <f t="shared" si="2"/>
        <v>#REF!</v>
      </c>
      <c r="C520" s="662" t="str">
        <f>IFERROR(__xludf.DUMMYFUNCTION("IF(
  REGEXMATCH(B520, ""^First\(λ - λ\) ∪ Follow\(""),
  ""Follow("" &amp; REGEXEXTRACT(B520, ""Follow\(([^)]+)\)"") &amp; "") ="",
  IF(
    OR(
      REGEXMATCH(B520, ""^First\([^&lt;]""),
      REGEXMATCH(B520, ""^First\(&lt;[^A-Za-z_]"")
    ),
    """",
    IF(
 "&amp;"     CFG!D520=""λ"",
      ""Follow("" &amp; CFG!B520 &amp; "") ="",
      ""First("" &amp; CFG!D520 &amp; "") =""
    )
  )
)
"),"#REF!")</f>
        <v>#REF!</v>
      </c>
      <c r="D520" s="663" t="str">
        <f>IFERROR(__xludf.DUMMYFUNCTION("IF(
  $C520="""",
  ""{ "" &amp;
    IF(
      REGEXMATCH(B520, ""^First\(\)""),
      "")"",
      REGEXEXTRACT(B520, ""^First\(([^ )]+)"")
    )
  &amp; "" }"",
  IF(
    REGEXMATCH($C520, ""^First\(&lt;""),
    VLOOKUP(REGEXEXTRACT($C520, ""\(([^)]+)\)""), 'First"&amp;" Set MacroA'!B:D, 3, FALSE),
    IF(
      REGEXMATCH($C520, ""^Follow\(&lt;""),
      VLOOKUP(REGEXEXTRACT($C520, ""\(([^)]+)\)""), 'Follow Set Macros'!B:D, 3, FALSE),
      ""{ "" &amp; REGEXEXTRACT($C520, ""\(([^)]+)\)"") &amp; "" }""
    )
  )
)
"),"#REF!")</f>
        <v>#REF!</v>
      </c>
      <c r="E520" s="664"/>
      <c r="F520" s="664"/>
      <c r="G520" s="664"/>
      <c r="H520" s="664"/>
      <c r="I520" s="664"/>
      <c r="J520" s="664"/>
      <c r="K520" s="664"/>
      <c r="L520" s="664"/>
      <c r="M520" s="664"/>
      <c r="N520" s="664"/>
      <c r="O520" s="664"/>
      <c r="P520" s="664"/>
      <c r="Q520" s="664"/>
      <c r="R520" s="664"/>
      <c r="S520" s="664"/>
      <c r="T520" s="664"/>
      <c r="U520" s="664"/>
      <c r="V520" s="664"/>
      <c r="W520" s="664"/>
      <c r="X520" s="664"/>
    </row>
    <row r="521">
      <c r="A521" s="661">
        <f t="shared" si="1"/>
        <v>521</v>
      </c>
      <c r="B521" s="662" t="str">
        <f t="shared" si="2"/>
        <v>#REF!</v>
      </c>
      <c r="C521" s="662" t="str">
        <f>IFERROR(__xludf.DUMMYFUNCTION("IF(
  REGEXMATCH(B521, ""^First\(λ - λ\) ∪ Follow\(""),
  ""Follow("" &amp; REGEXEXTRACT(B521, ""Follow\(([^)]+)\)"") &amp; "") ="",
  IF(
    OR(
      REGEXMATCH(B521, ""^First\([^&lt;]""),
      REGEXMATCH(B521, ""^First\(&lt;[^A-Za-z_]"")
    ),
    """",
    IF(
 "&amp;"     CFG!D521=""λ"",
      ""Follow("" &amp; CFG!B521 &amp; "") ="",
      ""First("" &amp; CFG!D521 &amp; "") =""
    )
  )
)
"),"#REF!")</f>
        <v>#REF!</v>
      </c>
      <c r="D521" s="663" t="str">
        <f>IFERROR(__xludf.DUMMYFUNCTION("IF(
  $C521="""",
  ""{ "" &amp;
    IF(
      REGEXMATCH(B521, ""^First\(\)""),
      "")"",
      REGEXEXTRACT(B521, ""^First\(([^ )]+)"")
    )
  &amp; "" }"",
  IF(
    REGEXMATCH($C521, ""^First\(&lt;""),
    VLOOKUP(REGEXEXTRACT($C521, ""\(([^)]+)\)""), 'First"&amp;" Set MacroA'!B:D, 3, FALSE),
    IF(
      REGEXMATCH($C521, ""^Follow\(&lt;""),
      VLOOKUP(REGEXEXTRACT($C521, ""\(([^)]+)\)""), 'Follow Set Macros'!B:D, 3, FALSE),
      ""{ "" &amp; REGEXEXTRACT($C521, ""\(([^)]+)\)"") &amp; "" }""
    )
  )
)
"),"#REF!")</f>
        <v>#REF!</v>
      </c>
      <c r="E521" s="664"/>
      <c r="F521" s="664"/>
      <c r="G521" s="664"/>
      <c r="H521" s="664"/>
      <c r="I521" s="664"/>
      <c r="J521" s="664"/>
      <c r="K521" s="664"/>
      <c r="L521" s="664"/>
      <c r="M521" s="664"/>
      <c r="N521" s="664"/>
      <c r="O521" s="664"/>
      <c r="P521" s="664"/>
      <c r="Q521" s="664"/>
      <c r="R521" s="664"/>
      <c r="S521" s="664"/>
      <c r="T521" s="664"/>
      <c r="U521" s="664"/>
      <c r="V521" s="664"/>
      <c r="W521" s="664"/>
      <c r="X521" s="664"/>
    </row>
    <row r="522">
      <c r="A522" s="661">
        <f t="shared" si="1"/>
        <v>522</v>
      </c>
      <c r="B522" s="662" t="str">
        <f t="shared" si="2"/>
        <v>#REF!</v>
      </c>
      <c r="C522" s="662" t="str">
        <f>IFERROR(__xludf.DUMMYFUNCTION("IF(
  REGEXMATCH(B522, ""^First\(λ - λ\) ∪ Follow\(""),
  ""Follow("" &amp; REGEXEXTRACT(B522, ""Follow\(([^)]+)\)"") &amp; "") ="",
  IF(
    OR(
      REGEXMATCH(B522, ""^First\([^&lt;]""),
      REGEXMATCH(B522, ""^First\(&lt;[^A-Za-z_]"")
    ),
    """",
    IF(
 "&amp;"     CFG!D522=""λ"",
      ""Follow("" &amp; CFG!B522 &amp; "") ="",
      ""First("" &amp; CFG!D522 &amp; "") =""
    )
  )
)
"),"#REF!")</f>
        <v>#REF!</v>
      </c>
      <c r="D522" s="663" t="str">
        <f>IFERROR(__xludf.DUMMYFUNCTION("IF(
  $C522="""",
  ""{ "" &amp;
    IF(
      REGEXMATCH(B522, ""^First\(\)""),
      "")"",
      REGEXEXTRACT(B522, ""^First\(([^ )]+)"")
    )
  &amp; "" }"",
  IF(
    REGEXMATCH($C522, ""^First\(&lt;""),
    VLOOKUP(REGEXEXTRACT($C522, ""\(([^)]+)\)""), 'First"&amp;" Set MacroA'!B:D, 3, FALSE),
    IF(
      REGEXMATCH($C522, ""^Follow\(&lt;""),
      VLOOKUP(REGEXEXTRACT($C522, ""\(([^)]+)\)""), 'Follow Set Macros'!B:D, 3, FALSE),
      ""{ "" &amp; REGEXEXTRACT($C522, ""\(([^)]+)\)"") &amp; "" }""
    )
  )
)
"),"#REF!")</f>
        <v>#REF!</v>
      </c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</row>
    <row r="523">
      <c r="A523" s="661">
        <f t="shared" si="1"/>
        <v>523</v>
      </c>
      <c r="B523" s="662" t="str">
        <f t="shared" si="2"/>
        <v>#REF!</v>
      </c>
      <c r="C523" s="662" t="str">
        <f>IFERROR(__xludf.DUMMYFUNCTION("IF(
  REGEXMATCH(B523, ""^First\(λ - λ\) ∪ Follow\(""),
  ""Follow("" &amp; REGEXEXTRACT(B523, ""Follow\(([^)]+)\)"") &amp; "") ="",
  IF(
    OR(
      REGEXMATCH(B523, ""^First\([^&lt;]""),
      REGEXMATCH(B523, ""^First\(&lt;[^A-Za-z_]"")
    ),
    """",
    IF(
 "&amp;"     CFG!D523=""λ"",
      ""Follow("" &amp; CFG!B523 &amp; "") ="",
      ""First("" &amp; CFG!D523 &amp; "") =""
    )
  )
)
"),"#REF!")</f>
        <v>#REF!</v>
      </c>
      <c r="D523" s="663" t="str">
        <f>IFERROR(__xludf.DUMMYFUNCTION("IF(
  $C523="""",
  ""{ "" &amp;
    IF(
      REGEXMATCH(B523, ""^First\(\)""),
      "")"",
      REGEXEXTRACT(B523, ""^First\(([^ )]+)"")
    )
  &amp; "" }"",
  IF(
    REGEXMATCH($C523, ""^First\(&lt;""),
    VLOOKUP(REGEXEXTRACT($C523, ""\(([^)]+)\)""), 'First"&amp;" Set MacroA'!B:D, 3, FALSE),
    IF(
      REGEXMATCH($C523, ""^Follow\(&lt;""),
      VLOOKUP(REGEXEXTRACT($C523, ""\(([^)]+)\)""), 'Follow Set Macros'!B:D, 3, FALSE),
      ""{ "" &amp; REGEXEXTRACT($C523, ""\(([^)]+)\)"") &amp; "" }""
    )
  )
)
"),"#REF!")</f>
        <v>#REF!</v>
      </c>
      <c r="E523" s="664"/>
      <c r="F523" s="664"/>
      <c r="G523" s="664"/>
      <c r="H523" s="664"/>
      <c r="I523" s="664"/>
      <c r="J523" s="664"/>
      <c r="K523" s="664"/>
      <c r="L523" s="664"/>
      <c r="M523" s="664"/>
      <c r="N523" s="664"/>
      <c r="O523" s="664"/>
      <c r="P523" s="664"/>
      <c r="Q523" s="664"/>
      <c r="R523" s="664"/>
      <c r="S523" s="664"/>
      <c r="T523" s="664"/>
      <c r="U523" s="664"/>
      <c r="V523" s="664"/>
      <c r="W523" s="664"/>
      <c r="X523" s="664"/>
    </row>
    <row r="524">
      <c r="A524" s="661">
        <f t="shared" si="1"/>
        <v>524</v>
      </c>
      <c r="B524" s="662" t="str">
        <f t="shared" si="2"/>
        <v>#REF!</v>
      </c>
      <c r="C524" s="662" t="str">
        <f>IFERROR(__xludf.DUMMYFUNCTION("IF(
  REGEXMATCH(B524, ""^First\(λ - λ\) ∪ Follow\(""),
  ""Follow("" &amp; REGEXEXTRACT(B524, ""Follow\(([^)]+)\)"") &amp; "") ="",
  IF(
    OR(
      REGEXMATCH(B524, ""^First\([^&lt;]""),
      REGEXMATCH(B524, ""^First\(&lt;[^A-Za-z_]"")
    ),
    """",
    IF(
 "&amp;"     CFG!D524=""λ"",
      ""Follow("" &amp; CFG!B524 &amp; "") ="",
      ""First("" &amp; CFG!D524 &amp; "") =""
    )
  )
)
"),"#REF!")</f>
        <v>#REF!</v>
      </c>
      <c r="D524" s="663" t="str">
        <f>IFERROR(__xludf.DUMMYFUNCTION("IF(
  $C524="""",
  ""{ "" &amp;
    IF(
      REGEXMATCH(B524, ""^First\(\)""),
      "")"",
      REGEXEXTRACT(B524, ""^First\(([^ )]+)"")
    )
  &amp; "" }"",
  IF(
    REGEXMATCH($C524, ""^First\(&lt;""),
    VLOOKUP(REGEXEXTRACT($C524, ""\(([^)]+)\)""), 'First"&amp;" Set MacroA'!B:D, 3, FALSE),
    IF(
      REGEXMATCH($C524, ""^Follow\(&lt;""),
      VLOOKUP(REGEXEXTRACT($C524, ""\(([^)]+)\)""), 'Follow Set Macros'!B:D, 3, FALSE),
      ""{ "" &amp; REGEXEXTRACT($C524, ""\(([^)]+)\)"") &amp; "" }""
    )
  )
)
"),"#REF!")</f>
        <v>#REF!</v>
      </c>
      <c r="E524" s="664"/>
      <c r="F524" s="664"/>
      <c r="G524" s="664"/>
      <c r="H524" s="664"/>
      <c r="I524" s="664"/>
      <c r="J524" s="664"/>
      <c r="K524" s="664"/>
      <c r="L524" s="664"/>
      <c r="M524" s="664"/>
      <c r="N524" s="664"/>
      <c r="O524" s="664"/>
      <c r="P524" s="664"/>
      <c r="Q524" s="664"/>
      <c r="R524" s="664"/>
      <c r="S524" s="664"/>
      <c r="T524" s="664"/>
      <c r="U524" s="664"/>
      <c r="V524" s="664"/>
      <c r="W524" s="664"/>
      <c r="X524" s="664"/>
    </row>
    <row r="525">
      <c r="A525" s="661">
        <f t="shared" si="1"/>
        <v>525</v>
      </c>
      <c r="B525" s="662" t="str">
        <f t="shared" si="2"/>
        <v>#REF!</v>
      </c>
      <c r="C525" s="662" t="str">
        <f>IFERROR(__xludf.DUMMYFUNCTION("IF(
  REGEXMATCH(B525, ""^First\(λ - λ\) ∪ Follow\(""),
  ""Follow("" &amp; REGEXEXTRACT(B525, ""Follow\(([^)]+)\)"") &amp; "") ="",
  IF(
    OR(
      REGEXMATCH(B525, ""^First\([^&lt;]""),
      REGEXMATCH(B525, ""^First\(&lt;[^A-Za-z_]"")
    ),
    """",
    IF(
 "&amp;"     CFG!D525=""λ"",
      ""Follow("" &amp; CFG!B525 &amp; "") ="",
      ""First("" &amp; CFG!D525 &amp; "") =""
    )
  )
)
"),"#REF!")</f>
        <v>#REF!</v>
      </c>
      <c r="D525" s="663" t="str">
        <f>IFERROR(__xludf.DUMMYFUNCTION("IF(
  $C525="""",
  ""{ "" &amp;
    IF(
      REGEXMATCH(B525, ""^First\(\)""),
      "")"",
      REGEXEXTRACT(B525, ""^First\(([^ )]+)"")
    )
  &amp; "" }"",
  IF(
    REGEXMATCH($C525, ""^First\(&lt;""),
    VLOOKUP(REGEXEXTRACT($C525, ""\(([^)]+)\)""), 'First"&amp;" Set MacroA'!B:D, 3, FALSE),
    IF(
      REGEXMATCH($C525, ""^Follow\(&lt;""),
      VLOOKUP(REGEXEXTRACT($C525, ""\(([^)]+)\)""), 'Follow Set Macros'!B:D, 3, FALSE),
      ""{ "" &amp; REGEXEXTRACT($C525, ""\(([^)]+)\)"") &amp; "" }""
    )
  )
)
"),"#REF!")</f>
        <v>#REF!</v>
      </c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</row>
    <row r="526">
      <c r="A526" s="661">
        <f t="shared" si="1"/>
        <v>526</v>
      </c>
      <c r="B526" s="662" t="str">
        <f t="shared" si="2"/>
        <v>#REF!</v>
      </c>
      <c r="C526" s="662" t="str">
        <f>IFERROR(__xludf.DUMMYFUNCTION("IF(
  REGEXMATCH(B526, ""^First\(λ - λ\) ∪ Follow\(""),
  ""Follow("" &amp; REGEXEXTRACT(B526, ""Follow\(([^)]+)\)"") &amp; "") ="",
  IF(
    OR(
      REGEXMATCH(B526, ""^First\([^&lt;]""),
      REGEXMATCH(B526, ""^First\(&lt;[^A-Za-z_]"")
    ),
    """",
    IF(
 "&amp;"     CFG!D526=""λ"",
      ""Follow("" &amp; CFG!B526 &amp; "") ="",
      ""First("" &amp; CFG!D526 &amp; "") =""
    )
  )
)
"),"#REF!")</f>
        <v>#REF!</v>
      </c>
      <c r="D526" s="663" t="str">
        <f>IFERROR(__xludf.DUMMYFUNCTION("IF(
  $C526="""",
  ""{ "" &amp;
    IF(
      REGEXMATCH(B526, ""^First\(\)""),
      "")"",
      REGEXEXTRACT(B526, ""^First\(([^ )]+)"")
    )
  &amp; "" }"",
  IF(
    REGEXMATCH($C526, ""^First\(&lt;""),
    VLOOKUP(REGEXEXTRACT($C526, ""\(([^)]+)\)""), 'First"&amp;" Set MacroA'!B:D, 3, FALSE),
    IF(
      REGEXMATCH($C526, ""^Follow\(&lt;""),
      VLOOKUP(REGEXEXTRACT($C526, ""\(([^)]+)\)""), 'Follow Set Macros'!B:D, 3, FALSE),
      ""{ "" &amp; REGEXEXTRACT($C526, ""\(([^)]+)\)"") &amp; "" }""
    )
  )
)
"),"#REF!")</f>
        <v>#REF!</v>
      </c>
      <c r="E526" s="664"/>
      <c r="F526" s="664"/>
      <c r="G526" s="664"/>
      <c r="H526" s="664"/>
      <c r="I526" s="664"/>
      <c r="J526" s="664"/>
      <c r="K526" s="664"/>
      <c r="L526" s="664"/>
      <c r="M526" s="664"/>
      <c r="N526" s="664"/>
      <c r="O526" s="664"/>
      <c r="P526" s="664"/>
      <c r="Q526" s="664"/>
      <c r="R526" s="664"/>
      <c r="S526" s="664"/>
      <c r="T526" s="664"/>
      <c r="U526" s="664"/>
      <c r="V526" s="664"/>
      <c r="W526" s="664"/>
      <c r="X526" s="664"/>
    </row>
    <row r="527">
      <c r="A527" s="661">
        <f t="shared" si="1"/>
        <v>527</v>
      </c>
      <c r="B527" s="662" t="str">
        <f t="shared" si="2"/>
        <v>#REF!</v>
      </c>
      <c r="C527" s="662" t="str">
        <f>IFERROR(__xludf.DUMMYFUNCTION("IF(
  REGEXMATCH(B527, ""^First\(λ - λ\) ∪ Follow\(""),
  ""Follow("" &amp; REGEXEXTRACT(B527, ""Follow\(([^)]+)\)"") &amp; "") ="",
  IF(
    OR(
      REGEXMATCH(B527, ""^First\([^&lt;]""),
      REGEXMATCH(B527, ""^First\(&lt;[^A-Za-z_]"")
    ),
    """",
    IF(
 "&amp;"     CFG!D527=""λ"",
      ""Follow("" &amp; CFG!B527 &amp; "") ="",
      ""First("" &amp; CFG!D527 &amp; "") =""
    )
  )
)
"),"#REF!")</f>
        <v>#REF!</v>
      </c>
      <c r="D527" s="663" t="str">
        <f>IFERROR(__xludf.DUMMYFUNCTION("IF(
  $C527="""",
  ""{ "" &amp;
    IF(
      REGEXMATCH(B527, ""^First\(\)""),
      "")"",
      REGEXEXTRACT(B527, ""^First\(([^ )]+)"")
    )
  &amp; "" }"",
  IF(
    REGEXMATCH($C527, ""^First\(&lt;""),
    VLOOKUP(REGEXEXTRACT($C527, ""\(([^)]+)\)""), 'First"&amp;" Set MacroA'!B:D, 3, FALSE),
    IF(
      REGEXMATCH($C527, ""^Follow\(&lt;""),
      VLOOKUP(REGEXEXTRACT($C527, ""\(([^)]+)\)""), 'Follow Set Macros'!B:D, 3, FALSE),
      ""{ "" &amp; REGEXEXTRACT($C527, ""\(([^)]+)\)"") &amp; "" }""
    )
  )
)
"),"#REF!")</f>
        <v>#REF!</v>
      </c>
      <c r="E527" s="664"/>
      <c r="F527" s="664"/>
      <c r="G527" s="664"/>
      <c r="H527" s="664"/>
      <c r="I527" s="664"/>
      <c r="J527" s="664"/>
      <c r="K527" s="664"/>
      <c r="L527" s="664"/>
      <c r="M527" s="664"/>
      <c r="N527" s="664"/>
      <c r="O527" s="664"/>
      <c r="P527" s="664"/>
      <c r="Q527" s="664"/>
      <c r="R527" s="664"/>
      <c r="S527" s="664"/>
      <c r="T527" s="664"/>
      <c r="U527" s="664"/>
      <c r="V527" s="664"/>
      <c r="W527" s="664"/>
      <c r="X527" s="664"/>
    </row>
    <row r="528">
      <c r="A528" s="661">
        <f t="shared" si="1"/>
        <v>528</v>
      </c>
      <c r="B528" s="662" t="str">
        <f t="shared" si="2"/>
        <v>#REF!</v>
      </c>
      <c r="C528" s="662" t="str">
        <f>IFERROR(__xludf.DUMMYFUNCTION("IF(
  REGEXMATCH(B528, ""^First\(λ - λ\) ∪ Follow\(""),
  ""Follow("" &amp; REGEXEXTRACT(B528, ""Follow\(([^)]+)\)"") &amp; "") ="",
  IF(
    OR(
      REGEXMATCH(B528, ""^First\([^&lt;]""),
      REGEXMATCH(B528, ""^First\(&lt;[^A-Za-z_]"")
    ),
    """",
    IF(
 "&amp;"     CFG!D528=""λ"",
      ""Follow("" &amp; CFG!B528 &amp; "") ="",
      ""First("" &amp; CFG!D528 &amp; "") =""
    )
  )
)
"),"#REF!")</f>
        <v>#REF!</v>
      </c>
      <c r="D528" s="663" t="str">
        <f>IFERROR(__xludf.DUMMYFUNCTION("IF(
  $C528="""",
  ""{ "" &amp;
    IF(
      REGEXMATCH(B528, ""^First\(\)""),
      "")"",
      REGEXEXTRACT(B528, ""^First\(([^ )]+)"")
    )
  &amp; "" }"",
  IF(
    REGEXMATCH($C528, ""^First\(&lt;""),
    VLOOKUP(REGEXEXTRACT($C528, ""\(([^)]+)\)""), 'First"&amp;" Set MacroA'!B:D, 3, FALSE),
    IF(
      REGEXMATCH($C528, ""^Follow\(&lt;""),
      VLOOKUP(REGEXEXTRACT($C528, ""\(([^)]+)\)""), 'Follow Set Macros'!B:D, 3, FALSE),
      ""{ "" &amp; REGEXEXTRACT($C528, ""\(([^)]+)\)"") &amp; "" }""
    )
  )
)
"),"#REF!")</f>
        <v>#REF!</v>
      </c>
      <c r="E528" s="664"/>
      <c r="F528" s="664"/>
      <c r="G528" s="664"/>
      <c r="H528" s="664"/>
      <c r="I528" s="664"/>
      <c r="J528" s="664"/>
      <c r="K528" s="664"/>
      <c r="L528" s="664"/>
      <c r="M528" s="664"/>
      <c r="N528" s="664"/>
      <c r="O528" s="664"/>
      <c r="P528" s="664"/>
      <c r="Q528" s="664"/>
      <c r="R528" s="664"/>
      <c r="S528" s="664"/>
      <c r="T528" s="664"/>
      <c r="U528" s="664"/>
      <c r="V528" s="664"/>
      <c r="W528" s="664"/>
      <c r="X528" s="664"/>
    </row>
    <row r="529">
      <c r="A529" s="661">
        <f t="shared" si="1"/>
        <v>529</v>
      </c>
      <c r="B529" s="662" t="str">
        <f t="shared" si="2"/>
        <v>#REF!</v>
      </c>
      <c r="C529" s="662" t="str">
        <f>IFERROR(__xludf.DUMMYFUNCTION("IF(
  REGEXMATCH(B529, ""^First\(λ - λ\) ∪ Follow\(""),
  ""Follow("" &amp; REGEXEXTRACT(B529, ""Follow\(([^)]+)\)"") &amp; "") ="",
  IF(
    OR(
      REGEXMATCH(B529, ""^First\([^&lt;]""),
      REGEXMATCH(B529, ""^First\(&lt;[^A-Za-z_]"")
    ),
    """",
    IF(
 "&amp;"     CFG!D529=""λ"",
      ""Follow("" &amp; CFG!B529 &amp; "") ="",
      ""First("" &amp; CFG!D529 &amp; "") =""
    )
  )
)
"),"#REF!")</f>
        <v>#REF!</v>
      </c>
      <c r="D529" s="663" t="str">
        <f>IFERROR(__xludf.DUMMYFUNCTION("IF(
  $C529="""",
  ""{ "" &amp;
    IF(
      REGEXMATCH(B529, ""^First\(\)""),
      "")"",
      REGEXEXTRACT(B529, ""^First\(([^ )]+)"")
    )
  &amp; "" }"",
  IF(
    REGEXMATCH($C529, ""^First\(&lt;""),
    VLOOKUP(REGEXEXTRACT($C529, ""\(([^)]+)\)""), 'First"&amp;" Set MacroA'!B:D, 3, FALSE),
    IF(
      REGEXMATCH($C529, ""^Follow\(&lt;""),
      VLOOKUP(REGEXEXTRACT($C529, ""\(([^)]+)\)""), 'Follow Set Macros'!B:D, 3, FALSE),
      ""{ "" &amp; REGEXEXTRACT($C529, ""\(([^)]+)\)"") &amp; "" }""
    )
  )
)
"),"#REF!")</f>
        <v>#REF!</v>
      </c>
      <c r="E529" s="664"/>
      <c r="F529" s="664"/>
      <c r="G529" s="664"/>
      <c r="H529" s="664"/>
      <c r="I529" s="664"/>
      <c r="J529" s="664"/>
      <c r="K529" s="664"/>
      <c r="L529" s="664"/>
      <c r="M529" s="664"/>
      <c r="N529" s="664"/>
      <c r="O529" s="664"/>
      <c r="P529" s="664"/>
      <c r="Q529" s="664"/>
      <c r="R529" s="664"/>
      <c r="S529" s="664"/>
      <c r="T529" s="664"/>
      <c r="U529" s="664"/>
      <c r="V529" s="664"/>
      <c r="W529" s="664"/>
      <c r="X529" s="664"/>
    </row>
    <row r="530">
      <c r="A530" s="661">
        <f t="shared" si="1"/>
        <v>530</v>
      </c>
      <c r="B530" s="662" t="str">
        <f t="shared" si="2"/>
        <v>#REF!</v>
      </c>
      <c r="C530" s="662" t="str">
        <f>IFERROR(__xludf.DUMMYFUNCTION("IF(
  REGEXMATCH(B530, ""^First\(λ - λ\) ∪ Follow\(""),
  ""Follow("" &amp; REGEXEXTRACT(B530, ""Follow\(([^)]+)\)"") &amp; "") ="",
  IF(
    OR(
      REGEXMATCH(B530, ""^First\([^&lt;]""),
      REGEXMATCH(B530, ""^First\(&lt;[^A-Za-z_]"")
    ),
    """",
    IF(
 "&amp;"     CFG!D530=""λ"",
      ""Follow("" &amp; CFG!B530 &amp; "") ="",
      ""First("" &amp; CFG!D530 &amp; "") =""
    )
  )
)
"),"#REF!")</f>
        <v>#REF!</v>
      </c>
      <c r="D530" s="663" t="str">
        <f>IFERROR(__xludf.DUMMYFUNCTION("IF(
  $C530="""",
  ""{ "" &amp;
    IF(
      REGEXMATCH(B530, ""^First\(\)""),
      "")"",
      REGEXEXTRACT(B530, ""^First\(([^ )]+)"")
    )
  &amp; "" }"",
  IF(
    REGEXMATCH($C530, ""^First\(&lt;""),
    VLOOKUP(REGEXEXTRACT($C530, ""\(([^)]+)\)""), 'First"&amp;" Set MacroA'!B:D, 3, FALSE),
    IF(
      REGEXMATCH($C530, ""^Follow\(&lt;""),
      VLOOKUP(REGEXEXTRACT($C530, ""\(([^)]+)\)""), 'Follow Set Macros'!B:D, 3, FALSE),
      ""{ "" &amp; REGEXEXTRACT($C530, ""\(([^)]+)\)"") &amp; "" }""
    )
  )
)
"),"#REF!")</f>
        <v>#REF!</v>
      </c>
      <c r="E530" s="664"/>
      <c r="F530" s="664"/>
      <c r="G530" s="664"/>
      <c r="H530" s="664"/>
      <c r="I530" s="664"/>
      <c r="J530" s="664"/>
      <c r="K530" s="664"/>
      <c r="L530" s="664"/>
      <c r="M530" s="664"/>
      <c r="N530" s="664"/>
      <c r="O530" s="664"/>
      <c r="P530" s="664"/>
      <c r="Q530" s="664"/>
      <c r="R530" s="664"/>
      <c r="S530" s="664"/>
      <c r="T530" s="664"/>
      <c r="U530" s="664"/>
      <c r="V530" s="664"/>
      <c r="W530" s="664"/>
      <c r="X530" s="664"/>
    </row>
    <row r="531">
      <c r="A531" s="661">
        <f t="shared" si="1"/>
        <v>531</v>
      </c>
      <c r="B531" s="662" t="str">
        <f t="shared" si="2"/>
        <v>#REF!</v>
      </c>
      <c r="C531" s="662" t="str">
        <f>IFERROR(__xludf.DUMMYFUNCTION("IF(
  REGEXMATCH(B531, ""^First\(λ - λ\) ∪ Follow\(""),
  ""Follow("" &amp; REGEXEXTRACT(B531, ""Follow\(([^)]+)\)"") &amp; "") ="",
  IF(
    OR(
      REGEXMATCH(B531, ""^First\([^&lt;]""),
      REGEXMATCH(B531, ""^First\(&lt;[^A-Za-z_]"")
    ),
    """",
    IF(
 "&amp;"     CFG!D531=""λ"",
      ""Follow("" &amp; CFG!B531 &amp; "") ="",
      ""First("" &amp; CFG!D531 &amp; "") =""
    )
  )
)
"),"#REF!")</f>
        <v>#REF!</v>
      </c>
      <c r="D531" s="663" t="str">
        <f>IFERROR(__xludf.DUMMYFUNCTION("IF(
  $C531="""",
  ""{ "" &amp;
    IF(
      REGEXMATCH(B531, ""^First\(\)""),
      "")"",
      REGEXEXTRACT(B531, ""^First\(([^ )]+)"")
    )
  &amp; "" }"",
  IF(
    REGEXMATCH($C531, ""^First\(&lt;""),
    VLOOKUP(REGEXEXTRACT($C531, ""\(([^)]+)\)""), 'First"&amp;" Set MacroA'!B:D, 3, FALSE),
    IF(
      REGEXMATCH($C531, ""^Follow\(&lt;""),
      VLOOKUP(REGEXEXTRACT($C531, ""\(([^)]+)\)""), 'Follow Set Macros'!B:D, 3, FALSE),
      ""{ "" &amp; REGEXEXTRACT($C531, ""\(([^)]+)\)"") &amp; "" }""
    )
  )
)
"),"#REF!")</f>
        <v>#REF!</v>
      </c>
      <c r="E531" s="664"/>
      <c r="F531" s="664"/>
      <c r="G531" s="664"/>
      <c r="H531" s="664"/>
      <c r="I531" s="664"/>
      <c r="J531" s="664"/>
      <c r="K531" s="664"/>
      <c r="L531" s="664"/>
      <c r="M531" s="664"/>
      <c r="N531" s="664"/>
      <c r="O531" s="664"/>
      <c r="P531" s="664"/>
      <c r="Q531" s="664"/>
      <c r="R531" s="664"/>
      <c r="S531" s="664"/>
      <c r="T531" s="664"/>
      <c r="U531" s="664"/>
      <c r="V531" s="664"/>
      <c r="W531" s="664"/>
      <c r="X531" s="664"/>
    </row>
    <row r="532">
      <c r="A532" s="661">
        <f t="shared" si="1"/>
        <v>532</v>
      </c>
      <c r="B532" s="662" t="str">
        <f t="shared" si="2"/>
        <v>#REF!</v>
      </c>
      <c r="C532" s="662" t="str">
        <f>IFERROR(__xludf.DUMMYFUNCTION("IF(
  REGEXMATCH(B532, ""^First\(λ - λ\) ∪ Follow\(""),
  ""Follow("" &amp; REGEXEXTRACT(B532, ""Follow\(([^)]+)\)"") &amp; "") ="",
  IF(
    OR(
      REGEXMATCH(B532, ""^First\([^&lt;]""),
      REGEXMATCH(B532, ""^First\(&lt;[^A-Za-z_]"")
    ),
    """",
    IF(
 "&amp;"     CFG!D532=""λ"",
      ""Follow("" &amp; CFG!B532 &amp; "") ="",
      ""First("" &amp; CFG!D532 &amp; "") =""
    )
  )
)
"),"#REF!")</f>
        <v>#REF!</v>
      </c>
      <c r="D532" s="663" t="str">
        <f>IFERROR(__xludf.DUMMYFUNCTION("IF(
  $C532="""",
  ""{ "" &amp;
    IF(
      REGEXMATCH(B532, ""^First\(\)""),
      "")"",
      REGEXEXTRACT(B532, ""^First\(([^ )]+)"")
    )
  &amp; "" }"",
  IF(
    REGEXMATCH($C532, ""^First\(&lt;""),
    VLOOKUP(REGEXEXTRACT($C532, ""\(([^)]+)\)""), 'First"&amp;" Set MacroA'!B:D, 3, FALSE),
    IF(
      REGEXMATCH($C532, ""^Follow\(&lt;""),
      VLOOKUP(REGEXEXTRACT($C532, ""\(([^)]+)\)""), 'Follow Set Macros'!B:D, 3, FALSE),
      ""{ "" &amp; REGEXEXTRACT($C532, ""\(([^)]+)\)"") &amp; "" }""
    )
  )
)
"),"#REF!")</f>
        <v>#REF!</v>
      </c>
      <c r="E532" s="664"/>
      <c r="F532" s="664"/>
      <c r="G532" s="664"/>
      <c r="H532" s="664"/>
      <c r="I532" s="664"/>
      <c r="J532" s="664"/>
      <c r="K532" s="664"/>
      <c r="L532" s="664"/>
      <c r="M532" s="664"/>
      <c r="N532" s="664"/>
      <c r="O532" s="664"/>
      <c r="P532" s="664"/>
      <c r="Q532" s="664"/>
      <c r="R532" s="664"/>
      <c r="S532" s="664"/>
      <c r="T532" s="664"/>
      <c r="U532" s="664"/>
      <c r="V532" s="664"/>
      <c r="W532" s="664"/>
      <c r="X532" s="664"/>
    </row>
    <row r="533">
      <c r="A533" s="661">
        <f t="shared" si="1"/>
        <v>533</v>
      </c>
      <c r="B533" s="662" t="str">
        <f t="shared" si="2"/>
        <v>#REF!</v>
      </c>
      <c r="C533" s="662" t="str">
        <f>IFERROR(__xludf.DUMMYFUNCTION("IF(
  REGEXMATCH(B533, ""^First\(λ - λ\) ∪ Follow\(""),
  ""Follow("" &amp; REGEXEXTRACT(B533, ""Follow\(([^)]+)\)"") &amp; "") ="",
  IF(
    OR(
      REGEXMATCH(B533, ""^First\([^&lt;]""),
      REGEXMATCH(B533, ""^First\(&lt;[^A-Za-z_]"")
    ),
    """",
    IF(
 "&amp;"     CFG!D533=""λ"",
      ""Follow("" &amp; CFG!B533 &amp; "") ="",
      ""First("" &amp; CFG!D533 &amp; "") =""
    )
  )
)
"),"#REF!")</f>
        <v>#REF!</v>
      </c>
      <c r="D533" s="663" t="str">
        <f>IFERROR(__xludf.DUMMYFUNCTION("IF(
  $C533="""",
  ""{ "" &amp;
    IF(
      REGEXMATCH(B533, ""^First\(\)""),
      "")"",
      REGEXEXTRACT(B533, ""^First\(([^ )]+)"")
    )
  &amp; "" }"",
  IF(
    REGEXMATCH($C533, ""^First\(&lt;""),
    VLOOKUP(REGEXEXTRACT($C533, ""\(([^)]+)\)""), 'First"&amp;" Set MacroA'!B:D, 3, FALSE),
    IF(
      REGEXMATCH($C533, ""^Follow\(&lt;""),
      VLOOKUP(REGEXEXTRACT($C533, ""\(([^)]+)\)""), 'Follow Set Macros'!B:D, 3, FALSE),
      ""{ "" &amp; REGEXEXTRACT($C533, ""\(([^)]+)\)"") &amp; "" }""
    )
  )
)
"),"#REF!")</f>
        <v>#REF!</v>
      </c>
      <c r="E533" s="664"/>
      <c r="F533" s="664"/>
      <c r="G533" s="664"/>
      <c r="H533" s="664"/>
      <c r="I533" s="664"/>
      <c r="J533" s="664"/>
      <c r="K533" s="664"/>
      <c r="L533" s="664"/>
      <c r="M533" s="664"/>
      <c r="N533" s="664"/>
      <c r="O533" s="664"/>
      <c r="P533" s="664"/>
      <c r="Q533" s="664"/>
      <c r="R533" s="664"/>
      <c r="S533" s="664"/>
      <c r="T533" s="664"/>
      <c r="U533" s="664"/>
      <c r="V533" s="664"/>
      <c r="W533" s="664"/>
      <c r="X533" s="664"/>
    </row>
    <row r="534">
      <c r="A534" s="661">
        <f t="shared" si="1"/>
        <v>534</v>
      </c>
      <c r="B534" s="662" t="str">
        <f t="shared" si="2"/>
        <v>#REF!</v>
      </c>
      <c r="C534" s="662" t="str">
        <f>IFERROR(__xludf.DUMMYFUNCTION("IF(
  REGEXMATCH(B534, ""^First\(λ - λ\) ∪ Follow\(""),
  ""Follow("" &amp; REGEXEXTRACT(B534, ""Follow\(([^)]+)\)"") &amp; "") ="",
  IF(
    OR(
      REGEXMATCH(B534, ""^First\([^&lt;]""),
      REGEXMATCH(B534, ""^First\(&lt;[^A-Za-z_]"")
    ),
    """",
    IF(
 "&amp;"     CFG!D534=""λ"",
      ""Follow("" &amp; CFG!B534 &amp; "") ="",
      ""First("" &amp; CFG!D534 &amp; "") =""
    )
  )
)
"),"#REF!")</f>
        <v>#REF!</v>
      </c>
      <c r="D534" s="663" t="str">
        <f>IFERROR(__xludf.DUMMYFUNCTION("IF(
  $C534="""",
  ""{ "" &amp;
    IF(
      REGEXMATCH(B534, ""^First\(\)""),
      "")"",
      REGEXEXTRACT(B534, ""^First\(([^ )]+)"")
    )
  &amp; "" }"",
  IF(
    REGEXMATCH($C534, ""^First\(&lt;""),
    VLOOKUP(REGEXEXTRACT($C534, ""\(([^)]+)\)""), 'First"&amp;" Set MacroA'!B:D, 3, FALSE),
    IF(
      REGEXMATCH($C534, ""^Follow\(&lt;""),
      VLOOKUP(REGEXEXTRACT($C534, ""\(([^)]+)\)""), 'Follow Set Macros'!B:D, 3, FALSE),
      ""{ "" &amp; REGEXEXTRACT($C534, ""\(([^)]+)\)"") &amp; "" }""
    )
  )
)
"),"#REF!")</f>
        <v>#REF!</v>
      </c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</row>
    <row r="535">
      <c r="A535" s="661">
        <f t="shared" si="1"/>
        <v>535</v>
      </c>
      <c r="B535" s="662" t="str">
        <f t="shared" si="2"/>
        <v>#REF!</v>
      </c>
      <c r="C535" s="662" t="str">
        <f>IFERROR(__xludf.DUMMYFUNCTION("IF(
  REGEXMATCH(B535, ""^First\(λ - λ\) ∪ Follow\(""),
  ""Follow("" &amp; REGEXEXTRACT(B535, ""Follow\(([^)]+)\)"") &amp; "") ="",
  IF(
    OR(
      REGEXMATCH(B535, ""^First\([^&lt;]""),
      REGEXMATCH(B535, ""^First\(&lt;[^A-Za-z_]"")
    ),
    """",
    IF(
 "&amp;"     CFG!D535=""λ"",
      ""Follow("" &amp; CFG!B535 &amp; "") ="",
      ""First("" &amp; CFG!D535 &amp; "") =""
    )
  )
)
"),"#REF!")</f>
        <v>#REF!</v>
      </c>
      <c r="D535" s="663" t="str">
        <f>IFERROR(__xludf.DUMMYFUNCTION("IF(
  $C535="""",
  ""{ "" &amp;
    IF(
      REGEXMATCH(B535, ""^First\(\)""),
      "")"",
      REGEXEXTRACT(B535, ""^First\(([^ )]+)"")
    )
  &amp; "" }"",
  IF(
    REGEXMATCH($C535, ""^First\(&lt;""),
    VLOOKUP(REGEXEXTRACT($C535, ""\(([^)]+)\)""), 'First"&amp;" Set MacroA'!B:D, 3, FALSE),
    IF(
      REGEXMATCH($C535, ""^Follow\(&lt;""),
      VLOOKUP(REGEXEXTRACT($C535, ""\(([^)]+)\)""), 'Follow Set Macros'!B:D, 3, FALSE),
      ""{ "" &amp; REGEXEXTRACT($C535, ""\(([^)]+)\)"") &amp; "" }""
    )
  )
)
"),"#REF!")</f>
        <v>#REF!</v>
      </c>
      <c r="E535" s="664"/>
      <c r="F535" s="664"/>
      <c r="G535" s="664"/>
      <c r="H535" s="664"/>
      <c r="I535" s="664"/>
      <c r="J535" s="664"/>
      <c r="K535" s="664"/>
      <c r="L535" s="664"/>
      <c r="M535" s="664"/>
      <c r="N535" s="664"/>
      <c r="O535" s="664"/>
      <c r="P535" s="664"/>
      <c r="Q535" s="664"/>
      <c r="R535" s="664"/>
      <c r="S535" s="664"/>
      <c r="T535" s="664"/>
      <c r="U535" s="664"/>
      <c r="V535" s="664"/>
      <c r="W535" s="664"/>
      <c r="X535" s="664"/>
    </row>
    <row r="536">
      <c r="A536" s="661">
        <f t="shared" si="1"/>
        <v>536</v>
      </c>
      <c r="B536" s="662" t="str">
        <f t="shared" si="2"/>
        <v>#REF!</v>
      </c>
      <c r="C536" s="662" t="str">
        <f>IFERROR(__xludf.DUMMYFUNCTION("IF(
  REGEXMATCH(B536, ""^First\(λ - λ\) ∪ Follow\(""),
  ""Follow("" &amp; REGEXEXTRACT(B536, ""Follow\(([^)]+)\)"") &amp; "") ="",
  IF(
    OR(
      REGEXMATCH(B536, ""^First\([^&lt;]""),
      REGEXMATCH(B536, ""^First\(&lt;[^A-Za-z_]"")
    ),
    """",
    IF(
 "&amp;"     CFG!D536=""λ"",
      ""Follow("" &amp; CFG!B536 &amp; "") ="",
      ""First("" &amp; CFG!D536 &amp; "") =""
    )
  )
)
"),"#REF!")</f>
        <v>#REF!</v>
      </c>
      <c r="D536" s="663" t="str">
        <f>IFERROR(__xludf.DUMMYFUNCTION("IF(
  $C536="""",
  ""{ "" &amp;
    IF(
      REGEXMATCH(B536, ""^First\(\)""),
      "")"",
      REGEXEXTRACT(B536, ""^First\(([^ )]+)"")
    )
  &amp; "" }"",
  IF(
    REGEXMATCH($C536, ""^First\(&lt;""),
    VLOOKUP(REGEXEXTRACT($C536, ""\(([^)]+)\)""), 'First"&amp;" Set MacroA'!B:D, 3, FALSE),
    IF(
      REGEXMATCH($C536, ""^Follow\(&lt;""),
      VLOOKUP(REGEXEXTRACT($C536, ""\(([^)]+)\)""), 'Follow Set Macros'!B:D, 3, FALSE),
      ""{ "" &amp; REGEXEXTRACT($C536, ""\(([^)]+)\)"") &amp; "" }""
    )
  )
)
"),"#REF!")</f>
        <v>#REF!</v>
      </c>
      <c r="E536" s="664"/>
      <c r="F536" s="664"/>
      <c r="G536" s="664"/>
      <c r="H536" s="664"/>
      <c r="I536" s="664"/>
      <c r="J536" s="664"/>
      <c r="K536" s="664"/>
      <c r="L536" s="664"/>
      <c r="M536" s="664"/>
      <c r="N536" s="664"/>
      <c r="O536" s="664"/>
      <c r="P536" s="664"/>
      <c r="Q536" s="664"/>
      <c r="R536" s="664"/>
      <c r="S536" s="664"/>
      <c r="T536" s="664"/>
      <c r="U536" s="664"/>
      <c r="V536" s="664"/>
      <c r="W536" s="664"/>
      <c r="X536" s="664"/>
    </row>
    <row r="537">
      <c r="A537" s="661">
        <f t="shared" si="1"/>
        <v>537</v>
      </c>
      <c r="B537" s="662" t="str">
        <f t="shared" si="2"/>
        <v>#REF!</v>
      </c>
      <c r="C537" s="662" t="str">
        <f>IFERROR(__xludf.DUMMYFUNCTION("IF(
  REGEXMATCH(B537, ""^First\(λ - λ\) ∪ Follow\(""),
  ""Follow("" &amp; REGEXEXTRACT(B537, ""Follow\(([^)]+)\)"") &amp; "") ="",
  IF(
    OR(
      REGEXMATCH(B537, ""^First\([^&lt;]""),
      REGEXMATCH(B537, ""^First\(&lt;[^A-Za-z_]"")
    ),
    """",
    IF(
 "&amp;"     CFG!D537=""λ"",
      ""Follow("" &amp; CFG!B537 &amp; "") ="",
      ""First("" &amp; CFG!D537 &amp; "") =""
    )
  )
)
"),"#REF!")</f>
        <v>#REF!</v>
      </c>
      <c r="D537" s="663" t="str">
        <f>IFERROR(__xludf.DUMMYFUNCTION("IF(
  $C537="""",
  ""{ "" &amp;
    IF(
      REGEXMATCH(B537, ""^First\(\)""),
      "")"",
      REGEXEXTRACT(B537, ""^First\(([^ )]+)"")
    )
  &amp; "" }"",
  IF(
    REGEXMATCH($C537, ""^First\(&lt;""),
    VLOOKUP(REGEXEXTRACT($C537, ""\(([^)]+)\)""), 'First"&amp;" Set MacroA'!B:D, 3, FALSE),
    IF(
      REGEXMATCH($C537, ""^Follow\(&lt;""),
      VLOOKUP(REGEXEXTRACT($C537, ""\(([^)]+)\)""), 'Follow Set Macros'!B:D, 3, FALSE),
      ""{ "" &amp; REGEXEXTRACT($C537, ""\(([^)]+)\)"") &amp; "" }""
    )
  )
)
"),"#REF!")</f>
        <v>#REF!</v>
      </c>
      <c r="E537" s="664"/>
      <c r="F537" s="664"/>
      <c r="G537" s="664"/>
      <c r="H537" s="664"/>
      <c r="I537" s="664"/>
      <c r="J537" s="664"/>
      <c r="K537" s="664"/>
      <c r="L537" s="664"/>
      <c r="M537" s="664"/>
      <c r="N537" s="664"/>
      <c r="O537" s="664"/>
      <c r="P537" s="664"/>
      <c r="Q537" s="664"/>
      <c r="R537" s="664"/>
      <c r="S537" s="664"/>
      <c r="T537" s="664"/>
      <c r="U537" s="664"/>
      <c r="V537" s="664"/>
      <c r="W537" s="664"/>
      <c r="X537" s="664"/>
    </row>
    <row r="538">
      <c r="A538" s="661">
        <f t="shared" si="1"/>
        <v>538</v>
      </c>
      <c r="B538" s="662" t="str">
        <f t="shared" si="2"/>
        <v>#REF!</v>
      </c>
      <c r="C538" s="662" t="str">
        <f>IFERROR(__xludf.DUMMYFUNCTION("IF(
  REGEXMATCH(B538, ""^First\(λ - λ\) ∪ Follow\(""),
  ""Follow("" &amp; REGEXEXTRACT(B538, ""Follow\(([^)]+)\)"") &amp; "") ="",
  IF(
    OR(
      REGEXMATCH(B538, ""^First\([^&lt;]""),
      REGEXMATCH(B538, ""^First\(&lt;[^A-Za-z_]"")
    ),
    """",
    IF(
 "&amp;"     CFG!D538=""λ"",
      ""Follow("" &amp; CFG!B538 &amp; "") ="",
      ""First("" &amp; CFG!D538 &amp; "") =""
    )
  )
)
"),"#REF!")</f>
        <v>#REF!</v>
      </c>
      <c r="D538" s="663" t="str">
        <f>IFERROR(__xludf.DUMMYFUNCTION("IF(
  $C538="""",
  ""{ "" &amp;
    IF(
      REGEXMATCH(B538, ""^First\(\)""),
      "")"",
      REGEXEXTRACT(B538, ""^First\(([^ )]+)"")
    )
  &amp; "" }"",
  IF(
    REGEXMATCH($C538, ""^First\(&lt;""),
    VLOOKUP(REGEXEXTRACT($C538, ""\(([^)]+)\)""), 'First"&amp;" Set MacroA'!B:D, 3, FALSE),
    IF(
      REGEXMATCH($C538, ""^Follow\(&lt;""),
      VLOOKUP(REGEXEXTRACT($C538, ""\(([^)]+)\)""), 'Follow Set Macros'!B:D, 3, FALSE),
      ""{ "" &amp; REGEXEXTRACT($C538, ""\(([^)]+)\)"") &amp; "" }""
    )
  )
)
"),"#REF!")</f>
        <v>#REF!</v>
      </c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</row>
    <row r="539">
      <c r="A539" s="661">
        <f t="shared" si="1"/>
        <v>539</v>
      </c>
      <c r="B539" s="662" t="str">
        <f t="shared" si="2"/>
        <v>#REF!</v>
      </c>
      <c r="C539" s="662" t="str">
        <f>IFERROR(__xludf.DUMMYFUNCTION("IF(
  REGEXMATCH(B539, ""^First\(λ - λ\) ∪ Follow\(""),
  ""Follow("" &amp; REGEXEXTRACT(B539, ""Follow\(([^)]+)\)"") &amp; "") ="",
  IF(
    OR(
      REGEXMATCH(B539, ""^First\([^&lt;]""),
      REGEXMATCH(B539, ""^First\(&lt;[^A-Za-z_]"")
    ),
    """",
    IF(
 "&amp;"     CFG!D539=""λ"",
      ""Follow("" &amp; CFG!B539 &amp; "") ="",
      ""First("" &amp; CFG!D539 &amp; "") =""
    )
  )
)
"),"#REF!")</f>
        <v>#REF!</v>
      </c>
      <c r="D539" s="663" t="str">
        <f>IFERROR(__xludf.DUMMYFUNCTION("IF(
  $C539="""",
  ""{ "" &amp;
    IF(
      REGEXMATCH(B539, ""^First\(\)""),
      "")"",
      REGEXEXTRACT(B539, ""^First\(([^ )]+)"")
    )
  &amp; "" }"",
  IF(
    REGEXMATCH($C539, ""^First\(&lt;""),
    VLOOKUP(REGEXEXTRACT($C539, ""\(([^)]+)\)""), 'First"&amp;" Set MacroA'!B:D, 3, FALSE),
    IF(
      REGEXMATCH($C539, ""^Follow\(&lt;""),
      VLOOKUP(REGEXEXTRACT($C539, ""\(([^)]+)\)""), 'Follow Set Macros'!B:D, 3, FALSE),
      ""{ "" &amp; REGEXEXTRACT($C539, ""\(([^)]+)\)"") &amp; "" }""
    )
  )
)
"),"#REF!")</f>
        <v>#REF!</v>
      </c>
      <c r="E539" s="664"/>
      <c r="F539" s="664"/>
      <c r="G539" s="664"/>
      <c r="H539" s="664"/>
      <c r="I539" s="664"/>
      <c r="J539" s="664"/>
      <c r="K539" s="664"/>
      <c r="L539" s="664"/>
      <c r="M539" s="664"/>
      <c r="N539" s="664"/>
      <c r="O539" s="664"/>
      <c r="P539" s="664"/>
      <c r="Q539" s="664"/>
      <c r="R539" s="664"/>
      <c r="S539" s="664"/>
      <c r="T539" s="664"/>
      <c r="U539" s="664"/>
      <c r="V539" s="664"/>
      <c r="W539" s="664"/>
      <c r="X539" s="664"/>
    </row>
    <row r="540">
      <c r="A540" s="661">
        <f t="shared" si="1"/>
        <v>540</v>
      </c>
      <c r="B540" s="662" t="str">
        <f t="shared" si="2"/>
        <v>#REF!</v>
      </c>
      <c r="C540" s="662" t="str">
        <f>IFERROR(__xludf.DUMMYFUNCTION("IF(
  REGEXMATCH(B540, ""^First\(λ - λ\) ∪ Follow\(""),
  ""Follow("" &amp; REGEXEXTRACT(B540, ""Follow\(([^)]+)\)"") &amp; "") ="",
  IF(
    OR(
      REGEXMATCH(B540, ""^First\([^&lt;]""),
      REGEXMATCH(B540, ""^First\(&lt;[^A-Za-z_]"")
    ),
    """",
    IF(
 "&amp;"     CFG!D540=""λ"",
      ""Follow("" &amp; CFG!B540 &amp; "") ="",
      ""First("" &amp; CFG!D540 &amp; "") =""
    )
  )
)
"),"#REF!")</f>
        <v>#REF!</v>
      </c>
      <c r="D540" s="663" t="str">
        <f>IFERROR(__xludf.DUMMYFUNCTION("IF(
  $C540="""",
  ""{ "" &amp;
    IF(
      REGEXMATCH(B540, ""^First\(\)""),
      "")"",
      REGEXEXTRACT(B540, ""^First\(([^ )]+)"")
    )
  &amp; "" }"",
  IF(
    REGEXMATCH($C540, ""^First\(&lt;""),
    VLOOKUP(REGEXEXTRACT($C540, ""\(([^)]+)\)""), 'First"&amp;" Set MacroA'!B:D, 3, FALSE),
    IF(
      REGEXMATCH($C540, ""^Follow\(&lt;""),
      VLOOKUP(REGEXEXTRACT($C540, ""\(([^)]+)\)""), 'Follow Set Macros'!B:D, 3, FALSE),
      ""{ "" &amp; REGEXEXTRACT($C540, ""\(([^)]+)\)"") &amp; "" }""
    )
  )
)
"),"#REF!")</f>
        <v>#REF!</v>
      </c>
      <c r="E540" s="664"/>
      <c r="F540" s="664"/>
      <c r="G540" s="664"/>
      <c r="H540" s="664"/>
      <c r="I540" s="664"/>
      <c r="J540" s="664"/>
      <c r="K540" s="664"/>
      <c r="L540" s="664"/>
      <c r="M540" s="664"/>
      <c r="N540" s="664"/>
      <c r="O540" s="664"/>
      <c r="P540" s="664"/>
      <c r="Q540" s="664"/>
      <c r="R540" s="664"/>
      <c r="S540" s="664"/>
      <c r="T540" s="664"/>
      <c r="U540" s="664"/>
      <c r="V540" s="664"/>
      <c r="W540" s="664"/>
      <c r="X540" s="664"/>
    </row>
    <row r="541">
      <c r="A541" s="661">
        <f t="shared" si="1"/>
        <v>541</v>
      </c>
      <c r="B541" s="662" t="str">
        <f t="shared" si="2"/>
        <v>#REF!</v>
      </c>
      <c r="C541" s="662" t="str">
        <f>IFERROR(__xludf.DUMMYFUNCTION("IF(
  REGEXMATCH(B541, ""^First\(λ - λ\) ∪ Follow\(""),
  ""Follow("" &amp; REGEXEXTRACT(B541, ""Follow\(([^)]+)\)"") &amp; "") ="",
  IF(
    OR(
      REGEXMATCH(B541, ""^First\([^&lt;]""),
      REGEXMATCH(B541, ""^First\(&lt;[^A-Za-z_]"")
    ),
    """",
    IF(
 "&amp;"     CFG!D541=""λ"",
      ""Follow("" &amp; CFG!B541 &amp; "") ="",
      ""First("" &amp; CFG!D541 &amp; "") =""
    )
  )
)
"),"#REF!")</f>
        <v>#REF!</v>
      </c>
      <c r="D541" s="663" t="str">
        <f>IFERROR(__xludf.DUMMYFUNCTION("IF(
  $C541="""",
  ""{ "" &amp;
    IF(
      REGEXMATCH(B541, ""^First\(\)""),
      "")"",
      REGEXEXTRACT(B541, ""^First\(([^ )]+)"")
    )
  &amp; "" }"",
  IF(
    REGEXMATCH($C541, ""^First\(&lt;""),
    VLOOKUP(REGEXEXTRACT($C541, ""\(([^)]+)\)""), 'First"&amp;" Set MacroA'!B:D, 3, FALSE),
    IF(
      REGEXMATCH($C541, ""^Follow\(&lt;""),
      VLOOKUP(REGEXEXTRACT($C541, ""\(([^)]+)\)""), 'Follow Set Macros'!B:D, 3, FALSE),
      ""{ "" &amp; REGEXEXTRACT($C541, ""\(([^)]+)\)"") &amp; "" }""
    )
  )
)
"),"#REF!")</f>
        <v>#REF!</v>
      </c>
      <c r="E541" s="664"/>
      <c r="F541" s="664"/>
      <c r="G541" s="664"/>
      <c r="H541" s="664"/>
      <c r="I541" s="664"/>
      <c r="J541" s="664"/>
      <c r="K541" s="664"/>
      <c r="L541" s="664"/>
      <c r="M541" s="664"/>
      <c r="N541" s="664"/>
      <c r="O541" s="664"/>
      <c r="P541" s="664"/>
      <c r="Q541" s="664"/>
      <c r="R541" s="664"/>
      <c r="S541" s="664"/>
      <c r="T541" s="664"/>
      <c r="U541" s="664"/>
      <c r="V541" s="664"/>
      <c r="W541" s="664"/>
      <c r="X541" s="664"/>
    </row>
    <row r="542">
      <c r="A542" s="661">
        <f t="shared" si="1"/>
        <v>542</v>
      </c>
      <c r="B542" s="662" t="str">
        <f t="shared" si="2"/>
        <v>#REF!</v>
      </c>
      <c r="C542" s="662" t="str">
        <f>IFERROR(__xludf.DUMMYFUNCTION("IF(
  REGEXMATCH(B542, ""^First\(λ - λ\) ∪ Follow\(""),
  ""Follow("" &amp; REGEXEXTRACT(B542, ""Follow\(([^)]+)\)"") &amp; "") ="",
  IF(
    OR(
      REGEXMATCH(B542, ""^First\([^&lt;]""),
      REGEXMATCH(B542, ""^First\(&lt;[^A-Za-z_]"")
    ),
    """",
    IF(
 "&amp;"     CFG!D542=""λ"",
      ""Follow("" &amp; CFG!B542 &amp; "") ="",
      ""First("" &amp; CFG!D542 &amp; "") =""
    )
  )
)
"),"#REF!")</f>
        <v>#REF!</v>
      </c>
      <c r="D542" s="663" t="str">
        <f>IFERROR(__xludf.DUMMYFUNCTION("IF(
  $C542="""",
  ""{ "" &amp;
    IF(
      REGEXMATCH(B542, ""^First\(\)""),
      "")"",
      REGEXEXTRACT(B542, ""^First\(([^ )]+)"")
    )
  &amp; "" }"",
  IF(
    REGEXMATCH($C542, ""^First\(&lt;""),
    VLOOKUP(REGEXEXTRACT($C542, ""\(([^)]+)\)""), 'First"&amp;" Set MacroA'!B:D, 3, FALSE),
    IF(
      REGEXMATCH($C542, ""^Follow\(&lt;""),
      VLOOKUP(REGEXEXTRACT($C542, ""\(([^)]+)\)""), 'Follow Set Macros'!B:D, 3, FALSE),
      ""{ "" &amp; REGEXEXTRACT($C542, ""\(([^)]+)\)"") &amp; "" }""
    )
  )
)
"),"#REF!")</f>
        <v>#REF!</v>
      </c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</row>
    <row r="543">
      <c r="A543" s="661">
        <f t="shared" si="1"/>
        <v>543</v>
      </c>
      <c r="B543" s="662" t="str">
        <f t="shared" si="2"/>
        <v>#REF!</v>
      </c>
      <c r="C543" s="662" t="str">
        <f>IFERROR(__xludf.DUMMYFUNCTION("IF(
  REGEXMATCH(B543, ""^First\(λ - λ\) ∪ Follow\(""),
  ""Follow("" &amp; REGEXEXTRACT(B543, ""Follow\(([^)]+)\)"") &amp; "") ="",
  IF(
    OR(
      REGEXMATCH(B543, ""^First\([^&lt;]""),
      REGEXMATCH(B543, ""^First\(&lt;[^A-Za-z_]"")
    ),
    """",
    IF(
 "&amp;"     CFG!D543=""λ"",
      ""Follow("" &amp; CFG!B543 &amp; "") ="",
      ""First("" &amp; CFG!D543 &amp; "") =""
    )
  )
)
"),"#REF!")</f>
        <v>#REF!</v>
      </c>
      <c r="D543" s="663" t="str">
        <f>IFERROR(__xludf.DUMMYFUNCTION("IF(
  $C543="""",
  ""{ "" &amp;
    IF(
      REGEXMATCH(B543, ""^First\(\)""),
      "")"",
      REGEXEXTRACT(B543, ""^First\(([^ )]+)"")
    )
  &amp; "" }"",
  IF(
    REGEXMATCH($C543, ""^First\(&lt;""),
    VLOOKUP(REGEXEXTRACT($C543, ""\(([^)]+)\)""), 'First"&amp;" Set MacroA'!B:D, 3, FALSE),
    IF(
      REGEXMATCH($C543, ""^Follow\(&lt;""),
      VLOOKUP(REGEXEXTRACT($C543, ""\(([^)]+)\)""), 'Follow Set Macros'!B:D, 3, FALSE),
      ""{ "" &amp; REGEXEXTRACT($C543, ""\(([^)]+)\)"") &amp; "" }""
    )
  )
)
"),"#REF!")</f>
        <v>#REF!</v>
      </c>
      <c r="E543" s="664"/>
      <c r="F543" s="664"/>
      <c r="G543" s="664"/>
      <c r="H543" s="664"/>
      <c r="I543" s="664"/>
      <c r="J543" s="664"/>
      <c r="K543" s="664"/>
      <c r="L543" s="664"/>
      <c r="M543" s="664"/>
      <c r="N543" s="664"/>
      <c r="O543" s="664"/>
      <c r="P543" s="664"/>
      <c r="Q543" s="664"/>
      <c r="R543" s="664"/>
      <c r="S543" s="664"/>
      <c r="T543" s="664"/>
      <c r="U543" s="664"/>
      <c r="V543" s="664"/>
      <c r="W543" s="664"/>
      <c r="X543" s="664"/>
    </row>
    <row r="544">
      <c r="A544" s="661">
        <f t="shared" si="1"/>
        <v>544</v>
      </c>
      <c r="B544" s="662" t="str">
        <f t="shared" si="2"/>
        <v>#REF!</v>
      </c>
      <c r="C544" s="662" t="str">
        <f>IFERROR(__xludf.DUMMYFUNCTION("IF(
  REGEXMATCH(B544, ""^First\(λ - λ\) ∪ Follow\(""),
  ""Follow("" &amp; REGEXEXTRACT(B544, ""Follow\(([^)]+)\)"") &amp; "") ="",
  IF(
    OR(
      REGEXMATCH(B544, ""^First\([^&lt;]""),
      REGEXMATCH(B544, ""^First\(&lt;[^A-Za-z_]"")
    ),
    """",
    IF(
 "&amp;"     CFG!D544=""λ"",
      ""Follow("" &amp; CFG!B544 &amp; "") ="",
      ""First("" &amp; CFG!D544 &amp; "") =""
    )
  )
)
"),"#REF!")</f>
        <v>#REF!</v>
      </c>
      <c r="D544" s="663" t="str">
        <f>IFERROR(__xludf.DUMMYFUNCTION("IF(
  $C544="""",
  ""{ "" &amp;
    IF(
      REGEXMATCH(B544, ""^First\(\)""),
      "")"",
      REGEXEXTRACT(B544, ""^First\(([^ )]+)"")
    )
  &amp; "" }"",
  IF(
    REGEXMATCH($C544, ""^First\(&lt;""),
    VLOOKUP(REGEXEXTRACT($C544, ""\(([^)]+)\)""), 'First"&amp;" Set MacroA'!B:D, 3, FALSE),
    IF(
      REGEXMATCH($C544, ""^Follow\(&lt;""),
      VLOOKUP(REGEXEXTRACT($C544, ""\(([^)]+)\)""), 'Follow Set Macros'!B:D, 3, FALSE),
      ""{ "" &amp; REGEXEXTRACT($C544, ""\(([^)]+)\)"") &amp; "" }""
    )
  )
)
"),"#REF!")</f>
        <v>#REF!</v>
      </c>
      <c r="E544" s="664"/>
      <c r="F544" s="664"/>
      <c r="G544" s="664"/>
      <c r="H544" s="664"/>
      <c r="I544" s="664"/>
      <c r="J544" s="664"/>
      <c r="K544" s="664"/>
      <c r="L544" s="664"/>
      <c r="M544" s="664"/>
      <c r="N544" s="664"/>
      <c r="O544" s="664"/>
      <c r="P544" s="664"/>
      <c r="Q544" s="664"/>
      <c r="R544" s="664"/>
      <c r="S544" s="664"/>
      <c r="T544" s="664"/>
      <c r="U544" s="664"/>
      <c r="V544" s="664"/>
      <c r="W544" s="664"/>
      <c r="X544" s="664"/>
    </row>
    <row r="545">
      <c r="A545" s="661">
        <f t="shared" si="1"/>
        <v>545</v>
      </c>
      <c r="B545" s="662" t="str">
        <f t="shared" si="2"/>
        <v>#REF!</v>
      </c>
      <c r="C545" s="662" t="str">
        <f>IFERROR(__xludf.DUMMYFUNCTION("IF(
  REGEXMATCH(B545, ""^First\(λ - λ\) ∪ Follow\(""),
  ""Follow("" &amp; REGEXEXTRACT(B545, ""Follow\(([^)]+)\)"") &amp; "") ="",
  IF(
    OR(
      REGEXMATCH(B545, ""^First\([^&lt;]""),
      REGEXMATCH(B545, ""^First\(&lt;[^A-Za-z_]"")
    ),
    """",
    IF(
 "&amp;"     CFG!D545=""λ"",
      ""Follow("" &amp; CFG!B545 &amp; "") ="",
      ""First("" &amp; CFG!D545 &amp; "") =""
    )
  )
)
"),"#REF!")</f>
        <v>#REF!</v>
      </c>
      <c r="D545" s="663" t="str">
        <f>IFERROR(__xludf.DUMMYFUNCTION("IF(
  $C545="""",
  ""{ "" &amp;
    IF(
      REGEXMATCH(B545, ""^First\(\)""),
      "")"",
      REGEXEXTRACT(B545, ""^First\(([^ )]+)"")
    )
  &amp; "" }"",
  IF(
    REGEXMATCH($C545, ""^First\(&lt;""),
    VLOOKUP(REGEXEXTRACT($C545, ""\(([^)]+)\)""), 'First"&amp;" Set MacroA'!B:D, 3, FALSE),
    IF(
      REGEXMATCH($C545, ""^Follow\(&lt;""),
      VLOOKUP(REGEXEXTRACT($C545, ""\(([^)]+)\)""), 'Follow Set Macros'!B:D, 3, FALSE),
      ""{ "" &amp; REGEXEXTRACT($C545, ""\(([^)]+)\)"") &amp; "" }""
    )
  )
)
"),"#REF!")</f>
        <v>#REF!</v>
      </c>
      <c r="E545" s="664"/>
      <c r="F545" s="664"/>
      <c r="G545" s="664"/>
      <c r="H545" s="664"/>
      <c r="I545" s="664"/>
      <c r="J545" s="664"/>
      <c r="K545" s="664"/>
      <c r="L545" s="664"/>
      <c r="M545" s="664"/>
      <c r="N545" s="664"/>
      <c r="O545" s="664"/>
      <c r="P545" s="664"/>
      <c r="Q545" s="664"/>
      <c r="R545" s="664"/>
      <c r="S545" s="664"/>
      <c r="T545" s="664"/>
      <c r="U545" s="664"/>
      <c r="V545" s="664"/>
      <c r="W545" s="664"/>
      <c r="X545" s="664"/>
    </row>
    <row r="546">
      <c r="A546" s="661">
        <f t="shared" si="1"/>
        <v>546</v>
      </c>
      <c r="B546" s="662" t="str">
        <f t="shared" si="2"/>
        <v>#REF!</v>
      </c>
      <c r="C546" s="662" t="str">
        <f>IFERROR(__xludf.DUMMYFUNCTION("IF(
  REGEXMATCH(B546, ""^First\(λ - λ\) ∪ Follow\(""),
  ""Follow("" &amp; REGEXEXTRACT(B546, ""Follow\(([^)]+)\)"") &amp; "") ="",
  IF(
    OR(
      REGEXMATCH(B546, ""^First\([^&lt;]""),
      REGEXMATCH(B546, ""^First\(&lt;[^A-Za-z_]"")
    ),
    """",
    IF(
 "&amp;"     CFG!D546=""λ"",
      ""Follow("" &amp; CFG!B546 &amp; "") ="",
      ""First("" &amp; CFG!D546 &amp; "") =""
    )
  )
)
"),"#REF!")</f>
        <v>#REF!</v>
      </c>
      <c r="D546" s="663" t="str">
        <f>IFERROR(__xludf.DUMMYFUNCTION("IF(
  $C546="""",
  ""{ "" &amp;
    IF(
      REGEXMATCH(B546, ""^First\(\)""),
      "")"",
      REGEXEXTRACT(B546, ""^First\(([^ )]+)"")
    )
  &amp; "" }"",
  IF(
    REGEXMATCH($C546, ""^First\(&lt;""),
    VLOOKUP(REGEXEXTRACT($C546, ""\(([^)]+)\)""), 'First"&amp;" Set MacroA'!B:D, 3, FALSE),
    IF(
      REGEXMATCH($C546, ""^Follow\(&lt;""),
      VLOOKUP(REGEXEXTRACT($C546, ""\(([^)]+)\)""), 'Follow Set Macros'!B:D, 3, FALSE),
      ""{ "" &amp; REGEXEXTRACT($C546, ""\(([^)]+)\)"") &amp; "" }""
    )
  )
)
"),"#REF!")</f>
        <v>#REF!</v>
      </c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</row>
    <row r="547">
      <c r="A547" s="661">
        <f t="shared" si="1"/>
        <v>547</v>
      </c>
      <c r="B547" s="662" t="str">
        <f t="shared" si="2"/>
        <v>#REF!</v>
      </c>
      <c r="C547" s="662" t="str">
        <f>IFERROR(__xludf.DUMMYFUNCTION("IF(
  REGEXMATCH(B547, ""^First\(λ - λ\) ∪ Follow\(""),
  ""Follow("" &amp; REGEXEXTRACT(B547, ""Follow\(([^)]+)\)"") &amp; "") ="",
  IF(
    OR(
      REGEXMATCH(B547, ""^First\([^&lt;]""),
      REGEXMATCH(B547, ""^First\(&lt;[^A-Za-z_]"")
    ),
    """",
    IF(
 "&amp;"     CFG!D547=""λ"",
      ""Follow("" &amp; CFG!B547 &amp; "") ="",
      ""First("" &amp; CFG!D547 &amp; "") =""
    )
  )
)
"),"#REF!")</f>
        <v>#REF!</v>
      </c>
      <c r="D547" s="663" t="str">
        <f>IFERROR(__xludf.DUMMYFUNCTION("IF(
  $C547="""",
  ""{ "" &amp;
    IF(
      REGEXMATCH(B547, ""^First\(\)""),
      "")"",
      REGEXEXTRACT(B547, ""^First\(([^ )]+)"")
    )
  &amp; "" }"",
  IF(
    REGEXMATCH($C547, ""^First\(&lt;""),
    VLOOKUP(REGEXEXTRACT($C547, ""\(([^)]+)\)""), 'First"&amp;" Set MacroA'!B:D, 3, FALSE),
    IF(
      REGEXMATCH($C547, ""^Follow\(&lt;""),
      VLOOKUP(REGEXEXTRACT($C547, ""\(([^)]+)\)""), 'Follow Set Macros'!B:D, 3, FALSE),
      ""{ "" &amp; REGEXEXTRACT($C547, ""\(([^)]+)\)"") &amp; "" }""
    )
  )
)
"),"#REF!")</f>
        <v>#REF!</v>
      </c>
      <c r="E547" s="664"/>
      <c r="F547" s="664"/>
      <c r="G547" s="664"/>
      <c r="H547" s="664"/>
      <c r="I547" s="664"/>
      <c r="J547" s="664"/>
      <c r="K547" s="664"/>
      <c r="L547" s="664"/>
      <c r="M547" s="664"/>
      <c r="N547" s="664"/>
      <c r="O547" s="664"/>
      <c r="P547" s="664"/>
      <c r="Q547" s="664"/>
      <c r="R547" s="664"/>
      <c r="S547" s="664"/>
      <c r="T547" s="664"/>
      <c r="U547" s="664"/>
      <c r="V547" s="664"/>
      <c r="W547" s="664"/>
      <c r="X547" s="664"/>
    </row>
    <row r="548">
      <c r="A548" s="661">
        <f t="shared" si="1"/>
        <v>548</v>
      </c>
      <c r="B548" s="662" t="str">
        <f t="shared" si="2"/>
        <v>#REF!</v>
      </c>
      <c r="C548" s="662" t="str">
        <f>IFERROR(__xludf.DUMMYFUNCTION("IF(
  REGEXMATCH(B548, ""^First\(λ - λ\) ∪ Follow\(""),
  ""Follow("" &amp; REGEXEXTRACT(B548, ""Follow\(([^)]+)\)"") &amp; "") ="",
  IF(
    OR(
      REGEXMATCH(B548, ""^First\([^&lt;]""),
      REGEXMATCH(B548, ""^First\(&lt;[^A-Za-z_]"")
    ),
    """",
    IF(
 "&amp;"     CFG!D548=""λ"",
      ""Follow("" &amp; CFG!B548 &amp; "") ="",
      ""First("" &amp; CFG!D548 &amp; "") =""
    )
  )
)
"),"#REF!")</f>
        <v>#REF!</v>
      </c>
      <c r="D548" s="663" t="str">
        <f>IFERROR(__xludf.DUMMYFUNCTION("IF(
  $C548="""",
  ""{ "" &amp;
    IF(
      REGEXMATCH(B548, ""^First\(\)""),
      "")"",
      REGEXEXTRACT(B548, ""^First\(([^ )]+)"")
    )
  &amp; "" }"",
  IF(
    REGEXMATCH($C548, ""^First\(&lt;""),
    VLOOKUP(REGEXEXTRACT($C548, ""\(([^)]+)\)""), 'First"&amp;" Set MacroA'!B:D, 3, FALSE),
    IF(
      REGEXMATCH($C548, ""^Follow\(&lt;""),
      VLOOKUP(REGEXEXTRACT($C548, ""\(([^)]+)\)""), 'Follow Set Macros'!B:D, 3, FALSE),
      ""{ "" &amp; REGEXEXTRACT($C548, ""\(([^)]+)\)"") &amp; "" }""
    )
  )
)
"),"#REF!")</f>
        <v>#REF!</v>
      </c>
      <c r="E548" s="664"/>
      <c r="F548" s="664"/>
      <c r="G548" s="664"/>
      <c r="H548" s="664"/>
      <c r="I548" s="664"/>
      <c r="J548" s="664"/>
      <c r="K548" s="664"/>
      <c r="L548" s="664"/>
      <c r="M548" s="664"/>
      <c r="N548" s="664"/>
      <c r="O548" s="664"/>
      <c r="P548" s="664"/>
      <c r="Q548" s="664"/>
      <c r="R548" s="664"/>
      <c r="S548" s="664"/>
      <c r="T548" s="664"/>
      <c r="U548" s="664"/>
      <c r="V548" s="664"/>
      <c r="W548" s="664"/>
      <c r="X548" s="664"/>
    </row>
    <row r="549">
      <c r="A549" s="661">
        <f t="shared" si="1"/>
        <v>549</v>
      </c>
      <c r="B549" s="662" t="str">
        <f t="shared" si="2"/>
        <v>#REF!</v>
      </c>
      <c r="C549" s="662" t="str">
        <f>IFERROR(__xludf.DUMMYFUNCTION("IF(
  REGEXMATCH(B549, ""^First\(λ - λ\) ∪ Follow\(""),
  ""Follow("" &amp; REGEXEXTRACT(B549, ""Follow\(([^)]+)\)"") &amp; "") ="",
  IF(
    OR(
      REGEXMATCH(B549, ""^First\([^&lt;]""),
      REGEXMATCH(B549, ""^First\(&lt;[^A-Za-z_]"")
    ),
    """",
    IF(
 "&amp;"     CFG!D549=""λ"",
      ""Follow("" &amp; CFG!B549 &amp; "") ="",
      ""First("" &amp; CFG!D549 &amp; "") =""
    )
  )
)
"),"#REF!")</f>
        <v>#REF!</v>
      </c>
      <c r="D549" s="663" t="str">
        <f>IFERROR(__xludf.DUMMYFUNCTION("IF(
  $C549="""",
  ""{ "" &amp;
    IF(
      REGEXMATCH(B549, ""^First\(\)""),
      "")"",
      REGEXEXTRACT(B549, ""^First\(([^ )]+)"")
    )
  &amp; "" }"",
  IF(
    REGEXMATCH($C549, ""^First\(&lt;""),
    VLOOKUP(REGEXEXTRACT($C549, ""\(([^)]+)\)""), 'First"&amp;" Set MacroA'!B:D, 3, FALSE),
    IF(
      REGEXMATCH($C549, ""^Follow\(&lt;""),
      VLOOKUP(REGEXEXTRACT($C549, ""\(([^)]+)\)""), 'Follow Set Macros'!B:D, 3, FALSE),
      ""{ "" &amp; REGEXEXTRACT($C549, ""\(([^)]+)\)"") &amp; "" }""
    )
  )
)
"),"#REF!")</f>
        <v>#REF!</v>
      </c>
      <c r="E549" s="664"/>
      <c r="F549" s="664"/>
      <c r="G549" s="664"/>
      <c r="H549" s="664"/>
      <c r="I549" s="664"/>
      <c r="J549" s="664"/>
      <c r="K549" s="664"/>
      <c r="L549" s="664"/>
      <c r="M549" s="664"/>
      <c r="N549" s="664"/>
      <c r="O549" s="664"/>
      <c r="P549" s="664"/>
      <c r="Q549" s="664"/>
      <c r="R549" s="664"/>
      <c r="S549" s="664"/>
      <c r="T549" s="664"/>
      <c r="U549" s="664"/>
      <c r="V549" s="664"/>
      <c r="W549" s="664"/>
      <c r="X549" s="664"/>
    </row>
    <row r="550">
      <c r="A550" s="661">
        <f t="shared" si="1"/>
        <v>550</v>
      </c>
      <c r="B550" s="662" t="str">
        <f t="shared" si="2"/>
        <v>#REF!</v>
      </c>
      <c r="C550" s="662" t="str">
        <f>IFERROR(__xludf.DUMMYFUNCTION("IF(
  REGEXMATCH(B550, ""^First\(λ - λ\) ∪ Follow\(""),
  ""Follow("" &amp; REGEXEXTRACT(B550, ""Follow\(([^)]+)\)"") &amp; "") ="",
  IF(
    OR(
      REGEXMATCH(B550, ""^First\([^&lt;]""),
      REGEXMATCH(B550, ""^First\(&lt;[^A-Za-z_]"")
    ),
    """",
    IF(
 "&amp;"     CFG!D550=""λ"",
      ""Follow("" &amp; CFG!B550 &amp; "") ="",
      ""First("" &amp; CFG!D550 &amp; "") =""
    )
  )
)
"),"#REF!")</f>
        <v>#REF!</v>
      </c>
      <c r="D550" s="663" t="str">
        <f>IFERROR(__xludf.DUMMYFUNCTION("IF(
  $C550="""",
  ""{ "" &amp;
    IF(
      REGEXMATCH(B550, ""^First\(\)""),
      "")"",
      REGEXEXTRACT(B550, ""^First\(([^ )]+)"")
    )
  &amp; "" }"",
  IF(
    REGEXMATCH($C550, ""^First\(&lt;""),
    VLOOKUP(REGEXEXTRACT($C550, ""\(([^)]+)\)""), 'First"&amp;" Set MacroA'!B:D, 3, FALSE),
    IF(
      REGEXMATCH($C550, ""^Follow\(&lt;""),
      VLOOKUP(REGEXEXTRACT($C550, ""\(([^)]+)\)""), 'Follow Set Macros'!B:D, 3, FALSE),
      ""{ "" &amp; REGEXEXTRACT($C550, ""\(([^)]+)\)"") &amp; "" }""
    )
  )
)
"),"#REF!")</f>
        <v>#REF!</v>
      </c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</row>
    <row r="551">
      <c r="A551" s="661">
        <f t="shared" si="1"/>
        <v>551</v>
      </c>
      <c r="B551" s="662" t="str">
        <f t="shared" si="2"/>
        <v>#REF!</v>
      </c>
      <c r="C551" s="662" t="str">
        <f>IFERROR(__xludf.DUMMYFUNCTION("IF(
  REGEXMATCH(B551, ""^First\(λ - λ\) ∪ Follow\(""),
  ""Follow("" &amp; REGEXEXTRACT(B551, ""Follow\(([^)]+)\)"") &amp; "") ="",
  IF(
    OR(
      REGEXMATCH(B551, ""^First\([^&lt;]""),
      REGEXMATCH(B551, ""^First\(&lt;[^A-Za-z_]"")
    ),
    """",
    IF(
 "&amp;"     CFG!D551=""λ"",
      ""Follow("" &amp; CFG!B551 &amp; "") ="",
      ""First("" &amp; CFG!D551 &amp; "") =""
    )
  )
)
"),"#REF!")</f>
        <v>#REF!</v>
      </c>
      <c r="D551" s="663" t="str">
        <f>IFERROR(__xludf.DUMMYFUNCTION("IF(
  $C551="""",
  ""{ "" &amp;
    IF(
      REGEXMATCH(B551, ""^First\(\)""),
      "")"",
      REGEXEXTRACT(B551, ""^First\(([^ )]+)"")
    )
  &amp; "" }"",
  IF(
    REGEXMATCH($C551, ""^First\(&lt;""),
    VLOOKUP(REGEXEXTRACT($C551, ""\(([^)]+)\)""), 'First"&amp;" Set MacroA'!B:D, 3, FALSE),
    IF(
      REGEXMATCH($C551, ""^Follow\(&lt;""),
      VLOOKUP(REGEXEXTRACT($C551, ""\(([^)]+)\)""), 'Follow Set Macros'!B:D, 3, FALSE),
      ""{ "" &amp; REGEXEXTRACT($C551, ""\(([^)]+)\)"") &amp; "" }""
    )
  )
)
"),"#REF!")</f>
        <v>#REF!</v>
      </c>
      <c r="E551" s="664"/>
      <c r="F551" s="664"/>
      <c r="G551" s="664"/>
      <c r="H551" s="664"/>
      <c r="I551" s="664"/>
      <c r="J551" s="664"/>
      <c r="K551" s="664"/>
      <c r="L551" s="664"/>
      <c r="M551" s="664"/>
      <c r="N551" s="664"/>
      <c r="O551" s="664"/>
      <c r="P551" s="664"/>
      <c r="Q551" s="664"/>
      <c r="R551" s="664"/>
      <c r="S551" s="664"/>
      <c r="T551" s="664"/>
      <c r="U551" s="664"/>
      <c r="V551" s="664"/>
      <c r="W551" s="664"/>
      <c r="X551" s="664"/>
    </row>
    <row r="552">
      <c r="A552" s="661">
        <f t="shared" si="1"/>
        <v>552</v>
      </c>
      <c r="B552" s="662" t="str">
        <f t="shared" si="2"/>
        <v>#REF!</v>
      </c>
      <c r="C552" s="662" t="str">
        <f>IFERROR(__xludf.DUMMYFUNCTION("IF(
  REGEXMATCH(B552, ""^First\(λ - λ\) ∪ Follow\(""),
  ""Follow("" &amp; REGEXEXTRACT(B552, ""Follow\(([^)]+)\)"") &amp; "") ="",
  IF(
    OR(
      REGEXMATCH(B552, ""^First\([^&lt;]""),
      REGEXMATCH(B552, ""^First\(&lt;[^A-Za-z_]"")
    ),
    """",
    IF(
 "&amp;"     CFG!D552=""λ"",
      ""Follow("" &amp; CFG!B552 &amp; "") ="",
      ""First("" &amp; CFG!D552 &amp; "") =""
    )
  )
)
"),"#REF!")</f>
        <v>#REF!</v>
      </c>
      <c r="D552" s="663" t="str">
        <f>IFERROR(__xludf.DUMMYFUNCTION("IF(
  $C552="""",
  ""{ "" &amp;
    IF(
      REGEXMATCH(B552, ""^First\(\)""),
      "")"",
      REGEXEXTRACT(B552, ""^First\(([^ )]+)"")
    )
  &amp; "" }"",
  IF(
    REGEXMATCH($C552, ""^First\(&lt;""),
    VLOOKUP(REGEXEXTRACT($C552, ""\(([^)]+)\)""), 'First"&amp;" Set MacroA'!B:D, 3, FALSE),
    IF(
      REGEXMATCH($C552, ""^Follow\(&lt;""),
      VLOOKUP(REGEXEXTRACT($C552, ""\(([^)]+)\)""), 'Follow Set Macros'!B:D, 3, FALSE),
      ""{ "" &amp; REGEXEXTRACT($C552, ""\(([^)]+)\)"") &amp; "" }""
    )
  )
)
"),"#REF!")</f>
        <v>#REF!</v>
      </c>
      <c r="E552" s="664"/>
      <c r="F552" s="664"/>
      <c r="G552" s="664"/>
      <c r="H552" s="664"/>
      <c r="I552" s="664"/>
      <c r="J552" s="664"/>
      <c r="K552" s="664"/>
      <c r="L552" s="664"/>
      <c r="M552" s="664"/>
      <c r="N552" s="664"/>
      <c r="O552" s="664"/>
      <c r="P552" s="664"/>
      <c r="Q552" s="664"/>
      <c r="R552" s="664"/>
      <c r="S552" s="664"/>
      <c r="T552" s="664"/>
      <c r="U552" s="664"/>
      <c r="V552" s="664"/>
      <c r="W552" s="664"/>
      <c r="X552" s="664"/>
    </row>
    <row r="553">
      <c r="A553" s="661">
        <f t="shared" si="1"/>
        <v>553</v>
      </c>
      <c r="B553" s="662" t="str">
        <f t="shared" si="2"/>
        <v>#REF!</v>
      </c>
      <c r="C553" s="662" t="str">
        <f>IFERROR(__xludf.DUMMYFUNCTION("IF(
  REGEXMATCH(B553, ""^First\(λ - λ\) ∪ Follow\(""),
  ""Follow("" &amp; REGEXEXTRACT(B553, ""Follow\(([^)]+)\)"") &amp; "") ="",
  IF(
    OR(
      REGEXMATCH(B553, ""^First\([^&lt;]""),
      REGEXMATCH(B553, ""^First\(&lt;[^A-Za-z_]"")
    ),
    """",
    IF(
 "&amp;"     CFG!D553=""λ"",
      ""Follow("" &amp; CFG!B553 &amp; "") ="",
      ""First("" &amp; CFG!D553 &amp; "") =""
    )
  )
)
"),"#REF!")</f>
        <v>#REF!</v>
      </c>
      <c r="D553" s="663" t="str">
        <f>IFERROR(__xludf.DUMMYFUNCTION("IF(
  $C553="""",
  ""{ "" &amp;
    IF(
      REGEXMATCH(B553, ""^First\(\)""),
      "")"",
      REGEXEXTRACT(B553, ""^First\(([^ )]+)"")
    )
  &amp; "" }"",
  IF(
    REGEXMATCH($C553, ""^First\(&lt;""),
    VLOOKUP(REGEXEXTRACT($C553, ""\(([^)]+)\)""), 'First"&amp;" Set MacroA'!B:D, 3, FALSE),
    IF(
      REGEXMATCH($C553, ""^Follow\(&lt;""),
      VLOOKUP(REGEXEXTRACT($C553, ""\(([^)]+)\)""), 'Follow Set Macros'!B:D, 3, FALSE),
      ""{ "" &amp; REGEXEXTRACT($C553, ""\(([^)]+)\)"") &amp; "" }""
    )
  )
)
"),"#REF!")</f>
        <v>#REF!</v>
      </c>
      <c r="E553" s="664"/>
      <c r="F553" s="664"/>
      <c r="G553" s="664"/>
      <c r="H553" s="664"/>
      <c r="I553" s="664"/>
      <c r="J553" s="664"/>
      <c r="K553" s="664"/>
      <c r="L553" s="664"/>
      <c r="M553" s="664"/>
      <c r="N553" s="664"/>
      <c r="O553" s="664"/>
      <c r="P553" s="664"/>
      <c r="Q553" s="664"/>
      <c r="R553" s="664"/>
      <c r="S553" s="664"/>
      <c r="T553" s="664"/>
      <c r="U553" s="664"/>
      <c r="V553" s="664"/>
      <c r="W553" s="664"/>
      <c r="X553" s="664"/>
    </row>
    <row r="554">
      <c r="A554" s="661">
        <f t="shared" si="1"/>
        <v>554</v>
      </c>
      <c r="B554" s="662" t="str">
        <f t="shared" si="2"/>
        <v>#REF!</v>
      </c>
      <c r="C554" s="662" t="str">
        <f>IFERROR(__xludf.DUMMYFUNCTION("IF(
  REGEXMATCH(B554, ""^First\(λ - λ\) ∪ Follow\(""),
  ""Follow("" &amp; REGEXEXTRACT(B554, ""Follow\(([^)]+)\)"") &amp; "") ="",
  IF(
    OR(
      REGEXMATCH(B554, ""^First\([^&lt;]""),
      REGEXMATCH(B554, ""^First\(&lt;[^A-Za-z_]"")
    ),
    """",
    IF(
 "&amp;"     CFG!D554=""λ"",
      ""Follow("" &amp; CFG!B554 &amp; "") ="",
      ""First("" &amp; CFG!D554 &amp; "") =""
    )
  )
)
"),"#REF!")</f>
        <v>#REF!</v>
      </c>
      <c r="D554" s="663" t="str">
        <f>IFERROR(__xludf.DUMMYFUNCTION("IF(
  $C554="""",
  ""{ "" &amp;
    IF(
      REGEXMATCH(B554, ""^First\(\)""),
      "")"",
      REGEXEXTRACT(B554, ""^First\(([^ )]+)"")
    )
  &amp; "" }"",
  IF(
    REGEXMATCH($C554, ""^First\(&lt;""),
    VLOOKUP(REGEXEXTRACT($C554, ""\(([^)]+)\)""), 'First"&amp;" Set MacroA'!B:D, 3, FALSE),
    IF(
      REGEXMATCH($C554, ""^Follow\(&lt;""),
      VLOOKUP(REGEXEXTRACT($C554, ""\(([^)]+)\)""), 'Follow Set Macros'!B:D, 3, FALSE),
      ""{ "" &amp; REGEXEXTRACT($C554, ""\(([^)]+)\)"") &amp; "" }""
    )
  )
)
"),"#REF!")</f>
        <v>#REF!</v>
      </c>
      <c r="E554" s="664"/>
      <c r="F554" s="664"/>
      <c r="G554" s="664"/>
      <c r="H554" s="664"/>
      <c r="I554" s="664"/>
      <c r="J554" s="664"/>
      <c r="K554" s="664"/>
      <c r="L554" s="664"/>
      <c r="M554" s="664"/>
      <c r="N554" s="664"/>
      <c r="O554" s="664"/>
      <c r="P554" s="664"/>
      <c r="Q554" s="664"/>
      <c r="R554" s="664"/>
      <c r="S554" s="664"/>
      <c r="T554" s="664"/>
      <c r="U554" s="664"/>
      <c r="V554" s="664"/>
      <c r="W554" s="664"/>
      <c r="X554" s="664"/>
    </row>
    <row r="555">
      <c r="A555" s="661">
        <f t="shared" si="1"/>
        <v>555</v>
      </c>
      <c r="B555" s="662" t="str">
        <f t="shared" si="2"/>
        <v>#REF!</v>
      </c>
      <c r="C555" s="662" t="str">
        <f>IFERROR(__xludf.DUMMYFUNCTION("IF(
  REGEXMATCH(B555, ""^First\(λ - λ\) ∪ Follow\(""),
  ""Follow("" &amp; REGEXEXTRACT(B555, ""Follow\(([^)]+)\)"") &amp; "") ="",
  IF(
    OR(
      REGEXMATCH(B555, ""^First\([^&lt;]""),
      REGEXMATCH(B555, ""^First\(&lt;[^A-Za-z_]"")
    ),
    """",
    IF(
 "&amp;"     CFG!D555=""λ"",
      ""Follow("" &amp; CFG!B555 &amp; "") ="",
      ""First("" &amp; CFG!D555 &amp; "") =""
    )
  )
)
"),"#REF!")</f>
        <v>#REF!</v>
      </c>
      <c r="D555" s="663" t="str">
        <f>IFERROR(__xludf.DUMMYFUNCTION("IF(
  $C555="""",
  ""{ "" &amp;
    IF(
      REGEXMATCH(B555, ""^First\(\)""),
      "")"",
      REGEXEXTRACT(B555, ""^First\(([^ )]+)"")
    )
  &amp; "" }"",
  IF(
    REGEXMATCH($C555, ""^First\(&lt;""),
    VLOOKUP(REGEXEXTRACT($C555, ""\(([^)]+)\)""), 'First"&amp;" Set MacroA'!B:D, 3, FALSE),
    IF(
      REGEXMATCH($C555, ""^Follow\(&lt;""),
      VLOOKUP(REGEXEXTRACT($C555, ""\(([^)]+)\)""), 'Follow Set Macros'!B:D, 3, FALSE),
      ""{ "" &amp; REGEXEXTRACT($C555, ""\(([^)]+)\)"") &amp; "" }""
    )
  )
)
"),"#REF!")</f>
        <v>#REF!</v>
      </c>
      <c r="E555" s="664"/>
      <c r="F555" s="664"/>
      <c r="G555" s="664"/>
      <c r="H555" s="664"/>
      <c r="I555" s="664"/>
      <c r="J555" s="664"/>
      <c r="K555" s="664"/>
      <c r="L555" s="664"/>
      <c r="M555" s="664"/>
      <c r="N555" s="664"/>
      <c r="O555" s="664"/>
      <c r="P555" s="664"/>
      <c r="Q555" s="664"/>
      <c r="R555" s="664"/>
      <c r="S555" s="664"/>
      <c r="T555" s="664"/>
      <c r="U555" s="664"/>
      <c r="V555" s="664"/>
      <c r="W555" s="664"/>
      <c r="X555" s="664"/>
    </row>
    <row r="556">
      <c r="A556" s="661">
        <f t="shared" si="1"/>
        <v>556</v>
      </c>
      <c r="B556" s="662" t="str">
        <f t="shared" si="2"/>
        <v>#REF!</v>
      </c>
      <c r="C556" s="662" t="str">
        <f>IFERROR(__xludf.DUMMYFUNCTION("IF(
  REGEXMATCH(B556, ""^First\(λ - λ\) ∪ Follow\(""),
  ""Follow("" &amp; REGEXEXTRACT(B556, ""Follow\(([^)]+)\)"") &amp; "") ="",
  IF(
    OR(
      REGEXMATCH(B556, ""^First\([^&lt;]""),
      REGEXMATCH(B556, ""^First\(&lt;[^A-Za-z_]"")
    ),
    """",
    IF(
 "&amp;"     CFG!D556=""λ"",
      ""Follow("" &amp; CFG!B556 &amp; "") ="",
      ""First("" &amp; CFG!D556 &amp; "") =""
    )
  )
)
"),"#REF!")</f>
        <v>#REF!</v>
      </c>
      <c r="D556" s="663" t="str">
        <f>IFERROR(__xludf.DUMMYFUNCTION("IF(
  $C556="""",
  ""{ "" &amp;
    IF(
      REGEXMATCH(B556, ""^First\(\)""),
      "")"",
      REGEXEXTRACT(B556, ""^First\(([^ )]+)"")
    )
  &amp; "" }"",
  IF(
    REGEXMATCH($C556, ""^First\(&lt;""),
    VLOOKUP(REGEXEXTRACT($C556, ""\(([^)]+)\)""), 'First"&amp;" Set MacroA'!B:D, 3, FALSE),
    IF(
      REGEXMATCH($C556, ""^Follow\(&lt;""),
      VLOOKUP(REGEXEXTRACT($C556, ""\(([^)]+)\)""), 'Follow Set Macros'!B:D, 3, FALSE),
      ""{ "" &amp; REGEXEXTRACT($C556, ""\(([^)]+)\)"") &amp; "" }""
    )
  )
)
"),"#REF!")</f>
        <v>#REF!</v>
      </c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</row>
    <row r="557">
      <c r="A557" s="661">
        <f t="shared" si="1"/>
        <v>557</v>
      </c>
      <c r="B557" s="662" t="str">
        <f t="shared" si="2"/>
        <v>#REF!</v>
      </c>
      <c r="C557" s="662" t="str">
        <f>IFERROR(__xludf.DUMMYFUNCTION("IF(
  REGEXMATCH(B557, ""^First\(λ - λ\) ∪ Follow\(""),
  ""Follow("" &amp; REGEXEXTRACT(B557, ""Follow\(([^)]+)\)"") &amp; "") ="",
  IF(
    OR(
      REGEXMATCH(B557, ""^First\([^&lt;]""),
      REGEXMATCH(B557, ""^First\(&lt;[^A-Za-z_]"")
    ),
    """",
    IF(
 "&amp;"     CFG!D557=""λ"",
      ""Follow("" &amp; CFG!B557 &amp; "") ="",
      ""First("" &amp; CFG!D557 &amp; "") =""
    )
  )
)
"),"#REF!")</f>
        <v>#REF!</v>
      </c>
      <c r="D557" s="663" t="str">
        <f>IFERROR(__xludf.DUMMYFUNCTION("IF(
  $C557="""",
  ""{ "" &amp;
    IF(
      REGEXMATCH(B557, ""^First\(\)""),
      "")"",
      REGEXEXTRACT(B557, ""^First\(([^ )]+)"")
    )
  &amp; "" }"",
  IF(
    REGEXMATCH($C557, ""^First\(&lt;""),
    VLOOKUP(REGEXEXTRACT($C557, ""\(([^)]+)\)""), 'First"&amp;" Set MacroA'!B:D, 3, FALSE),
    IF(
      REGEXMATCH($C557, ""^Follow\(&lt;""),
      VLOOKUP(REGEXEXTRACT($C557, ""\(([^)]+)\)""), 'Follow Set Macros'!B:D, 3, FALSE),
      ""{ "" &amp; REGEXEXTRACT($C557, ""\(([^)]+)\)"") &amp; "" }""
    )
  )
)
"),"#REF!")</f>
        <v>#REF!</v>
      </c>
      <c r="E557" s="664"/>
      <c r="F557" s="664"/>
      <c r="G557" s="664"/>
      <c r="H557" s="664"/>
      <c r="I557" s="664"/>
      <c r="J557" s="664"/>
      <c r="K557" s="664"/>
      <c r="L557" s="664"/>
      <c r="M557" s="664"/>
      <c r="N557" s="664"/>
      <c r="O557" s="664"/>
      <c r="P557" s="664"/>
      <c r="Q557" s="664"/>
      <c r="R557" s="664"/>
      <c r="S557" s="664"/>
      <c r="T557" s="664"/>
      <c r="U557" s="664"/>
      <c r="V557" s="664"/>
      <c r="W557" s="664"/>
      <c r="X557" s="664"/>
    </row>
    <row r="558">
      <c r="A558" s="661">
        <f t="shared" si="1"/>
        <v>558</v>
      </c>
      <c r="B558" s="662" t="str">
        <f t="shared" si="2"/>
        <v>#REF!</v>
      </c>
      <c r="C558" s="662" t="str">
        <f>IFERROR(__xludf.DUMMYFUNCTION("IF(
  REGEXMATCH(B558, ""^First\(λ - λ\) ∪ Follow\(""),
  ""Follow("" &amp; REGEXEXTRACT(B558, ""Follow\(([^)]+)\)"") &amp; "") ="",
  IF(
    OR(
      REGEXMATCH(B558, ""^First\([^&lt;]""),
      REGEXMATCH(B558, ""^First\(&lt;[^A-Za-z_]"")
    ),
    """",
    IF(
 "&amp;"     CFG!D558=""λ"",
      ""Follow("" &amp; CFG!B558 &amp; "") ="",
      ""First("" &amp; CFG!D558 &amp; "") =""
    )
  )
)
"),"#REF!")</f>
        <v>#REF!</v>
      </c>
      <c r="D558" s="663" t="str">
        <f>IFERROR(__xludf.DUMMYFUNCTION("IF(
  $C558="""",
  ""{ "" &amp;
    IF(
      REGEXMATCH(B558, ""^First\(\)""),
      "")"",
      REGEXEXTRACT(B558, ""^First\(([^ )]+)"")
    )
  &amp; "" }"",
  IF(
    REGEXMATCH($C558, ""^First\(&lt;""),
    VLOOKUP(REGEXEXTRACT($C558, ""\(([^)]+)\)""), 'First"&amp;" Set MacroA'!B:D, 3, FALSE),
    IF(
      REGEXMATCH($C558, ""^Follow\(&lt;""),
      VLOOKUP(REGEXEXTRACT($C558, ""\(([^)]+)\)""), 'Follow Set Macros'!B:D, 3, FALSE),
      ""{ "" &amp; REGEXEXTRACT($C558, ""\(([^)]+)\)"") &amp; "" }""
    )
  )
)
"),"#REF!")</f>
        <v>#REF!</v>
      </c>
      <c r="E558" s="664"/>
      <c r="F558" s="664"/>
      <c r="G558" s="664"/>
      <c r="H558" s="664"/>
      <c r="I558" s="664"/>
      <c r="J558" s="664"/>
      <c r="K558" s="664"/>
      <c r="L558" s="664"/>
      <c r="M558" s="664"/>
      <c r="N558" s="664"/>
      <c r="O558" s="664"/>
      <c r="P558" s="664"/>
      <c r="Q558" s="664"/>
      <c r="R558" s="664"/>
      <c r="S558" s="664"/>
      <c r="T558" s="664"/>
      <c r="U558" s="664"/>
      <c r="V558" s="664"/>
      <c r="W558" s="664"/>
      <c r="X558" s="664"/>
    </row>
    <row r="559">
      <c r="A559" s="661">
        <f t="shared" si="1"/>
        <v>559</v>
      </c>
      <c r="B559" s="662" t="str">
        <f t="shared" si="2"/>
        <v>#REF!</v>
      </c>
      <c r="C559" s="662" t="str">
        <f>IFERROR(__xludf.DUMMYFUNCTION("IF(
  REGEXMATCH(B559, ""^First\(λ - λ\) ∪ Follow\(""),
  ""Follow("" &amp; REGEXEXTRACT(B559, ""Follow\(([^)]+)\)"") &amp; "") ="",
  IF(
    OR(
      REGEXMATCH(B559, ""^First\([^&lt;]""),
      REGEXMATCH(B559, ""^First\(&lt;[^A-Za-z_]"")
    ),
    """",
    IF(
 "&amp;"     CFG!D559=""λ"",
      ""Follow("" &amp; CFG!B559 &amp; "") ="",
      ""First("" &amp; CFG!D559 &amp; "") =""
    )
  )
)
"),"#REF!")</f>
        <v>#REF!</v>
      </c>
      <c r="D559" s="663" t="str">
        <f>IFERROR(__xludf.DUMMYFUNCTION("IF(
  $C559="""",
  ""{ "" &amp;
    IF(
      REGEXMATCH(B559, ""^First\(\)""),
      "")"",
      REGEXEXTRACT(B559, ""^First\(([^ )]+)"")
    )
  &amp; "" }"",
  IF(
    REGEXMATCH($C559, ""^First\(&lt;""),
    VLOOKUP(REGEXEXTRACT($C559, ""\(([^)]+)\)""), 'First"&amp;" Set MacroA'!B:D, 3, FALSE),
    IF(
      REGEXMATCH($C559, ""^Follow\(&lt;""),
      VLOOKUP(REGEXEXTRACT($C559, ""\(([^)]+)\)""), 'Follow Set Macros'!B:D, 3, FALSE),
      ""{ "" &amp; REGEXEXTRACT($C559, ""\(([^)]+)\)"") &amp; "" }""
    )
  )
)
"),"#REF!")</f>
        <v>#REF!</v>
      </c>
      <c r="E559" s="664"/>
      <c r="F559" s="664"/>
      <c r="G559" s="664"/>
      <c r="H559" s="664"/>
      <c r="I559" s="664"/>
      <c r="J559" s="664"/>
      <c r="K559" s="664"/>
      <c r="L559" s="664"/>
      <c r="M559" s="664"/>
      <c r="N559" s="664"/>
      <c r="O559" s="664"/>
      <c r="P559" s="664"/>
      <c r="Q559" s="664"/>
      <c r="R559" s="664"/>
      <c r="S559" s="664"/>
      <c r="T559" s="664"/>
      <c r="U559" s="664"/>
      <c r="V559" s="664"/>
      <c r="W559" s="664"/>
      <c r="X559" s="664"/>
    </row>
    <row r="560">
      <c r="A560" s="661">
        <f t="shared" si="1"/>
        <v>560</v>
      </c>
      <c r="B560" s="662" t="str">
        <f t="shared" si="2"/>
        <v>#REF!</v>
      </c>
      <c r="C560" s="662" t="str">
        <f>IFERROR(__xludf.DUMMYFUNCTION("IF(
  REGEXMATCH(B560, ""^First\(λ - λ\) ∪ Follow\(""),
  ""Follow("" &amp; REGEXEXTRACT(B560, ""Follow\(([^)]+)\)"") &amp; "") ="",
  IF(
    OR(
      REGEXMATCH(B560, ""^First\([^&lt;]""),
      REGEXMATCH(B560, ""^First\(&lt;[^A-Za-z_]"")
    ),
    """",
    IF(
 "&amp;"     CFG!D560=""λ"",
      ""Follow("" &amp; CFG!B560 &amp; "") ="",
      ""First("" &amp; CFG!D560 &amp; "") =""
    )
  )
)
"),"#REF!")</f>
        <v>#REF!</v>
      </c>
      <c r="D560" s="663" t="str">
        <f>IFERROR(__xludf.DUMMYFUNCTION("IF(
  $C560="""",
  ""{ "" &amp;
    IF(
      REGEXMATCH(B560, ""^First\(\)""),
      "")"",
      REGEXEXTRACT(B560, ""^First\(([^ )]+)"")
    )
  &amp; "" }"",
  IF(
    REGEXMATCH($C560, ""^First\(&lt;""),
    VLOOKUP(REGEXEXTRACT($C560, ""\(([^)]+)\)""), 'First"&amp;" Set MacroA'!B:D, 3, FALSE),
    IF(
      REGEXMATCH($C560, ""^Follow\(&lt;""),
      VLOOKUP(REGEXEXTRACT($C560, ""\(([^)]+)\)""), 'Follow Set Macros'!B:D, 3, FALSE),
      ""{ "" &amp; REGEXEXTRACT($C560, ""\(([^)]+)\)"") &amp; "" }""
    )
  )
)
"),"#REF!")</f>
        <v>#REF!</v>
      </c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</row>
    <row r="561">
      <c r="A561" s="661">
        <f t="shared" si="1"/>
        <v>561</v>
      </c>
      <c r="B561" s="662" t="str">
        <f t="shared" si="2"/>
        <v>#REF!</v>
      </c>
      <c r="C561" s="662" t="str">
        <f>IFERROR(__xludf.DUMMYFUNCTION("IF(
  REGEXMATCH(B561, ""^First\(λ - λ\) ∪ Follow\(""),
  ""Follow("" &amp; REGEXEXTRACT(B561, ""Follow\(([^)]+)\)"") &amp; "") ="",
  IF(
    OR(
      REGEXMATCH(B561, ""^First\([^&lt;]""),
      REGEXMATCH(B561, ""^First\(&lt;[^A-Za-z_]"")
    ),
    """",
    IF(
 "&amp;"     CFG!D561=""λ"",
      ""Follow("" &amp; CFG!B561 &amp; "") ="",
      ""First("" &amp; CFG!D561 &amp; "") =""
    )
  )
)
"),"#REF!")</f>
        <v>#REF!</v>
      </c>
      <c r="D561" s="663" t="str">
        <f>IFERROR(__xludf.DUMMYFUNCTION("IF(
  $C561="""",
  ""{ "" &amp;
    IF(
      REGEXMATCH(B561, ""^First\(\)""),
      "")"",
      REGEXEXTRACT(B561, ""^First\(([^ )]+)"")
    )
  &amp; "" }"",
  IF(
    REGEXMATCH($C561, ""^First\(&lt;""),
    VLOOKUP(REGEXEXTRACT($C561, ""\(([^)]+)\)""), 'First"&amp;" Set MacroA'!B:D, 3, FALSE),
    IF(
      REGEXMATCH($C561, ""^Follow\(&lt;""),
      VLOOKUP(REGEXEXTRACT($C561, ""\(([^)]+)\)""), 'Follow Set Macros'!B:D, 3, FALSE),
      ""{ "" &amp; REGEXEXTRACT($C561, ""\(([^)]+)\)"") &amp; "" }""
    )
  )
)
"),"#REF!")</f>
        <v>#REF!</v>
      </c>
      <c r="E561" s="664"/>
      <c r="F561" s="664"/>
      <c r="G561" s="664"/>
      <c r="H561" s="664"/>
      <c r="I561" s="664"/>
      <c r="J561" s="664"/>
      <c r="K561" s="664"/>
      <c r="L561" s="664"/>
      <c r="M561" s="664"/>
      <c r="N561" s="664"/>
      <c r="O561" s="664"/>
      <c r="P561" s="664"/>
      <c r="Q561" s="664"/>
      <c r="R561" s="664"/>
      <c r="S561" s="664"/>
      <c r="T561" s="664"/>
      <c r="U561" s="664"/>
      <c r="V561" s="664"/>
      <c r="W561" s="664"/>
      <c r="X561" s="664"/>
    </row>
    <row r="562">
      <c r="A562" s="661">
        <f t="shared" si="1"/>
        <v>562</v>
      </c>
      <c r="B562" s="662" t="str">
        <f t="shared" si="2"/>
        <v>#REF!</v>
      </c>
      <c r="C562" s="662" t="str">
        <f>IFERROR(__xludf.DUMMYFUNCTION("IF(
  REGEXMATCH(B562, ""^First\(λ - λ\) ∪ Follow\(""),
  ""Follow("" &amp; REGEXEXTRACT(B562, ""Follow\(([^)]+)\)"") &amp; "") ="",
  IF(
    OR(
      REGEXMATCH(B562, ""^First\([^&lt;]""),
      REGEXMATCH(B562, ""^First\(&lt;[^A-Za-z_]"")
    ),
    """",
    IF(
 "&amp;"     CFG!D562=""λ"",
      ""Follow("" &amp; CFG!B562 &amp; "") ="",
      ""First("" &amp; CFG!D562 &amp; "") =""
    )
  )
)
"),"#REF!")</f>
        <v>#REF!</v>
      </c>
      <c r="D562" s="663" t="str">
        <f>IFERROR(__xludf.DUMMYFUNCTION("IF(
  $C562="""",
  ""{ "" &amp;
    IF(
      REGEXMATCH(B562, ""^First\(\)""),
      "")"",
      REGEXEXTRACT(B562, ""^First\(([^ )]+)"")
    )
  &amp; "" }"",
  IF(
    REGEXMATCH($C562, ""^First\(&lt;""),
    VLOOKUP(REGEXEXTRACT($C562, ""\(([^)]+)\)""), 'First"&amp;" Set MacroA'!B:D, 3, FALSE),
    IF(
      REGEXMATCH($C562, ""^Follow\(&lt;""),
      VLOOKUP(REGEXEXTRACT($C562, ""\(([^)]+)\)""), 'Follow Set Macros'!B:D, 3, FALSE),
      ""{ "" &amp; REGEXEXTRACT($C562, ""\(([^)]+)\)"") &amp; "" }""
    )
  )
)
"),"#REF!")</f>
        <v>#REF!</v>
      </c>
      <c r="E562" s="664"/>
      <c r="F562" s="664"/>
      <c r="G562" s="664"/>
      <c r="H562" s="664"/>
      <c r="I562" s="664"/>
      <c r="J562" s="664"/>
      <c r="K562" s="664"/>
      <c r="L562" s="664"/>
      <c r="M562" s="664"/>
      <c r="N562" s="664"/>
      <c r="O562" s="664"/>
      <c r="P562" s="664"/>
      <c r="Q562" s="664"/>
      <c r="R562" s="664"/>
      <c r="S562" s="664"/>
      <c r="T562" s="664"/>
      <c r="U562" s="664"/>
      <c r="V562" s="664"/>
      <c r="W562" s="664"/>
      <c r="X562" s="664"/>
    </row>
    <row r="563">
      <c r="A563" s="661">
        <f t="shared" si="1"/>
        <v>563</v>
      </c>
      <c r="B563" s="662" t="str">
        <f t="shared" si="2"/>
        <v>#REF!</v>
      </c>
      <c r="C563" s="662" t="str">
        <f>IFERROR(__xludf.DUMMYFUNCTION("IF(
  REGEXMATCH(B563, ""^First\(λ - λ\) ∪ Follow\(""),
  ""Follow("" &amp; REGEXEXTRACT(B563, ""Follow\(([^)]+)\)"") &amp; "") ="",
  IF(
    OR(
      REGEXMATCH(B563, ""^First\([^&lt;]""),
      REGEXMATCH(B563, ""^First\(&lt;[^A-Za-z_]"")
    ),
    """",
    IF(
 "&amp;"     CFG!D563=""λ"",
      ""Follow("" &amp; CFG!B563 &amp; "") ="",
      ""First("" &amp; CFG!D563 &amp; "") =""
    )
  )
)
"),"#REF!")</f>
        <v>#REF!</v>
      </c>
      <c r="D563" s="663" t="str">
        <f>IFERROR(__xludf.DUMMYFUNCTION("IF(
  $C563="""",
  ""{ "" &amp;
    IF(
      REGEXMATCH(B563, ""^First\(\)""),
      "")"",
      REGEXEXTRACT(B563, ""^First\(([^ )]+)"")
    )
  &amp; "" }"",
  IF(
    REGEXMATCH($C563, ""^First\(&lt;""),
    VLOOKUP(REGEXEXTRACT($C563, ""\(([^)]+)\)""), 'First"&amp;" Set MacroA'!B:D, 3, FALSE),
    IF(
      REGEXMATCH($C563, ""^Follow\(&lt;""),
      VLOOKUP(REGEXEXTRACT($C563, ""\(([^)]+)\)""), 'Follow Set Macros'!B:D, 3, FALSE),
      ""{ "" &amp; REGEXEXTRACT($C563, ""\(([^)]+)\)"") &amp; "" }""
    )
  )
)
"),"#REF!")</f>
        <v>#REF!</v>
      </c>
      <c r="E563" s="664"/>
      <c r="F563" s="664"/>
      <c r="G563" s="664"/>
      <c r="H563" s="664"/>
      <c r="I563" s="664"/>
      <c r="J563" s="664"/>
      <c r="K563" s="664"/>
      <c r="L563" s="664"/>
      <c r="M563" s="664"/>
      <c r="N563" s="664"/>
      <c r="O563" s="664"/>
      <c r="P563" s="664"/>
      <c r="Q563" s="664"/>
      <c r="R563" s="664"/>
      <c r="S563" s="664"/>
      <c r="T563" s="664"/>
      <c r="U563" s="664"/>
      <c r="V563" s="664"/>
      <c r="W563" s="664"/>
      <c r="X563" s="664"/>
    </row>
    <row r="564">
      <c r="A564" s="661">
        <f t="shared" si="1"/>
        <v>564</v>
      </c>
      <c r="B564" s="662" t="str">
        <f t="shared" si="2"/>
        <v>#REF!</v>
      </c>
      <c r="C564" s="662" t="str">
        <f>IFERROR(__xludf.DUMMYFUNCTION("IF(
  REGEXMATCH(B564, ""^First\(λ - λ\) ∪ Follow\(""),
  ""Follow("" &amp; REGEXEXTRACT(B564, ""Follow\(([^)]+)\)"") &amp; "") ="",
  IF(
    OR(
      REGEXMATCH(B564, ""^First\([^&lt;]""),
      REGEXMATCH(B564, ""^First\(&lt;[^A-Za-z_]"")
    ),
    """",
    IF(
 "&amp;"     CFG!D564=""λ"",
      ""Follow("" &amp; CFG!B564 &amp; "") ="",
      ""First("" &amp; CFG!D564 &amp; "") =""
    )
  )
)
"),"#REF!")</f>
        <v>#REF!</v>
      </c>
      <c r="D564" s="663" t="str">
        <f>IFERROR(__xludf.DUMMYFUNCTION("IF(
  $C564="""",
  ""{ "" &amp;
    IF(
      REGEXMATCH(B564, ""^First\(\)""),
      "")"",
      REGEXEXTRACT(B564, ""^First\(([^ )]+)"")
    )
  &amp; "" }"",
  IF(
    REGEXMATCH($C564, ""^First\(&lt;""),
    VLOOKUP(REGEXEXTRACT($C564, ""\(([^)]+)\)""), 'First"&amp;" Set MacroA'!B:D, 3, FALSE),
    IF(
      REGEXMATCH($C564, ""^Follow\(&lt;""),
      VLOOKUP(REGEXEXTRACT($C564, ""\(([^)]+)\)""), 'Follow Set Macros'!B:D, 3, FALSE),
      ""{ "" &amp; REGEXEXTRACT($C564, ""\(([^)]+)\)"") &amp; "" }""
    )
  )
)
"),"#REF!")</f>
        <v>#REF!</v>
      </c>
      <c r="E564" s="664"/>
      <c r="F564" s="664"/>
      <c r="G564" s="664"/>
      <c r="H564" s="664"/>
      <c r="I564" s="664"/>
      <c r="J564" s="664"/>
      <c r="K564" s="664"/>
      <c r="L564" s="664"/>
      <c r="M564" s="664"/>
      <c r="N564" s="664"/>
      <c r="O564" s="664"/>
      <c r="P564" s="664"/>
      <c r="Q564" s="664"/>
      <c r="R564" s="664"/>
      <c r="S564" s="664"/>
      <c r="T564" s="664"/>
      <c r="U564" s="664"/>
      <c r="V564" s="664"/>
      <c r="W564" s="664"/>
      <c r="X564" s="664"/>
    </row>
    <row r="565">
      <c r="A565" s="661">
        <f t="shared" si="1"/>
        <v>565</v>
      </c>
      <c r="B565" s="662" t="str">
        <f t="shared" si="2"/>
        <v>#REF!</v>
      </c>
      <c r="C565" s="662" t="str">
        <f>IFERROR(__xludf.DUMMYFUNCTION("IF(
  REGEXMATCH(B565, ""^First\(λ - λ\) ∪ Follow\(""),
  ""Follow("" &amp; REGEXEXTRACT(B565, ""Follow\(([^)]+)\)"") &amp; "") ="",
  IF(
    OR(
      REGEXMATCH(B565, ""^First\([^&lt;]""),
      REGEXMATCH(B565, ""^First\(&lt;[^A-Za-z_]"")
    ),
    """",
    IF(
 "&amp;"     CFG!D565=""λ"",
      ""Follow("" &amp; CFG!B565 &amp; "") ="",
      ""First("" &amp; CFG!D565 &amp; "") =""
    )
  )
)
"),"#REF!")</f>
        <v>#REF!</v>
      </c>
      <c r="D565" s="663" t="str">
        <f>IFERROR(__xludf.DUMMYFUNCTION("IF(
  $C565="""",
  ""{ "" &amp;
    IF(
      REGEXMATCH(B565, ""^First\(\)""),
      "")"",
      REGEXEXTRACT(B565, ""^First\(([^ )]+)"")
    )
  &amp; "" }"",
  IF(
    REGEXMATCH($C565, ""^First\(&lt;""),
    VLOOKUP(REGEXEXTRACT($C565, ""\(([^)]+)\)""), 'First"&amp;" Set MacroA'!B:D, 3, FALSE),
    IF(
      REGEXMATCH($C565, ""^Follow\(&lt;""),
      VLOOKUP(REGEXEXTRACT($C565, ""\(([^)]+)\)""), 'Follow Set Macros'!B:D, 3, FALSE),
      ""{ "" &amp; REGEXEXTRACT($C565, ""\(([^)]+)\)"") &amp; "" }""
    )
  )
)
"),"#REF!")</f>
        <v>#REF!</v>
      </c>
      <c r="E565" s="664"/>
      <c r="F565" s="664"/>
      <c r="G565" s="664"/>
      <c r="H565" s="664"/>
      <c r="I565" s="664"/>
      <c r="J565" s="664"/>
      <c r="K565" s="664"/>
      <c r="L565" s="664"/>
      <c r="M565" s="664"/>
      <c r="N565" s="664"/>
      <c r="O565" s="664"/>
      <c r="P565" s="664"/>
      <c r="Q565" s="664"/>
      <c r="R565" s="664"/>
      <c r="S565" s="664"/>
      <c r="T565" s="664"/>
      <c r="U565" s="664"/>
      <c r="V565" s="664"/>
      <c r="W565" s="664"/>
      <c r="X565" s="664"/>
    </row>
    <row r="566">
      <c r="A566" s="661">
        <f t="shared" si="1"/>
        <v>566</v>
      </c>
      <c r="B566" s="662" t="str">
        <f t="shared" si="2"/>
        <v>#REF!</v>
      </c>
      <c r="C566" s="662" t="str">
        <f>IFERROR(__xludf.DUMMYFUNCTION("IF(
  REGEXMATCH(B566, ""^First\(λ - λ\) ∪ Follow\(""),
  ""Follow("" &amp; REGEXEXTRACT(B566, ""Follow\(([^)]+)\)"") &amp; "") ="",
  IF(
    OR(
      REGEXMATCH(B566, ""^First\([^&lt;]""),
      REGEXMATCH(B566, ""^First\(&lt;[^A-Za-z_]"")
    ),
    """",
    IF(
 "&amp;"     CFG!D566=""λ"",
      ""Follow("" &amp; CFG!B566 &amp; "") ="",
      ""First("" &amp; CFG!D566 &amp; "") =""
    )
  )
)
"),"#REF!")</f>
        <v>#REF!</v>
      </c>
      <c r="D566" s="663" t="str">
        <f>IFERROR(__xludf.DUMMYFUNCTION("IF(
  $C566="""",
  ""{ "" &amp;
    IF(
      REGEXMATCH(B566, ""^First\(\)""),
      "")"",
      REGEXEXTRACT(B566, ""^First\(([^ )]+)"")
    )
  &amp; "" }"",
  IF(
    REGEXMATCH($C566, ""^First\(&lt;""),
    VLOOKUP(REGEXEXTRACT($C566, ""\(([^)]+)\)""), 'First"&amp;" Set MacroA'!B:D, 3, FALSE),
    IF(
      REGEXMATCH($C566, ""^Follow\(&lt;""),
      VLOOKUP(REGEXEXTRACT($C566, ""\(([^)]+)\)""), 'Follow Set Macros'!B:D, 3, FALSE),
      ""{ "" &amp; REGEXEXTRACT($C566, ""\(([^)]+)\)"") &amp; "" }""
    )
  )
)
"),"#REF!")</f>
        <v>#REF!</v>
      </c>
      <c r="E566" s="664"/>
      <c r="F566" s="664"/>
      <c r="G566" s="664"/>
      <c r="H566" s="664"/>
      <c r="I566" s="664"/>
      <c r="J566" s="664"/>
      <c r="K566" s="664"/>
      <c r="L566" s="664"/>
      <c r="M566" s="664"/>
      <c r="N566" s="664"/>
      <c r="O566" s="664"/>
      <c r="P566" s="664"/>
      <c r="Q566" s="664"/>
      <c r="R566" s="664"/>
      <c r="S566" s="664"/>
      <c r="T566" s="664"/>
      <c r="U566" s="664"/>
      <c r="V566" s="664"/>
      <c r="W566" s="664"/>
      <c r="X566" s="664"/>
    </row>
    <row r="567">
      <c r="A567" s="661">
        <f t="shared" si="1"/>
        <v>567</v>
      </c>
      <c r="B567" s="662" t="str">
        <f t="shared" si="2"/>
        <v>#REF!</v>
      </c>
      <c r="C567" s="662" t="str">
        <f>IFERROR(__xludf.DUMMYFUNCTION("IF(
  REGEXMATCH(B567, ""^First\(λ - λ\) ∪ Follow\(""),
  ""Follow("" &amp; REGEXEXTRACT(B567, ""Follow\(([^)]+)\)"") &amp; "") ="",
  IF(
    OR(
      REGEXMATCH(B567, ""^First\([^&lt;]""),
      REGEXMATCH(B567, ""^First\(&lt;[^A-Za-z_]"")
    ),
    """",
    IF(
 "&amp;"     CFG!D567=""λ"",
      ""Follow("" &amp; CFG!B567 &amp; "") ="",
      ""First("" &amp; CFG!D567 &amp; "") =""
    )
  )
)
"),"#REF!")</f>
        <v>#REF!</v>
      </c>
      <c r="D567" s="663" t="str">
        <f>IFERROR(__xludf.DUMMYFUNCTION("IF(
  $C567="""",
  ""{ "" &amp;
    IF(
      REGEXMATCH(B567, ""^First\(\)""),
      "")"",
      REGEXEXTRACT(B567, ""^First\(([^ )]+)"")
    )
  &amp; "" }"",
  IF(
    REGEXMATCH($C567, ""^First\(&lt;""),
    VLOOKUP(REGEXEXTRACT($C567, ""\(([^)]+)\)""), 'First"&amp;" Set MacroA'!B:D, 3, FALSE),
    IF(
      REGEXMATCH($C567, ""^Follow\(&lt;""),
      VLOOKUP(REGEXEXTRACT($C567, ""\(([^)]+)\)""), 'Follow Set Macros'!B:D, 3, FALSE),
      ""{ "" &amp; REGEXEXTRACT($C567, ""\(([^)]+)\)"") &amp; "" }""
    )
  )
)
"),"#REF!")</f>
        <v>#REF!</v>
      </c>
      <c r="E567" s="664"/>
      <c r="F567" s="664"/>
      <c r="G567" s="664"/>
      <c r="H567" s="664"/>
      <c r="I567" s="664"/>
      <c r="J567" s="664"/>
      <c r="K567" s="664"/>
      <c r="L567" s="664"/>
      <c r="M567" s="664"/>
      <c r="N567" s="664"/>
      <c r="O567" s="664"/>
      <c r="P567" s="664"/>
      <c r="Q567" s="664"/>
      <c r="R567" s="664"/>
      <c r="S567" s="664"/>
      <c r="T567" s="664"/>
      <c r="U567" s="664"/>
      <c r="V567" s="664"/>
      <c r="W567" s="664"/>
      <c r="X567" s="664"/>
    </row>
    <row r="568">
      <c r="A568" s="661">
        <f t="shared" si="1"/>
        <v>568</v>
      </c>
      <c r="B568" s="662" t="str">
        <f t="shared" si="2"/>
        <v>#REF!</v>
      </c>
      <c r="C568" s="662" t="str">
        <f>IFERROR(__xludf.DUMMYFUNCTION("IF(
  REGEXMATCH(B568, ""^First\(λ - λ\) ∪ Follow\(""),
  ""Follow("" &amp; REGEXEXTRACT(B568, ""Follow\(([^)]+)\)"") &amp; "") ="",
  IF(
    OR(
      REGEXMATCH(B568, ""^First\([^&lt;]""),
      REGEXMATCH(B568, ""^First\(&lt;[^A-Za-z_]"")
    ),
    """",
    IF(
 "&amp;"     CFG!D568=""λ"",
      ""Follow("" &amp; CFG!B568 &amp; "") ="",
      ""First("" &amp; CFG!D568 &amp; "") =""
    )
  )
)
"),"#REF!")</f>
        <v>#REF!</v>
      </c>
      <c r="D568" s="663" t="str">
        <f>IFERROR(__xludf.DUMMYFUNCTION("IF(
  $C568="""",
  ""{ "" &amp;
    IF(
      REGEXMATCH(B568, ""^First\(\)""),
      "")"",
      REGEXEXTRACT(B568, ""^First\(([^ )]+)"")
    )
  &amp; "" }"",
  IF(
    REGEXMATCH($C568, ""^First\(&lt;""),
    VLOOKUP(REGEXEXTRACT($C568, ""\(([^)]+)\)""), 'First"&amp;" Set MacroA'!B:D, 3, FALSE),
    IF(
      REGEXMATCH($C568, ""^Follow\(&lt;""),
      VLOOKUP(REGEXEXTRACT($C568, ""\(([^)]+)\)""), 'Follow Set Macros'!B:D, 3, FALSE),
      ""{ "" &amp; REGEXEXTRACT($C568, ""\(([^)]+)\)"") &amp; "" }""
    )
  )
)
"),"#REF!")</f>
        <v>#REF!</v>
      </c>
      <c r="E568" s="664"/>
      <c r="F568" s="664"/>
      <c r="G568" s="664"/>
      <c r="H568" s="664"/>
      <c r="I568" s="664"/>
      <c r="J568" s="664"/>
      <c r="K568" s="664"/>
      <c r="L568" s="664"/>
      <c r="M568" s="664"/>
      <c r="N568" s="664"/>
      <c r="O568" s="664"/>
      <c r="P568" s="664"/>
      <c r="Q568" s="664"/>
      <c r="R568" s="664"/>
      <c r="S568" s="664"/>
      <c r="T568" s="664"/>
      <c r="U568" s="664"/>
      <c r="V568" s="664"/>
      <c r="W568" s="664"/>
      <c r="X568" s="664"/>
    </row>
    <row r="569">
      <c r="A569" s="661">
        <f t="shared" si="1"/>
        <v>569</v>
      </c>
      <c r="B569" s="662" t="str">
        <f t="shared" si="2"/>
        <v>#REF!</v>
      </c>
      <c r="C569" s="662" t="str">
        <f>IFERROR(__xludf.DUMMYFUNCTION("IF(
  REGEXMATCH(B569, ""^First\(λ - λ\) ∪ Follow\(""),
  ""Follow("" &amp; REGEXEXTRACT(B569, ""Follow\(([^)]+)\)"") &amp; "") ="",
  IF(
    OR(
      REGEXMATCH(B569, ""^First\([^&lt;]""),
      REGEXMATCH(B569, ""^First\(&lt;[^A-Za-z_]"")
    ),
    """",
    IF(
 "&amp;"     CFG!D569=""λ"",
      ""Follow("" &amp; CFG!B569 &amp; "") ="",
      ""First("" &amp; CFG!D569 &amp; "") =""
    )
  )
)
"),"#REF!")</f>
        <v>#REF!</v>
      </c>
      <c r="D569" s="663" t="str">
        <f>IFERROR(__xludf.DUMMYFUNCTION("IF(
  $C569="""",
  ""{ "" &amp;
    IF(
      REGEXMATCH(B569, ""^First\(\)""),
      "")"",
      REGEXEXTRACT(B569, ""^First\(([^ )]+)"")
    )
  &amp; "" }"",
  IF(
    REGEXMATCH($C569, ""^First\(&lt;""),
    VLOOKUP(REGEXEXTRACT($C569, ""\(([^)]+)\)""), 'First"&amp;" Set MacroA'!B:D, 3, FALSE),
    IF(
      REGEXMATCH($C569, ""^Follow\(&lt;""),
      VLOOKUP(REGEXEXTRACT($C569, ""\(([^)]+)\)""), 'Follow Set Macros'!B:D, 3, FALSE),
      ""{ "" &amp; REGEXEXTRACT($C569, ""\(([^)]+)\)"") &amp; "" }""
    )
  )
)
"),"#REF!")</f>
        <v>#REF!</v>
      </c>
      <c r="E569" s="664"/>
      <c r="F569" s="664"/>
      <c r="G569" s="664"/>
      <c r="H569" s="664"/>
      <c r="I569" s="664"/>
      <c r="J569" s="664"/>
      <c r="K569" s="664"/>
      <c r="L569" s="664"/>
      <c r="M569" s="664"/>
      <c r="N569" s="664"/>
      <c r="O569" s="664"/>
      <c r="P569" s="664"/>
      <c r="Q569" s="664"/>
      <c r="R569" s="664"/>
      <c r="S569" s="664"/>
      <c r="T569" s="664"/>
      <c r="U569" s="664"/>
      <c r="V569" s="664"/>
      <c r="W569" s="664"/>
      <c r="X569" s="664"/>
    </row>
    <row r="570">
      <c r="A570" s="661">
        <f t="shared" si="1"/>
        <v>570</v>
      </c>
      <c r="B570" s="662" t="str">
        <f t="shared" si="2"/>
        <v>#REF!</v>
      </c>
      <c r="C570" s="662" t="str">
        <f>IFERROR(__xludf.DUMMYFUNCTION("IF(
  REGEXMATCH(B570, ""^First\(λ - λ\) ∪ Follow\(""),
  ""Follow("" &amp; REGEXEXTRACT(B570, ""Follow\(([^)]+)\)"") &amp; "") ="",
  IF(
    OR(
      REGEXMATCH(B570, ""^First\([^&lt;]""),
      REGEXMATCH(B570, ""^First\(&lt;[^A-Za-z_]"")
    ),
    """",
    IF(
 "&amp;"     CFG!D570=""λ"",
      ""Follow("" &amp; CFG!B570 &amp; "") ="",
      ""First("" &amp; CFG!D570 &amp; "") =""
    )
  )
)
"),"#REF!")</f>
        <v>#REF!</v>
      </c>
      <c r="D570" s="663" t="str">
        <f>IFERROR(__xludf.DUMMYFUNCTION("IF(
  $C570="""",
  ""{ "" &amp;
    IF(
      REGEXMATCH(B570, ""^First\(\)""),
      "")"",
      REGEXEXTRACT(B570, ""^First\(([^ )]+)"")
    )
  &amp; "" }"",
  IF(
    REGEXMATCH($C570, ""^First\(&lt;""),
    VLOOKUP(REGEXEXTRACT($C570, ""\(([^)]+)\)""), 'First"&amp;" Set MacroA'!B:D, 3, FALSE),
    IF(
      REGEXMATCH($C570, ""^Follow\(&lt;""),
      VLOOKUP(REGEXEXTRACT($C570, ""\(([^)]+)\)""), 'Follow Set Macros'!B:D, 3, FALSE),
      ""{ "" &amp; REGEXEXTRACT($C570, ""\(([^)]+)\)"") &amp; "" }""
    )
  )
)
"),"#REF!")</f>
        <v>#REF!</v>
      </c>
      <c r="E570" s="664"/>
      <c r="F570" s="664"/>
      <c r="G570" s="664"/>
      <c r="H570" s="664"/>
      <c r="I570" s="664"/>
      <c r="J570" s="664"/>
      <c r="K570" s="664"/>
      <c r="L570" s="664"/>
      <c r="M570" s="664"/>
      <c r="N570" s="664"/>
      <c r="O570" s="664"/>
      <c r="P570" s="664"/>
      <c r="Q570" s="664"/>
      <c r="R570" s="664"/>
      <c r="S570" s="664"/>
      <c r="T570" s="664"/>
      <c r="U570" s="664"/>
      <c r="V570" s="664"/>
      <c r="W570" s="664"/>
      <c r="X570" s="664"/>
    </row>
    <row r="571">
      <c r="A571" s="661">
        <f t="shared" si="1"/>
        <v>571</v>
      </c>
      <c r="B571" s="662" t="str">
        <f t="shared" si="2"/>
        <v>#REF!</v>
      </c>
      <c r="C571" s="662" t="str">
        <f>IFERROR(__xludf.DUMMYFUNCTION("IF(
  REGEXMATCH(B571, ""^First\(λ - λ\) ∪ Follow\(""),
  ""Follow("" &amp; REGEXEXTRACT(B571, ""Follow\(([^)]+)\)"") &amp; "") ="",
  IF(
    OR(
      REGEXMATCH(B571, ""^First\([^&lt;]""),
      REGEXMATCH(B571, ""^First\(&lt;[^A-Za-z_]"")
    ),
    """",
    IF(
 "&amp;"     CFG!D571=""λ"",
      ""Follow("" &amp; CFG!B571 &amp; "") ="",
      ""First("" &amp; CFG!D571 &amp; "") =""
    )
  )
)
"),"#REF!")</f>
        <v>#REF!</v>
      </c>
      <c r="D571" s="663" t="str">
        <f>IFERROR(__xludf.DUMMYFUNCTION("IF(
  $C571="""",
  ""{ "" &amp;
    IF(
      REGEXMATCH(B571, ""^First\(\)""),
      "")"",
      REGEXEXTRACT(B571, ""^First\(([^ )]+)"")
    )
  &amp; "" }"",
  IF(
    REGEXMATCH($C571, ""^First\(&lt;""),
    VLOOKUP(REGEXEXTRACT($C571, ""\(([^)]+)\)""), 'First"&amp;" Set MacroA'!B:D, 3, FALSE),
    IF(
      REGEXMATCH($C571, ""^Follow\(&lt;""),
      VLOOKUP(REGEXEXTRACT($C571, ""\(([^)]+)\)""), 'Follow Set Macros'!B:D, 3, FALSE),
      ""{ "" &amp; REGEXEXTRACT($C571, ""\(([^)]+)\)"") &amp; "" }""
    )
  )
)
"),"#REF!")</f>
        <v>#REF!</v>
      </c>
      <c r="E571" s="664"/>
      <c r="F571" s="664"/>
      <c r="G571" s="664"/>
      <c r="H571" s="664"/>
      <c r="I571" s="664"/>
      <c r="J571" s="664"/>
      <c r="K571" s="664"/>
      <c r="L571" s="664"/>
      <c r="M571" s="664"/>
      <c r="N571" s="664"/>
      <c r="O571" s="664"/>
      <c r="P571" s="664"/>
      <c r="Q571" s="664"/>
      <c r="R571" s="664"/>
      <c r="S571" s="664"/>
      <c r="T571" s="664"/>
      <c r="U571" s="664"/>
      <c r="V571" s="664"/>
      <c r="W571" s="664"/>
      <c r="X571" s="664"/>
    </row>
    <row r="572">
      <c r="A572" s="661">
        <f t="shared" si="1"/>
        <v>572</v>
      </c>
      <c r="B572" s="662" t="str">
        <f t="shared" si="2"/>
        <v>#REF!</v>
      </c>
      <c r="C572" s="662" t="str">
        <f>IFERROR(__xludf.DUMMYFUNCTION("IF(
  REGEXMATCH(B572, ""^First\(λ - λ\) ∪ Follow\(""),
  ""Follow("" &amp; REGEXEXTRACT(B572, ""Follow\(([^)]+)\)"") &amp; "") ="",
  IF(
    OR(
      REGEXMATCH(B572, ""^First\([^&lt;]""),
      REGEXMATCH(B572, ""^First\(&lt;[^A-Za-z_]"")
    ),
    """",
    IF(
 "&amp;"     CFG!D572=""λ"",
      ""Follow("" &amp; CFG!B572 &amp; "") ="",
      ""First("" &amp; CFG!D572 &amp; "") =""
    )
  )
)
"),"#REF!")</f>
        <v>#REF!</v>
      </c>
      <c r="D572" s="663" t="str">
        <f>IFERROR(__xludf.DUMMYFUNCTION("IF(
  $C572="""",
  ""{ "" &amp;
    IF(
      REGEXMATCH(B572, ""^First\(\)""),
      "")"",
      REGEXEXTRACT(B572, ""^First\(([^ )]+)"")
    )
  &amp; "" }"",
  IF(
    REGEXMATCH($C572, ""^First\(&lt;""),
    VLOOKUP(REGEXEXTRACT($C572, ""\(([^)]+)\)""), 'First"&amp;" Set MacroA'!B:D, 3, FALSE),
    IF(
      REGEXMATCH($C572, ""^Follow\(&lt;""),
      VLOOKUP(REGEXEXTRACT($C572, ""\(([^)]+)\)""), 'Follow Set Macros'!B:D, 3, FALSE),
      ""{ "" &amp; REGEXEXTRACT($C572, ""\(([^)]+)\)"") &amp; "" }""
    )
  )
)
"),"#REF!")</f>
        <v>#REF!</v>
      </c>
      <c r="E572" s="664"/>
      <c r="F572" s="664"/>
      <c r="G572" s="664"/>
      <c r="H572" s="664"/>
      <c r="I572" s="664"/>
      <c r="J572" s="664"/>
      <c r="K572" s="664"/>
      <c r="L572" s="664"/>
      <c r="M572" s="664"/>
      <c r="N572" s="664"/>
      <c r="O572" s="664"/>
      <c r="P572" s="664"/>
      <c r="Q572" s="664"/>
      <c r="R572" s="664"/>
      <c r="S572" s="664"/>
      <c r="T572" s="664"/>
      <c r="U572" s="664"/>
      <c r="V572" s="664"/>
      <c r="W572" s="664"/>
      <c r="X572" s="664"/>
    </row>
    <row r="573">
      <c r="A573" s="661">
        <f t="shared" si="1"/>
        <v>573</v>
      </c>
      <c r="B573" s="662" t="str">
        <f t="shared" si="2"/>
        <v>#REF!</v>
      </c>
      <c r="C573" s="662" t="str">
        <f>IFERROR(__xludf.DUMMYFUNCTION("IF(
  REGEXMATCH(B573, ""^First\(λ - λ\) ∪ Follow\(""),
  ""Follow("" &amp; REGEXEXTRACT(B573, ""Follow\(([^)]+)\)"") &amp; "") ="",
  IF(
    OR(
      REGEXMATCH(B573, ""^First\([^&lt;]""),
      REGEXMATCH(B573, ""^First\(&lt;[^A-Za-z_]"")
    ),
    """",
    IF(
 "&amp;"     CFG!D573=""λ"",
      ""Follow("" &amp; CFG!B573 &amp; "") ="",
      ""First("" &amp; CFG!D573 &amp; "") =""
    )
  )
)
"),"#REF!")</f>
        <v>#REF!</v>
      </c>
      <c r="D573" s="663" t="str">
        <f>IFERROR(__xludf.DUMMYFUNCTION("IF(
  $C573="""",
  ""{ "" &amp;
    IF(
      REGEXMATCH(B573, ""^First\(\)""),
      "")"",
      REGEXEXTRACT(B573, ""^First\(([^ )]+)"")
    )
  &amp; "" }"",
  IF(
    REGEXMATCH($C573, ""^First\(&lt;""),
    VLOOKUP(REGEXEXTRACT($C573, ""\(([^)]+)\)""), 'First"&amp;" Set MacroA'!B:D, 3, FALSE),
    IF(
      REGEXMATCH($C573, ""^Follow\(&lt;""),
      VLOOKUP(REGEXEXTRACT($C573, ""\(([^)]+)\)""), 'Follow Set Macros'!B:D, 3, FALSE),
      ""{ "" &amp; REGEXEXTRACT($C573, ""\(([^)]+)\)"") &amp; "" }""
    )
  )
)
"),"#REF!")</f>
        <v>#REF!</v>
      </c>
      <c r="E573" s="664"/>
      <c r="F573" s="664"/>
      <c r="G573" s="664"/>
      <c r="H573" s="664"/>
      <c r="I573" s="664"/>
      <c r="J573" s="664"/>
      <c r="K573" s="664"/>
      <c r="L573" s="664"/>
      <c r="M573" s="664"/>
      <c r="N573" s="664"/>
      <c r="O573" s="664"/>
      <c r="P573" s="664"/>
      <c r="Q573" s="664"/>
      <c r="R573" s="664"/>
      <c r="S573" s="664"/>
      <c r="T573" s="664"/>
      <c r="U573" s="664"/>
      <c r="V573" s="664"/>
      <c r="W573" s="664"/>
      <c r="X573" s="664"/>
    </row>
    <row r="574">
      <c r="A574" s="661">
        <f t="shared" si="1"/>
        <v>574</v>
      </c>
      <c r="B574" s="662" t="str">
        <f t="shared" si="2"/>
        <v>#REF!</v>
      </c>
      <c r="C574" s="662" t="str">
        <f>IFERROR(__xludf.DUMMYFUNCTION("IF(
  REGEXMATCH(B574, ""^First\(λ - λ\) ∪ Follow\(""),
  ""Follow("" &amp; REGEXEXTRACT(B574, ""Follow\(([^)]+)\)"") &amp; "") ="",
  IF(
    OR(
      REGEXMATCH(B574, ""^First\([^&lt;]""),
      REGEXMATCH(B574, ""^First\(&lt;[^A-Za-z_]"")
    ),
    """",
    IF(
 "&amp;"     CFG!D574=""λ"",
      ""Follow("" &amp; CFG!B574 &amp; "") ="",
      ""First("" &amp; CFG!D574 &amp; "") =""
    )
  )
)
"),"#REF!")</f>
        <v>#REF!</v>
      </c>
      <c r="D574" s="663" t="str">
        <f>IFERROR(__xludf.DUMMYFUNCTION("IF(
  $C574="""",
  ""{ "" &amp;
    IF(
      REGEXMATCH(B574, ""^First\(\)""),
      "")"",
      REGEXEXTRACT(B574, ""^First\(([^ )]+)"")
    )
  &amp; "" }"",
  IF(
    REGEXMATCH($C574, ""^First\(&lt;""),
    VLOOKUP(REGEXEXTRACT($C574, ""\(([^)]+)\)""), 'First"&amp;" Set MacroA'!B:D, 3, FALSE),
    IF(
      REGEXMATCH($C574, ""^Follow\(&lt;""),
      VLOOKUP(REGEXEXTRACT($C574, ""\(([^)]+)\)""), 'Follow Set Macros'!B:D, 3, FALSE),
      ""{ "" &amp; REGEXEXTRACT($C574, ""\(([^)]+)\)"") &amp; "" }""
    )
  )
)
"),"#REF!")</f>
        <v>#REF!</v>
      </c>
      <c r="E574" s="664"/>
      <c r="F574" s="664"/>
      <c r="G574" s="664"/>
      <c r="H574" s="664"/>
      <c r="I574" s="664"/>
      <c r="J574" s="664"/>
      <c r="K574" s="664"/>
      <c r="L574" s="664"/>
      <c r="M574" s="664"/>
      <c r="N574" s="664"/>
      <c r="O574" s="664"/>
      <c r="P574" s="664"/>
      <c r="Q574" s="664"/>
      <c r="R574" s="664"/>
      <c r="S574" s="664"/>
      <c r="T574" s="664"/>
      <c r="U574" s="664"/>
      <c r="V574" s="664"/>
      <c r="W574" s="664"/>
      <c r="X574" s="664"/>
    </row>
    <row r="575">
      <c r="A575" s="661">
        <f t="shared" si="1"/>
        <v>575</v>
      </c>
      <c r="B575" s="662" t="str">
        <f t="shared" si="2"/>
        <v>#REF!</v>
      </c>
      <c r="C575" s="662" t="str">
        <f>IFERROR(__xludf.DUMMYFUNCTION("IF(
  REGEXMATCH(B575, ""^First\(λ - λ\) ∪ Follow\(""),
  ""Follow("" &amp; REGEXEXTRACT(B575, ""Follow\(([^)]+)\)"") &amp; "") ="",
  IF(
    OR(
      REGEXMATCH(B575, ""^First\([^&lt;]""),
      REGEXMATCH(B575, ""^First\(&lt;[^A-Za-z_]"")
    ),
    """",
    IF(
 "&amp;"     CFG!D575=""λ"",
      ""Follow("" &amp; CFG!B575 &amp; "") ="",
      ""First("" &amp; CFG!D575 &amp; "") =""
    )
  )
)
"),"#REF!")</f>
        <v>#REF!</v>
      </c>
      <c r="D575" s="663" t="str">
        <f>IFERROR(__xludf.DUMMYFUNCTION("IF(
  $C575="""",
  ""{ "" &amp;
    IF(
      REGEXMATCH(B575, ""^First\(\)""),
      "")"",
      REGEXEXTRACT(B575, ""^First\(([^ )]+)"")
    )
  &amp; "" }"",
  IF(
    REGEXMATCH($C575, ""^First\(&lt;""),
    VLOOKUP(REGEXEXTRACT($C575, ""\(([^)]+)\)""), 'First"&amp;" Set MacroA'!B:D, 3, FALSE),
    IF(
      REGEXMATCH($C575, ""^Follow\(&lt;""),
      VLOOKUP(REGEXEXTRACT($C575, ""\(([^)]+)\)""), 'Follow Set Macros'!B:D, 3, FALSE),
      ""{ "" &amp; REGEXEXTRACT($C575, ""\(([^)]+)\)"") &amp; "" }""
    )
  )
)
"),"#REF!")</f>
        <v>#REF!</v>
      </c>
      <c r="E575" s="664"/>
      <c r="F575" s="664"/>
      <c r="G575" s="664"/>
      <c r="H575" s="664"/>
      <c r="I575" s="664"/>
      <c r="J575" s="664"/>
      <c r="K575" s="664"/>
      <c r="L575" s="664"/>
      <c r="M575" s="664"/>
      <c r="N575" s="664"/>
      <c r="O575" s="664"/>
      <c r="P575" s="664"/>
      <c r="Q575" s="664"/>
      <c r="R575" s="664"/>
      <c r="S575" s="664"/>
      <c r="T575" s="664"/>
      <c r="U575" s="664"/>
      <c r="V575" s="664"/>
      <c r="W575" s="664"/>
      <c r="X575" s="664"/>
    </row>
    <row r="576">
      <c r="A576" s="661">
        <f t="shared" si="1"/>
        <v>576</v>
      </c>
      <c r="B576" s="662" t="str">
        <f t="shared" si="2"/>
        <v>#REF!</v>
      </c>
      <c r="C576" s="662" t="str">
        <f>IFERROR(__xludf.DUMMYFUNCTION("IF(
  REGEXMATCH(B576, ""^First\(λ - λ\) ∪ Follow\(""),
  ""Follow("" &amp; REGEXEXTRACT(B576, ""Follow\(([^)]+)\)"") &amp; "") ="",
  IF(
    OR(
      REGEXMATCH(B576, ""^First\([^&lt;]""),
      REGEXMATCH(B576, ""^First\(&lt;[^A-Za-z_]"")
    ),
    """",
    IF(
 "&amp;"     CFG!D576=""λ"",
      ""Follow("" &amp; CFG!B576 &amp; "") ="",
      ""First("" &amp; CFG!D576 &amp; "") =""
    )
  )
)
"),"#REF!")</f>
        <v>#REF!</v>
      </c>
      <c r="D576" s="663" t="str">
        <f>IFERROR(__xludf.DUMMYFUNCTION("IF(
  $C576="""",
  ""{ "" &amp;
    IF(
      REGEXMATCH(B576, ""^First\(\)""),
      "")"",
      REGEXEXTRACT(B576, ""^First\(([^ )]+)"")
    )
  &amp; "" }"",
  IF(
    REGEXMATCH($C576, ""^First\(&lt;""),
    VLOOKUP(REGEXEXTRACT($C576, ""\(([^)]+)\)""), 'First"&amp;" Set MacroA'!B:D, 3, FALSE),
    IF(
      REGEXMATCH($C576, ""^Follow\(&lt;""),
      VLOOKUP(REGEXEXTRACT($C576, ""\(([^)]+)\)""), 'Follow Set Macros'!B:D, 3, FALSE),
      ""{ "" &amp; REGEXEXTRACT($C576, ""\(([^)]+)\)"") &amp; "" }""
    )
  )
)
"),"#REF!")</f>
        <v>#REF!</v>
      </c>
      <c r="E576" s="664"/>
      <c r="F576" s="664"/>
      <c r="G576" s="664"/>
      <c r="H576" s="664"/>
      <c r="I576" s="664"/>
      <c r="J576" s="664"/>
      <c r="K576" s="664"/>
      <c r="L576" s="664"/>
      <c r="M576" s="664"/>
      <c r="N576" s="664"/>
      <c r="O576" s="664"/>
      <c r="P576" s="664"/>
      <c r="Q576" s="664"/>
      <c r="R576" s="664"/>
      <c r="S576" s="664"/>
      <c r="T576" s="664"/>
      <c r="U576" s="664"/>
      <c r="V576" s="664"/>
      <c r="W576" s="664"/>
      <c r="X576" s="664"/>
    </row>
    <row r="577">
      <c r="A577" s="661">
        <f t="shared" si="1"/>
        <v>577</v>
      </c>
      <c r="B577" s="662" t="str">
        <f t="shared" si="2"/>
        <v>#REF!</v>
      </c>
      <c r="C577" s="662" t="str">
        <f>IFERROR(__xludf.DUMMYFUNCTION("IF(
  REGEXMATCH(B577, ""^First\(λ - λ\) ∪ Follow\(""),
  ""Follow("" &amp; REGEXEXTRACT(B577, ""Follow\(([^)]+)\)"") &amp; "") ="",
  IF(
    OR(
      REGEXMATCH(B577, ""^First\([^&lt;]""),
      REGEXMATCH(B577, ""^First\(&lt;[^A-Za-z_]"")
    ),
    """",
    IF(
 "&amp;"     CFG!D577=""λ"",
      ""Follow("" &amp; CFG!B577 &amp; "") ="",
      ""First("" &amp; CFG!D577 &amp; "") =""
    )
  )
)
"),"#REF!")</f>
        <v>#REF!</v>
      </c>
      <c r="D577" s="663" t="str">
        <f>IFERROR(__xludf.DUMMYFUNCTION("IF(
  $C577="""",
  ""{ "" &amp;
    IF(
      REGEXMATCH(B577, ""^First\(\)""),
      "")"",
      REGEXEXTRACT(B577, ""^First\(([^ )]+)"")
    )
  &amp; "" }"",
  IF(
    REGEXMATCH($C577, ""^First\(&lt;""),
    VLOOKUP(REGEXEXTRACT($C577, ""\(([^)]+)\)""), 'First"&amp;" Set MacroA'!B:D, 3, FALSE),
    IF(
      REGEXMATCH($C577, ""^Follow\(&lt;""),
      VLOOKUP(REGEXEXTRACT($C577, ""\(([^)]+)\)""), 'Follow Set Macros'!B:D, 3, FALSE),
      ""{ "" &amp; REGEXEXTRACT($C577, ""\(([^)]+)\)"") &amp; "" }""
    )
  )
)
"),"#REF!")</f>
        <v>#REF!</v>
      </c>
      <c r="E577" s="664"/>
      <c r="F577" s="664"/>
      <c r="G577" s="664"/>
      <c r="H577" s="664"/>
      <c r="I577" s="664"/>
      <c r="J577" s="664"/>
      <c r="K577" s="664"/>
      <c r="L577" s="664"/>
      <c r="M577" s="664"/>
      <c r="N577" s="664"/>
      <c r="O577" s="664"/>
      <c r="P577" s="664"/>
      <c r="Q577" s="664"/>
      <c r="R577" s="664"/>
      <c r="S577" s="664"/>
      <c r="T577" s="664"/>
      <c r="U577" s="664"/>
      <c r="V577" s="664"/>
      <c r="W577" s="664"/>
      <c r="X577" s="664"/>
    </row>
    <row r="578">
      <c r="A578" s="661">
        <f t="shared" si="1"/>
        <v>578</v>
      </c>
      <c r="B578" s="662" t="str">
        <f t="shared" si="2"/>
        <v>#REF!</v>
      </c>
      <c r="C578" s="662" t="str">
        <f>IFERROR(__xludf.DUMMYFUNCTION("IF(
  REGEXMATCH(B578, ""^First\(λ - λ\) ∪ Follow\(""),
  ""Follow("" &amp; REGEXEXTRACT(B578, ""Follow\(([^)]+)\)"") &amp; "") ="",
  IF(
    OR(
      REGEXMATCH(B578, ""^First\([^&lt;]""),
      REGEXMATCH(B578, ""^First\(&lt;[^A-Za-z_]"")
    ),
    """",
    IF(
 "&amp;"     CFG!D578=""λ"",
      ""Follow("" &amp; CFG!B578 &amp; "") ="",
      ""First("" &amp; CFG!D578 &amp; "") =""
    )
  )
)
"),"#REF!")</f>
        <v>#REF!</v>
      </c>
      <c r="D578" s="663" t="str">
        <f>IFERROR(__xludf.DUMMYFUNCTION("IF(
  $C578="""",
  ""{ "" &amp;
    IF(
      REGEXMATCH(B578, ""^First\(\)""),
      "")"",
      REGEXEXTRACT(B578, ""^First\(([^ )]+)"")
    )
  &amp; "" }"",
  IF(
    REGEXMATCH($C578, ""^First\(&lt;""),
    VLOOKUP(REGEXEXTRACT($C578, ""\(([^)]+)\)""), 'First"&amp;" Set MacroA'!B:D, 3, FALSE),
    IF(
      REGEXMATCH($C578, ""^Follow\(&lt;""),
      VLOOKUP(REGEXEXTRACT($C578, ""\(([^)]+)\)""), 'Follow Set Macros'!B:D, 3, FALSE),
      ""{ "" &amp; REGEXEXTRACT($C578, ""\(([^)]+)\)"") &amp; "" }""
    )
  )
)
"),"#REF!")</f>
        <v>#REF!</v>
      </c>
      <c r="E578" s="664"/>
      <c r="F578" s="664"/>
      <c r="G578" s="664"/>
      <c r="H578" s="664"/>
      <c r="I578" s="664"/>
      <c r="J578" s="664"/>
      <c r="K578" s="664"/>
      <c r="L578" s="664"/>
      <c r="M578" s="664"/>
      <c r="N578" s="664"/>
      <c r="O578" s="664"/>
      <c r="P578" s="664"/>
      <c r="Q578" s="664"/>
      <c r="R578" s="664"/>
      <c r="S578" s="664"/>
      <c r="T578" s="664"/>
      <c r="U578" s="664"/>
      <c r="V578" s="664"/>
      <c r="W578" s="664"/>
      <c r="X578" s="664"/>
    </row>
    <row r="579">
      <c r="A579" s="661">
        <f t="shared" si="1"/>
        <v>579</v>
      </c>
      <c r="B579" s="662" t="str">
        <f t="shared" si="2"/>
        <v>#REF!</v>
      </c>
      <c r="C579" s="662" t="str">
        <f>IFERROR(__xludf.DUMMYFUNCTION("IF(
  REGEXMATCH(B579, ""^First\(λ - λ\) ∪ Follow\(""),
  ""Follow("" &amp; REGEXEXTRACT(B579, ""Follow\(([^)]+)\)"") &amp; "") ="",
  IF(
    OR(
      REGEXMATCH(B579, ""^First\([^&lt;]""),
      REGEXMATCH(B579, ""^First\(&lt;[^A-Za-z_]"")
    ),
    """",
    IF(
 "&amp;"     CFG!D579=""λ"",
      ""Follow("" &amp; CFG!B579 &amp; "") ="",
      ""First("" &amp; CFG!D579 &amp; "") =""
    )
  )
)
"),"#REF!")</f>
        <v>#REF!</v>
      </c>
      <c r="D579" s="663" t="str">
        <f>IFERROR(__xludf.DUMMYFUNCTION("IF(
  $C579="""",
  ""{ "" &amp;
    IF(
      REGEXMATCH(B579, ""^First\(\)""),
      "")"",
      REGEXEXTRACT(B579, ""^First\(([^ )]+)"")
    )
  &amp; "" }"",
  IF(
    REGEXMATCH($C579, ""^First\(&lt;""),
    VLOOKUP(REGEXEXTRACT($C579, ""\(([^)]+)\)""), 'First"&amp;" Set MacroA'!B:D, 3, FALSE),
    IF(
      REGEXMATCH($C579, ""^Follow\(&lt;""),
      VLOOKUP(REGEXEXTRACT($C579, ""\(([^)]+)\)""), 'Follow Set Macros'!B:D, 3, FALSE),
      ""{ "" &amp; REGEXEXTRACT($C579, ""\(([^)]+)\)"") &amp; "" }""
    )
  )
)
"),"#REF!")</f>
        <v>#REF!</v>
      </c>
      <c r="E579" s="664"/>
      <c r="F579" s="664"/>
      <c r="G579" s="664"/>
      <c r="H579" s="664"/>
      <c r="I579" s="664"/>
      <c r="J579" s="664"/>
      <c r="K579" s="664"/>
      <c r="L579" s="664"/>
      <c r="M579" s="664"/>
      <c r="N579" s="664"/>
      <c r="O579" s="664"/>
      <c r="P579" s="664"/>
      <c r="Q579" s="664"/>
      <c r="R579" s="664"/>
      <c r="S579" s="664"/>
      <c r="T579" s="664"/>
      <c r="U579" s="664"/>
      <c r="V579" s="664"/>
      <c r="W579" s="664"/>
      <c r="X579" s="664"/>
    </row>
    <row r="580">
      <c r="A580" s="661">
        <f t="shared" si="1"/>
        <v>580</v>
      </c>
      <c r="B580" s="662" t="str">
        <f t="shared" si="2"/>
        <v>#REF!</v>
      </c>
      <c r="C580" s="662" t="str">
        <f>IFERROR(__xludf.DUMMYFUNCTION("IF(
  REGEXMATCH(B580, ""^First\(λ - λ\) ∪ Follow\(""),
  ""Follow("" &amp; REGEXEXTRACT(B580, ""Follow\(([^)]+)\)"") &amp; "") ="",
  IF(
    OR(
      REGEXMATCH(B580, ""^First\([^&lt;]""),
      REGEXMATCH(B580, ""^First\(&lt;[^A-Za-z_]"")
    ),
    """",
    IF(
 "&amp;"     CFG!D580=""λ"",
      ""Follow("" &amp; CFG!B580 &amp; "") ="",
      ""First("" &amp; CFG!D580 &amp; "") =""
    )
  )
)
"),"#REF!")</f>
        <v>#REF!</v>
      </c>
      <c r="D580" s="663" t="str">
        <f>IFERROR(__xludf.DUMMYFUNCTION("IF(
  $C580="""",
  ""{ "" &amp;
    IF(
      REGEXMATCH(B580, ""^First\(\)""),
      "")"",
      REGEXEXTRACT(B580, ""^First\(([^ )]+)"")
    )
  &amp; "" }"",
  IF(
    REGEXMATCH($C580, ""^First\(&lt;""),
    VLOOKUP(REGEXEXTRACT($C580, ""\(([^)]+)\)""), 'First"&amp;" Set MacroA'!B:D, 3, FALSE),
    IF(
      REGEXMATCH($C580, ""^Follow\(&lt;""),
      VLOOKUP(REGEXEXTRACT($C580, ""\(([^)]+)\)""), 'Follow Set Macros'!B:D, 3, FALSE),
      ""{ "" &amp; REGEXEXTRACT($C580, ""\(([^)]+)\)"") &amp; "" }""
    )
  )
)
"),"#REF!")</f>
        <v>#REF!</v>
      </c>
      <c r="E580" s="664"/>
      <c r="F580" s="664"/>
      <c r="G580" s="664"/>
      <c r="H580" s="664"/>
      <c r="I580" s="664"/>
      <c r="J580" s="664"/>
      <c r="K580" s="664"/>
      <c r="L580" s="664"/>
      <c r="M580" s="664"/>
      <c r="N580" s="664"/>
      <c r="O580" s="664"/>
      <c r="P580" s="664"/>
      <c r="Q580" s="664"/>
      <c r="R580" s="664"/>
      <c r="S580" s="664"/>
      <c r="T580" s="664"/>
      <c r="U580" s="664"/>
      <c r="V580" s="664"/>
      <c r="W580" s="664"/>
      <c r="X580" s="664"/>
    </row>
    <row r="581">
      <c r="A581" s="661">
        <f t="shared" si="1"/>
        <v>581</v>
      </c>
      <c r="B581" s="662" t="str">
        <f t="shared" si="2"/>
        <v>#REF!</v>
      </c>
      <c r="C581" s="662" t="str">
        <f>IFERROR(__xludf.DUMMYFUNCTION("IF(
  REGEXMATCH(B581, ""^First\(λ - λ\) ∪ Follow\(""),
  ""Follow("" &amp; REGEXEXTRACT(B581, ""Follow\(([^)]+)\)"") &amp; "") ="",
  IF(
    OR(
      REGEXMATCH(B581, ""^First\([^&lt;]""),
      REGEXMATCH(B581, ""^First\(&lt;[^A-Za-z_]"")
    ),
    """",
    IF(
 "&amp;"     CFG!D581=""λ"",
      ""Follow("" &amp; CFG!B581 &amp; "") ="",
      ""First("" &amp; CFG!D581 &amp; "") =""
    )
  )
)
"),"#REF!")</f>
        <v>#REF!</v>
      </c>
      <c r="D581" s="663" t="str">
        <f>IFERROR(__xludf.DUMMYFUNCTION("IF(
  $C581="""",
  ""{ "" &amp;
    IF(
      REGEXMATCH(B581, ""^First\(\)""),
      "")"",
      REGEXEXTRACT(B581, ""^First\(([^ )]+)"")
    )
  &amp; "" }"",
  IF(
    REGEXMATCH($C581, ""^First\(&lt;""),
    VLOOKUP(REGEXEXTRACT($C581, ""\(([^)]+)\)""), 'First"&amp;" Set MacroA'!B:D, 3, FALSE),
    IF(
      REGEXMATCH($C581, ""^Follow\(&lt;""),
      VLOOKUP(REGEXEXTRACT($C581, ""\(([^)]+)\)""), 'Follow Set Macros'!B:D, 3, FALSE),
      ""{ "" &amp; REGEXEXTRACT($C581, ""\(([^)]+)\)"") &amp; "" }""
    )
  )
)
"),"#REF!")</f>
        <v>#REF!</v>
      </c>
      <c r="E581" s="664"/>
      <c r="F581" s="664"/>
      <c r="G581" s="664"/>
      <c r="H581" s="664"/>
      <c r="I581" s="664"/>
      <c r="J581" s="664"/>
      <c r="K581" s="664"/>
      <c r="L581" s="664"/>
      <c r="M581" s="664"/>
      <c r="N581" s="664"/>
      <c r="O581" s="664"/>
      <c r="P581" s="664"/>
      <c r="Q581" s="664"/>
      <c r="R581" s="664"/>
      <c r="S581" s="664"/>
      <c r="T581" s="664"/>
      <c r="U581" s="664"/>
      <c r="V581" s="664"/>
      <c r="W581" s="664"/>
      <c r="X581" s="664"/>
    </row>
    <row r="582">
      <c r="A582" s="661">
        <f t="shared" si="1"/>
        <v>582</v>
      </c>
      <c r="B582" s="662" t="str">
        <f t="shared" si="2"/>
        <v>#REF!</v>
      </c>
      <c r="C582" s="662" t="str">
        <f>IFERROR(__xludf.DUMMYFUNCTION("IF(
  REGEXMATCH(B582, ""^First\(λ - λ\) ∪ Follow\(""),
  ""Follow("" &amp; REGEXEXTRACT(B582, ""Follow\(([^)]+)\)"") &amp; "") ="",
  IF(
    OR(
      REGEXMATCH(B582, ""^First\([^&lt;]""),
      REGEXMATCH(B582, ""^First\(&lt;[^A-Za-z_]"")
    ),
    """",
    IF(
 "&amp;"     CFG!D582=""λ"",
      ""Follow("" &amp; CFG!B582 &amp; "") ="",
      ""First("" &amp; CFG!D582 &amp; "") =""
    )
  )
)
"),"#REF!")</f>
        <v>#REF!</v>
      </c>
      <c r="D582" s="663" t="str">
        <f>IFERROR(__xludf.DUMMYFUNCTION("IF(
  $C582="""",
  ""{ "" &amp;
    IF(
      REGEXMATCH(B582, ""^First\(\)""),
      "")"",
      REGEXEXTRACT(B582, ""^First\(([^ )]+)"")
    )
  &amp; "" }"",
  IF(
    REGEXMATCH($C582, ""^First\(&lt;""),
    VLOOKUP(REGEXEXTRACT($C582, ""\(([^)]+)\)""), 'First"&amp;" Set MacroA'!B:D, 3, FALSE),
    IF(
      REGEXMATCH($C582, ""^Follow\(&lt;""),
      VLOOKUP(REGEXEXTRACT($C582, ""\(([^)]+)\)""), 'Follow Set Macros'!B:D, 3, FALSE),
      ""{ "" &amp; REGEXEXTRACT($C582, ""\(([^)]+)\)"") &amp; "" }""
    )
  )
)
"),"#REF!")</f>
        <v>#REF!</v>
      </c>
      <c r="E582" s="664"/>
      <c r="F582" s="664"/>
      <c r="G582" s="664"/>
      <c r="H582" s="664"/>
      <c r="I582" s="664"/>
      <c r="J582" s="664"/>
      <c r="K582" s="664"/>
      <c r="L582" s="664"/>
      <c r="M582" s="664"/>
      <c r="N582" s="664"/>
      <c r="O582" s="664"/>
      <c r="P582" s="664"/>
      <c r="Q582" s="664"/>
      <c r="R582" s="664"/>
      <c r="S582" s="664"/>
      <c r="T582" s="664"/>
      <c r="U582" s="664"/>
      <c r="V582" s="664"/>
      <c r="W582" s="664"/>
      <c r="X582" s="664"/>
    </row>
    <row r="583">
      <c r="A583" s="661">
        <f t="shared" si="1"/>
        <v>583</v>
      </c>
      <c r="B583" s="662" t="str">
        <f t="shared" si="2"/>
        <v>#REF!</v>
      </c>
      <c r="C583" s="662" t="str">
        <f>IFERROR(__xludf.DUMMYFUNCTION("IF(
  REGEXMATCH(B583, ""^First\(λ - λ\) ∪ Follow\(""),
  ""Follow("" &amp; REGEXEXTRACT(B583, ""Follow\(([^)]+)\)"") &amp; "") ="",
  IF(
    OR(
      REGEXMATCH(B583, ""^First\([^&lt;]""),
      REGEXMATCH(B583, ""^First\(&lt;[^A-Za-z_]"")
    ),
    """",
    IF(
 "&amp;"     CFG!D583=""λ"",
      ""Follow("" &amp; CFG!B583 &amp; "") ="",
      ""First("" &amp; CFG!D583 &amp; "") =""
    )
  )
)
"),"#REF!")</f>
        <v>#REF!</v>
      </c>
      <c r="D583" s="663" t="str">
        <f>IFERROR(__xludf.DUMMYFUNCTION("IF(
  $C583="""",
  ""{ "" &amp;
    IF(
      REGEXMATCH(B583, ""^First\(\)""),
      "")"",
      REGEXEXTRACT(B583, ""^First\(([^ )]+)"")
    )
  &amp; "" }"",
  IF(
    REGEXMATCH($C583, ""^First\(&lt;""),
    VLOOKUP(REGEXEXTRACT($C583, ""\(([^)]+)\)""), 'First"&amp;" Set MacroA'!B:D, 3, FALSE),
    IF(
      REGEXMATCH($C583, ""^Follow\(&lt;""),
      VLOOKUP(REGEXEXTRACT($C583, ""\(([^)]+)\)""), 'Follow Set Macros'!B:D, 3, FALSE),
      ""{ "" &amp; REGEXEXTRACT($C583, ""\(([^)]+)\)"") &amp; "" }""
    )
  )
)
"),"#REF!")</f>
        <v>#REF!</v>
      </c>
      <c r="E583" s="664"/>
      <c r="F583" s="664"/>
      <c r="G583" s="664"/>
      <c r="H583" s="664"/>
      <c r="I583" s="664"/>
      <c r="J583" s="664"/>
      <c r="K583" s="664"/>
      <c r="L583" s="664"/>
      <c r="M583" s="664"/>
      <c r="N583" s="664"/>
      <c r="O583" s="664"/>
      <c r="P583" s="664"/>
      <c r="Q583" s="664"/>
      <c r="R583" s="664"/>
      <c r="S583" s="664"/>
      <c r="T583" s="664"/>
      <c r="U583" s="664"/>
      <c r="V583" s="664"/>
      <c r="W583" s="664"/>
      <c r="X583" s="664"/>
    </row>
    <row r="584">
      <c r="A584" s="661"/>
      <c r="B584" s="662"/>
      <c r="C584" s="662"/>
      <c r="D584" s="663"/>
      <c r="E584" s="664"/>
      <c r="F584" s="664"/>
      <c r="G584" s="664"/>
      <c r="H584" s="664"/>
      <c r="I584" s="664"/>
      <c r="J584" s="664"/>
      <c r="K584" s="664"/>
      <c r="L584" s="664"/>
      <c r="M584" s="664"/>
      <c r="N584" s="664"/>
      <c r="O584" s="664"/>
      <c r="P584" s="664"/>
      <c r="Q584" s="664"/>
      <c r="R584" s="664"/>
      <c r="S584" s="664"/>
      <c r="T584" s="664"/>
      <c r="U584" s="664"/>
      <c r="V584" s="664"/>
      <c r="W584" s="664"/>
      <c r="X584" s="664"/>
    </row>
    <row r="585">
      <c r="A585" s="661"/>
      <c r="B585" s="662"/>
      <c r="C585" s="662"/>
      <c r="D585" s="663"/>
      <c r="E585" s="664"/>
      <c r="F585" s="664"/>
      <c r="G585" s="664"/>
      <c r="H585" s="664"/>
      <c r="I585" s="664"/>
      <c r="J585" s="664"/>
      <c r="K585" s="664"/>
      <c r="L585" s="664"/>
      <c r="M585" s="664"/>
      <c r="N585" s="664"/>
      <c r="O585" s="664"/>
      <c r="P585" s="664"/>
      <c r="Q585" s="664"/>
      <c r="R585" s="664"/>
      <c r="S585" s="664"/>
      <c r="T585" s="664"/>
      <c r="U585" s="664"/>
      <c r="V585" s="664"/>
      <c r="W585" s="664"/>
      <c r="X585" s="66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0.25"/>
    <col customWidth="1" min="3" max="3" width="3.0"/>
    <col customWidth="1" min="4" max="4" width="19.13"/>
    <col customWidth="1" min="5" max="5" width="18.5"/>
    <col customWidth="1" min="6" max="8" width="17.75"/>
    <col customWidth="1" min="9" max="9" width="16.75"/>
    <col customWidth="1" min="10" max="10" width="17.75"/>
  </cols>
  <sheetData>
    <row r="1">
      <c r="A1" s="665">
        <f t="shared" ref="A1:A33" si="1">ROW()</f>
        <v>1</v>
      </c>
      <c r="B1" s="3" t="s">
        <v>839</v>
      </c>
      <c r="C1" s="3"/>
      <c r="D1" s="7" t="s">
        <v>17</v>
      </c>
      <c r="E1" s="7" t="s">
        <v>1012</v>
      </c>
      <c r="F1" s="7" t="s">
        <v>1013</v>
      </c>
      <c r="G1" s="7" t="s">
        <v>19</v>
      </c>
      <c r="K1" s="537"/>
    </row>
    <row r="2">
      <c r="A2" s="665">
        <f t="shared" si="1"/>
        <v>2</v>
      </c>
      <c r="B2" s="523" t="s">
        <v>1012</v>
      </c>
      <c r="C2" s="3" t="str">
        <f t="shared" ref="C2:C33" si="2">"=&gt;"</f>
        <v>=&gt;</v>
      </c>
      <c r="D2" s="652" t="s">
        <v>1128</v>
      </c>
      <c r="E2" s="523" t="s">
        <v>1012</v>
      </c>
      <c r="G2" s="537"/>
      <c r="H2" s="537"/>
      <c r="I2" s="537"/>
      <c r="J2" s="537"/>
      <c r="K2" s="537"/>
    </row>
    <row r="3">
      <c r="A3" s="665">
        <f t="shared" si="1"/>
        <v>3</v>
      </c>
      <c r="B3" s="523" t="s">
        <v>1012</v>
      </c>
      <c r="C3" s="3" t="str">
        <f t="shared" si="2"/>
        <v>=&gt;</v>
      </c>
      <c r="D3" s="3" t="s">
        <v>14</v>
      </c>
      <c r="E3" s="530" t="s">
        <v>1014</v>
      </c>
      <c r="G3" s="537"/>
      <c r="H3" s="537"/>
      <c r="I3" s="537"/>
      <c r="J3" s="537"/>
      <c r="K3" s="537"/>
    </row>
    <row r="4">
      <c r="A4" s="665">
        <f t="shared" si="1"/>
        <v>4</v>
      </c>
      <c r="B4" s="523" t="s">
        <v>1012</v>
      </c>
      <c r="C4" s="3" t="str">
        <f t="shared" si="2"/>
        <v>=&gt;</v>
      </c>
      <c r="D4" s="3" t="s">
        <v>8</v>
      </c>
      <c r="E4" s="537"/>
      <c r="G4" s="537"/>
      <c r="H4" s="537"/>
      <c r="I4" s="537"/>
      <c r="J4" s="537"/>
      <c r="K4" s="537"/>
    </row>
    <row r="5">
      <c r="A5" s="665">
        <f t="shared" si="1"/>
        <v>5</v>
      </c>
      <c r="B5" s="530" t="s">
        <v>1014</v>
      </c>
      <c r="C5" s="3" t="str">
        <f t="shared" si="2"/>
        <v>=&gt;</v>
      </c>
      <c r="D5" s="3" t="s">
        <v>850</v>
      </c>
      <c r="E5" s="513" t="s">
        <v>1004</v>
      </c>
      <c r="F5" s="3" t="s">
        <v>6</v>
      </c>
      <c r="G5" s="523" t="s">
        <v>1012</v>
      </c>
      <c r="H5" s="100"/>
      <c r="I5" s="537"/>
      <c r="J5" s="537"/>
      <c r="K5" s="537"/>
    </row>
    <row r="6">
      <c r="A6" s="665">
        <f t="shared" si="1"/>
        <v>6</v>
      </c>
      <c r="B6" s="530" t="s">
        <v>1014</v>
      </c>
      <c r="C6" s="3" t="str">
        <f t="shared" si="2"/>
        <v>=&gt;</v>
      </c>
      <c r="D6" s="3" t="s">
        <v>30</v>
      </c>
      <c r="E6" s="531" t="s">
        <v>1015</v>
      </c>
      <c r="G6" s="100"/>
      <c r="H6" s="100"/>
      <c r="I6" s="537"/>
      <c r="J6" s="537"/>
      <c r="K6" s="537"/>
    </row>
    <row r="7">
      <c r="A7" s="665">
        <f t="shared" si="1"/>
        <v>7</v>
      </c>
      <c r="B7" s="530" t="s">
        <v>1014</v>
      </c>
      <c r="C7" s="3" t="str">
        <f t="shared" si="2"/>
        <v>=&gt;</v>
      </c>
      <c r="D7" s="424" t="s">
        <v>930</v>
      </c>
      <c r="E7" s="532" t="s">
        <v>1016</v>
      </c>
      <c r="F7" s="666" t="s">
        <v>28</v>
      </c>
      <c r="G7" s="3" t="s">
        <v>6</v>
      </c>
      <c r="H7" s="524" t="s">
        <v>1013</v>
      </c>
      <c r="I7" s="537"/>
      <c r="J7" s="537"/>
      <c r="K7" s="537"/>
    </row>
    <row r="8">
      <c r="A8" s="665">
        <f t="shared" si="1"/>
        <v>8</v>
      </c>
      <c r="B8" s="530" t="s">
        <v>1014</v>
      </c>
      <c r="C8" s="3" t="str">
        <f t="shared" si="2"/>
        <v>=&gt;</v>
      </c>
      <c r="D8" s="532" t="s">
        <v>1016</v>
      </c>
      <c r="E8" s="666" t="s">
        <v>28</v>
      </c>
      <c r="F8" s="3" t="s">
        <v>6</v>
      </c>
      <c r="G8" s="524" t="s">
        <v>1013</v>
      </c>
      <c r="H8" s="100"/>
      <c r="I8" s="537"/>
      <c r="J8" s="537"/>
      <c r="K8" s="537"/>
    </row>
    <row r="9">
      <c r="A9" s="665">
        <f t="shared" si="1"/>
        <v>9</v>
      </c>
      <c r="B9" s="530" t="s">
        <v>1014</v>
      </c>
      <c r="C9" s="3" t="str">
        <f t="shared" si="2"/>
        <v>=&gt;</v>
      </c>
      <c r="D9" s="533" t="s">
        <v>1017</v>
      </c>
      <c r="E9" s="8" t="s">
        <v>6</v>
      </c>
      <c r="F9" s="524" t="s">
        <v>1013</v>
      </c>
      <c r="G9" s="100"/>
      <c r="H9" s="100"/>
      <c r="I9" s="537"/>
      <c r="J9" s="537"/>
      <c r="K9" s="537"/>
    </row>
    <row r="10">
      <c r="A10" s="665">
        <f t="shared" si="1"/>
        <v>10</v>
      </c>
      <c r="B10" s="531" t="s">
        <v>1015</v>
      </c>
      <c r="C10" s="3" t="str">
        <f t="shared" si="2"/>
        <v>=&gt;</v>
      </c>
      <c r="D10" s="8" t="s">
        <v>32</v>
      </c>
      <c r="E10" s="464" t="s">
        <v>964</v>
      </c>
      <c r="F10" s="3" t="s">
        <v>850</v>
      </c>
      <c r="G10" s="513" t="s">
        <v>1004</v>
      </c>
      <c r="H10" s="3" t="s">
        <v>6</v>
      </c>
      <c r="I10" s="523" t="s">
        <v>1012</v>
      </c>
      <c r="J10" s="537"/>
      <c r="K10" s="537"/>
    </row>
    <row r="11">
      <c r="A11" s="665">
        <f t="shared" si="1"/>
        <v>11</v>
      </c>
      <c r="B11" s="531" t="s">
        <v>1015</v>
      </c>
      <c r="C11" s="3" t="str">
        <f t="shared" si="2"/>
        <v>=&gt;</v>
      </c>
      <c r="D11" s="354" t="s">
        <v>855</v>
      </c>
      <c r="E11" s="8" t="s">
        <v>32</v>
      </c>
      <c r="F11" s="535" t="s">
        <v>894</v>
      </c>
      <c r="G11" s="532" t="s">
        <v>1016</v>
      </c>
      <c r="H11" s="666" t="s">
        <v>28</v>
      </c>
      <c r="I11" s="3" t="s">
        <v>6</v>
      </c>
      <c r="J11" s="524" t="s">
        <v>1013</v>
      </c>
      <c r="K11" s="537"/>
    </row>
    <row r="12">
      <c r="A12" s="665">
        <f t="shared" si="1"/>
        <v>12</v>
      </c>
      <c r="B12" s="543" t="s">
        <v>1018</v>
      </c>
      <c r="C12" s="3" t="str">
        <f t="shared" si="2"/>
        <v>=&gt;</v>
      </c>
      <c r="D12" s="3" t="s">
        <v>14</v>
      </c>
      <c r="E12" s="544" t="s">
        <v>1023</v>
      </c>
      <c r="F12" s="524" t="s">
        <v>1013</v>
      </c>
      <c r="G12" s="100"/>
      <c r="H12" s="100"/>
      <c r="I12" s="537"/>
      <c r="J12" s="537"/>
      <c r="K12" s="537"/>
    </row>
    <row r="13">
      <c r="A13" s="665">
        <f t="shared" si="1"/>
        <v>13</v>
      </c>
      <c r="B13" s="524" t="s">
        <v>1013</v>
      </c>
      <c r="C13" s="3" t="str">
        <f t="shared" si="2"/>
        <v>=&gt;</v>
      </c>
      <c r="D13" s="536" t="s">
        <v>1018</v>
      </c>
      <c r="E13" s="524" t="s">
        <v>1013</v>
      </c>
      <c r="F13" s="100"/>
      <c r="G13" s="537"/>
      <c r="H13" s="537"/>
      <c r="I13" s="537"/>
      <c r="J13" s="537"/>
      <c r="K13" s="537"/>
    </row>
    <row r="14">
      <c r="A14" s="665">
        <f t="shared" si="1"/>
        <v>14</v>
      </c>
      <c r="B14" s="524" t="s">
        <v>1013</v>
      </c>
      <c r="C14" s="3" t="str">
        <f t="shared" si="2"/>
        <v>=&gt;</v>
      </c>
      <c r="D14" s="538" t="s">
        <v>1019</v>
      </c>
      <c r="E14" s="3" t="s">
        <v>6</v>
      </c>
      <c r="F14" s="524" t="s">
        <v>1013</v>
      </c>
      <c r="G14" s="537"/>
      <c r="H14" s="537"/>
      <c r="I14" s="537"/>
      <c r="J14" s="537"/>
      <c r="K14" s="537"/>
    </row>
    <row r="15">
      <c r="A15" s="665">
        <f t="shared" si="1"/>
        <v>15</v>
      </c>
      <c r="B15" s="524" t="s">
        <v>1013</v>
      </c>
      <c r="C15" s="3" t="str">
        <f t="shared" si="2"/>
        <v>=&gt;</v>
      </c>
      <c r="D15" s="539" t="s">
        <v>1020</v>
      </c>
      <c r="E15" s="524" t="s">
        <v>1013</v>
      </c>
      <c r="F15" s="537"/>
      <c r="G15" s="537"/>
      <c r="H15" s="537"/>
      <c r="I15" s="537"/>
      <c r="J15" s="537"/>
      <c r="K15" s="537"/>
    </row>
    <row r="16">
      <c r="A16" s="665">
        <f t="shared" si="1"/>
        <v>16</v>
      </c>
      <c r="B16" s="524" t="s">
        <v>1013</v>
      </c>
      <c r="C16" s="3" t="str">
        <f t="shared" si="2"/>
        <v>=&gt;</v>
      </c>
      <c r="D16" s="540" t="s">
        <v>1021</v>
      </c>
      <c r="E16" s="524" t="s">
        <v>1013</v>
      </c>
      <c r="F16" s="537"/>
      <c r="G16" s="537"/>
      <c r="H16" s="537"/>
      <c r="I16" s="537"/>
      <c r="J16" s="537"/>
      <c r="K16" s="537"/>
    </row>
    <row r="17">
      <c r="A17" s="665">
        <f t="shared" si="1"/>
        <v>17</v>
      </c>
      <c r="B17" s="524" t="s">
        <v>1013</v>
      </c>
      <c r="C17" s="3" t="str">
        <f t="shared" si="2"/>
        <v>=&gt;</v>
      </c>
      <c r="D17" s="542" t="s">
        <v>1022</v>
      </c>
      <c r="E17" s="524" t="s">
        <v>1013</v>
      </c>
      <c r="F17" s="100"/>
      <c r="G17" s="537"/>
      <c r="H17" s="537"/>
      <c r="I17" s="537"/>
      <c r="J17" s="537"/>
      <c r="K17" s="537"/>
    </row>
    <row r="18">
      <c r="A18" s="665">
        <f t="shared" si="1"/>
        <v>18</v>
      </c>
      <c r="B18" s="524" t="s">
        <v>1013</v>
      </c>
      <c r="C18" s="3" t="str">
        <f t="shared" si="2"/>
        <v>=&gt;</v>
      </c>
      <c r="D18" s="542" t="s">
        <v>8</v>
      </c>
      <c r="E18" s="100"/>
      <c r="F18" s="100"/>
      <c r="G18" s="537"/>
      <c r="H18" s="537"/>
      <c r="I18" s="537"/>
      <c r="J18" s="537"/>
      <c r="K18" s="537"/>
    </row>
    <row r="19">
      <c r="A19" s="12">
        <f t="shared" si="1"/>
        <v>19</v>
      </c>
      <c r="B19" s="549" t="s">
        <v>1020</v>
      </c>
      <c r="C19" s="3" t="str">
        <f t="shared" si="2"/>
        <v>=&gt;</v>
      </c>
      <c r="D19" s="667" t="s">
        <v>1027</v>
      </c>
      <c r="E19" s="668"/>
      <c r="F19" s="668"/>
      <c r="G19" s="537"/>
      <c r="H19" s="537"/>
      <c r="I19" s="537"/>
      <c r="J19" s="537"/>
      <c r="K19" s="537"/>
    </row>
    <row r="20">
      <c r="A20" s="12">
        <f t="shared" si="1"/>
        <v>20</v>
      </c>
      <c r="B20" s="549" t="s">
        <v>1020</v>
      </c>
      <c r="C20" s="3" t="str">
        <f t="shared" si="2"/>
        <v>=&gt;</v>
      </c>
      <c r="D20" s="669" t="s">
        <v>1028</v>
      </c>
      <c r="E20" s="668"/>
      <c r="G20" s="537"/>
      <c r="H20" s="537"/>
      <c r="I20" s="537"/>
      <c r="J20" s="537"/>
      <c r="K20" s="537"/>
    </row>
    <row r="21">
      <c r="A21" s="12">
        <f t="shared" si="1"/>
        <v>21</v>
      </c>
      <c r="B21" s="550" t="s">
        <v>1027</v>
      </c>
      <c r="C21" s="3" t="str">
        <f t="shared" si="2"/>
        <v>=&gt;</v>
      </c>
      <c r="D21" s="542" t="s">
        <v>1029</v>
      </c>
      <c r="E21" s="12" t="s">
        <v>62</v>
      </c>
      <c r="F21" s="479" t="s">
        <v>976</v>
      </c>
      <c r="G21" s="3" t="s">
        <v>64</v>
      </c>
      <c r="H21" s="651" t="s">
        <v>839</v>
      </c>
      <c r="I21" s="553" t="s">
        <v>1030</v>
      </c>
      <c r="J21" s="554" t="s">
        <v>1031</v>
      </c>
      <c r="K21" s="537"/>
    </row>
    <row r="22">
      <c r="A22" s="12">
        <f t="shared" si="1"/>
        <v>22</v>
      </c>
      <c r="B22" s="553" t="s">
        <v>1030</v>
      </c>
      <c r="C22" s="3" t="str">
        <f t="shared" si="2"/>
        <v>=&gt;</v>
      </c>
      <c r="D22" s="542" t="s">
        <v>1032</v>
      </c>
      <c r="E22" s="12" t="s">
        <v>62</v>
      </c>
      <c r="F22" s="479" t="s">
        <v>976</v>
      </c>
      <c r="G22" s="3" t="s">
        <v>64</v>
      </c>
      <c r="H22" s="9" t="s">
        <v>1040</v>
      </c>
      <c r="I22" s="553" t="s">
        <v>1030</v>
      </c>
      <c r="J22" s="537"/>
      <c r="K22" s="537"/>
    </row>
    <row r="23">
      <c r="A23" s="12">
        <f t="shared" si="1"/>
        <v>23</v>
      </c>
      <c r="B23" s="553" t="s">
        <v>1030</v>
      </c>
      <c r="C23" s="3" t="str">
        <f t="shared" si="2"/>
        <v>=&gt;</v>
      </c>
      <c r="D23" s="542" t="s">
        <v>8</v>
      </c>
      <c r="E23" s="668"/>
      <c r="F23" s="668"/>
      <c r="G23" s="537"/>
      <c r="H23" s="537"/>
      <c r="I23" s="537"/>
      <c r="J23" s="537"/>
      <c r="K23" s="537"/>
    </row>
    <row r="24">
      <c r="A24" s="12">
        <f t="shared" si="1"/>
        <v>24</v>
      </c>
      <c r="B24" s="554" t="s">
        <v>1031</v>
      </c>
      <c r="C24" s="3" t="str">
        <f t="shared" si="2"/>
        <v>=&gt;</v>
      </c>
      <c r="D24" s="542" t="s">
        <v>1033</v>
      </c>
      <c r="E24" s="9" t="s">
        <v>1040</v>
      </c>
      <c r="F24" s="668"/>
      <c r="G24" s="537"/>
      <c r="H24" s="537"/>
      <c r="I24" s="537"/>
      <c r="J24" s="537"/>
      <c r="K24" s="537"/>
    </row>
    <row r="25">
      <c r="A25" s="12">
        <f t="shared" si="1"/>
        <v>25</v>
      </c>
      <c r="B25" s="554" t="s">
        <v>1031</v>
      </c>
      <c r="C25" s="3" t="str">
        <f t="shared" si="2"/>
        <v>=&gt;</v>
      </c>
      <c r="D25" s="542" t="s">
        <v>8</v>
      </c>
      <c r="E25" s="668"/>
      <c r="F25" s="620"/>
      <c r="G25" s="620"/>
      <c r="H25" s="537"/>
      <c r="I25" s="537"/>
      <c r="J25" s="537"/>
      <c r="K25" s="537"/>
    </row>
    <row r="26">
      <c r="A26" s="12">
        <f t="shared" si="1"/>
        <v>26</v>
      </c>
      <c r="B26" s="551" t="s">
        <v>1028</v>
      </c>
      <c r="C26" s="3" t="str">
        <f t="shared" si="2"/>
        <v>=&gt;</v>
      </c>
      <c r="D26" s="542" t="s">
        <v>1034</v>
      </c>
      <c r="E26" s="12" t="s">
        <v>62</v>
      </c>
      <c r="F26" s="670" t="s">
        <v>1130</v>
      </c>
      <c r="G26" s="3" t="s">
        <v>64</v>
      </c>
      <c r="H26" s="555" t="s">
        <v>1035</v>
      </c>
      <c r="I26" s="537"/>
      <c r="J26" s="537"/>
      <c r="K26" s="537"/>
    </row>
    <row r="27">
      <c r="A27" s="12">
        <f t="shared" si="1"/>
        <v>27</v>
      </c>
      <c r="B27" s="555" t="s">
        <v>1035</v>
      </c>
      <c r="C27" s="3" t="str">
        <f t="shared" si="2"/>
        <v>=&gt;</v>
      </c>
      <c r="D27" s="542" t="s">
        <v>17</v>
      </c>
      <c r="E27" s="671" t="s">
        <v>1036</v>
      </c>
      <c r="F27" s="672" t="s">
        <v>1037</v>
      </c>
      <c r="G27" s="3" t="s">
        <v>19</v>
      </c>
      <c r="H27" s="537"/>
      <c r="I27" s="537"/>
      <c r="J27" s="537"/>
      <c r="K27" s="537"/>
    </row>
    <row r="28">
      <c r="A28" s="12">
        <f t="shared" si="1"/>
        <v>28</v>
      </c>
      <c r="B28" s="556" t="s">
        <v>1036</v>
      </c>
      <c r="C28" s="3" t="str">
        <f t="shared" si="2"/>
        <v>=&gt;</v>
      </c>
      <c r="D28" s="542" t="s">
        <v>1038</v>
      </c>
      <c r="E28" s="558" t="s">
        <v>1039</v>
      </c>
      <c r="F28" s="12" t="s">
        <v>180</v>
      </c>
      <c r="G28" s="9" t="s">
        <v>1040</v>
      </c>
      <c r="H28" s="556" t="s">
        <v>1036</v>
      </c>
      <c r="I28" s="100"/>
      <c r="J28" s="537"/>
      <c r="K28" s="537"/>
    </row>
    <row r="29">
      <c r="A29" s="12">
        <f t="shared" si="1"/>
        <v>29</v>
      </c>
      <c r="B29" s="556" t="s">
        <v>1036</v>
      </c>
      <c r="C29" s="3" t="str">
        <f t="shared" si="2"/>
        <v>=&gt;</v>
      </c>
      <c r="D29" s="542" t="s">
        <v>8</v>
      </c>
      <c r="E29" s="668"/>
      <c r="F29" s="668"/>
      <c r="G29" s="537"/>
      <c r="H29" s="537"/>
      <c r="I29" s="537"/>
      <c r="J29" s="537"/>
      <c r="K29" s="537"/>
    </row>
    <row r="30">
      <c r="A30" s="12">
        <f t="shared" si="1"/>
        <v>30</v>
      </c>
      <c r="B30" s="558" t="s">
        <v>1039</v>
      </c>
      <c r="C30" s="3" t="str">
        <f t="shared" si="2"/>
        <v>=&gt;</v>
      </c>
      <c r="D30" s="12" t="s">
        <v>868</v>
      </c>
      <c r="E30" s="668"/>
      <c r="F30" s="668"/>
      <c r="G30" s="537"/>
      <c r="H30" s="537"/>
      <c r="I30" s="537"/>
      <c r="J30" s="537"/>
      <c r="K30" s="537"/>
    </row>
    <row r="31">
      <c r="A31" s="12">
        <f t="shared" si="1"/>
        <v>31</v>
      </c>
      <c r="B31" s="558" t="s">
        <v>1039</v>
      </c>
      <c r="C31" s="3" t="str">
        <f t="shared" si="2"/>
        <v>=&gt;</v>
      </c>
      <c r="D31" s="542" t="s">
        <v>904</v>
      </c>
      <c r="E31" s="668"/>
      <c r="F31" s="668"/>
      <c r="G31" s="537"/>
      <c r="H31" s="537"/>
      <c r="I31" s="537"/>
      <c r="J31" s="537"/>
      <c r="K31" s="537"/>
    </row>
    <row r="32">
      <c r="A32" s="12">
        <f t="shared" si="1"/>
        <v>32</v>
      </c>
      <c r="B32" s="557" t="s">
        <v>1037</v>
      </c>
      <c r="C32" s="3" t="str">
        <f t="shared" si="2"/>
        <v>=&gt;</v>
      </c>
      <c r="D32" s="542" t="s">
        <v>1070</v>
      </c>
      <c r="E32" s="12" t="s">
        <v>180</v>
      </c>
      <c r="F32" s="9" t="s">
        <v>1040</v>
      </c>
      <c r="G32" s="537"/>
      <c r="H32" s="537"/>
      <c r="I32" s="537"/>
      <c r="J32" s="537"/>
      <c r="K32" s="537"/>
    </row>
    <row r="33">
      <c r="A33" s="12">
        <f t="shared" si="1"/>
        <v>33</v>
      </c>
      <c r="B33" s="557" t="s">
        <v>1037</v>
      </c>
      <c r="C33" s="3" t="str">
        <f t="shared" si="2"/>
        <v>=&gt;</v>
      </c>
      <c r="D33" s="542" t="s">
        <v>8</v>
      </c>
      <c r="E33" s="668"/>
      <c r="F33" s="668"/>
      <c r="G33" s="537"/>
      <c r="H33" s="537"/>
      <c r="I33" s="537"/>
      <c r="J33" s="537"/>
      <c r="K33" s="537"/>
    </row>
    <row r="34">
      <c r="A34" s="673"/>
      <c r="B34" s="674"/>
      <c r="C34" s="674"/>
      <c r="D34" s="675"/>
      <c r="E34" s="675"/>
      <c r="F34" s="676"/>
      <c r="G34" s="677"/>
      <c r="H34" s="677"/>
      <c r="I34" s="677"/>
      <c r="J34" s="677"/>
      <c r="K34" s="677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</row>
    <row r="35">
      <c r="A35" s="673"/>
      <c r="B35" s="674"/>
      <c r="C35" s="674"/>
      <c r="D35" s="675"/>
      <c r="E35" s="675"/>
      <c r="F35" s="676"/>
      <c r="G35" s="677"/>
      <c r="H35" s="677"/>
      <c r="I35" s="677"/>
      <c r="J35" s="677"/>
      <c r="K35" s="677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</row>
    <row r="36">
      <c r="A36" s="665">
        <f t="shared" ref="A36:A65" si="3">ROW()</f>
        <v>36</v>
      </c>
      <c r="B36" s="3" t="s">
        <v>1054</v>
      </c>
      <c r="C36" s="3"/>
      <c r="D36" s="7" t="s">
        <v>17</v>
      </c>
      <c r="E36" s="7" t="s">
        <v>1056</v>
      </c>
      <c r="F36" s="679" t="s">
        <v>1057</v>
      </c>
      <c r="G36" s="537"/>
      <c r="H36" s="537"/>
      <c r="I36" s="537"/>
      <c r="J36" s="537"/>
      <c r="K36" s="537"/>
    </row>
    <row r="37">
      <c r="A37" s="665">
        <f t="shared" si="3"/>
        <v>37</v>
      </c>
      <c r="B37" s="7" t="s">
        <v>1056</v>
      </c>
      <c r="C37" s="3" t="str">
        <f t="shared" ref="C37:C65" si="4">"=&gt;"</f>
        <v>=&gt;</v>
      </c>
      <c r="D37" s="652" t="s">
        <v>1128</v>
      </c>
      <c r="E37" s="7" t="s">
        <v>1056</v>
      </c>
      <c r="H37" s="537"/>
      <c r="I37" s="537"/>
      <c r="J37" s="537"/>
      <c r="K37" s="537"/>
    </row>
    <row r="38">
      <c r="A38" s="665">
        <f t="shared" si="3"/>
        <v>38</v>
      </c>
      <c r="B38" s="7" t="s">
        <v>1056</v>
      </c>
      <c r="C38" s="3" t="str">
        <f t="shared" si="4"/>
        <v>=&gt;</v>
      </c>
      <c r="D38" s="3" t="s">
        <v>14</v>
      </c>
      <c r="E38" s="679" t="s">
        <v>1058</v>
      </c>
      <c r="H38" s="537"/>
      <c r="I38" s="537"/>
      <c r="J38" s="537"/>
      <c r="K38" s="537"/>
    </row>
    <row r="39">
      <c r="A39" s="665">
        <f t="shared" si="3"/>
        <v>39</v>
      </c>
      <c r="B39" s="7" t="s">
        <v>1056</v>
      </c>
      <c r="C39" s="3" t="str">
        <f t="shared" si="4"/>
        <v>=&gt;</v>
      </c>
      <c r="D39" s="3" t="s">
        <v>8</v>
      </c>
      <c r="E39" s="537"/>
      <c r="G39" s="537"/>
      <c r="H39" s="537"/>
      <c r="I39" s="537"/>
      <c r="J39" s="537"/>
      <c r="K39" s="537"/>
    </row>
    <row r="40">
      <c r="A40" s="665">
        <f t="shared" si="3"/>
        <v>40</v>
      </c>
      <c r="B40" s="679" t="s">
        <v>1058</v>
      </c>
      <c r="C40" s="3" t="str">
        <f t="shared" si="4"/>
        <v>=&gt;</v>
      </c>
      <c r="D40" s="3" t="s">
        <v>850</v>
      </c>
      <c r="E40" s="513" t="s">
        <v>1004</v>
      </c>
      <c r="F40" s="3" t="s">
        <v>6</v>
      </c>
      <c r="G40" s="7" t="s">
        <v>1056</v>
      </c>
      <c r="H40" s="100"/>
      <c r="I40" s="537"/>
      <c r="J40" s="537"/>
      <c r="K40" s="537"/>
    </row>
    <row r="41">
      <c r="A41" s="665">
        <f t="shared" si="3"/>
        <v>41</v>
      </c>
      <c r="B41" s="679" t="s">
        <v>1058</v>
      </c>
      <c r="C41" s="3" t="str">
        <f t="shared" si="4"/>
        <v>=&gt;</v>
      </c>
      <c r="D41" s="3" t="s">
        <v>30</v>
      </c>
      <c r="E41" s="679" t="s">
        <v>1059</v>
      </c>
      <c r="F41" s="100"/>
      <c r="G41" s="100"/>
      <c r="H41" s="100"/>
      <c r="I41" s="537"/>
      <c r="J41" s="537"/>
      <c r="K41" s="537"/>
    </row>
    <row r="42">
      <c r="A42" s="665">
        <f t="shared" si="3"/>
        <v>42</v>
      </c>
      <c r="B42" s="679" t="s">
        <v>1058</v>
      </c>
      <c r="C42" s="3" t="str">
        <f t="shared" si="4"/>
        <v>=&gt;</v>
      </c>
      <c r="D42" s="424" t="s">
        <v>930</v>
      </c>
      <c r="E42" s="666" t="s">
        <v>28</v>
      </c>
      <c r="F42" s="666" t="s">
        <v>28</v>
      </c>
      <c r="G42" s="3" t="s">
        <v>6</v>
      </c>
      <c r="H42" s="679" t="s">
        <v>1057</v>
      </c>
      <c r="I42" s="537"/>
      <c r="J42" s="537"/>
      <c r="K42" s="537"/>
    </row>
    <row r="43">
      <c r="A43" s="665">
        <f t="shared" si="3"/>
        <v>43</v>
      </c>
      <c r="B43" s="679" t="s">
        <v>1058</v>
      </c>
      <c r="C43" s="3" t="str">
        <f t="shared" si="4"/>
        <v>=&gt;</v>
      </c>
      <c r="D43" s="532" t="s">
        <v>1016</v>
      </c>
      <c r="E43" s="666" t="s">
        <v>28</v>
      </c>
      <c r="F43" s="3" t="s">
        <v>6</v>
      </c>
      <c r="G43" s="679" t="s">
        <v>1057</v>
      </c>
      <c r="H43" s="100"/>
      <c r="I43" s="537"/>
      <c r="J43" s="537"/>
      <c r="K43" s="537"/>
    </row>
    <row r="44">
      <c r="A44" s="665">
        <f t="shared" si="3"/>
        <v>44</v>
      </c>
      <c r="B44" s="679" t="s">
        <v>1058</v>
      </c>
      <c r="C44" s="3" t="str">
        <f t="shared" si="4"/>
        <v>=&gt;</v>
      </c>
      <c r="D44" s="533" t="s">
        <v>1017</v>
      </c>
      <c r="E44" s="8" t="s">
        <v>6</v>
      </c>
      <c r="F44" s="679" t="s">
        <v>1057</v>
      </c>
      <c r="G44" s="100"/>
      <c r="H44" s="100"/>
      <c r="I44" s="537"/>
      <c r="J44" s="537"/>
      <c r="K44" s="537"/>
    </row>
    <row r="45">
      <c r="A45" s="665">
        <f t="shared" si="3"/>
        <v>45</v>
      </c>
      <c r="B45" s="679" t="s">
        <v>1059</v>
      </c>
      <c r="C45" s="3" t="str">
        <f t="shared" si="4"/>
        <v>=&gt;</v>
      </c>
      <c r="D45" s="8" t="s">
        <v>32</v>
      </c>
      <c r="E45" s="464" t="s">
        <v>964</v>
      </c>
      <c r="F45" s="3" t="s">
        <v>850</v>
      </c>
      <c r="G45" s="513" t="s">
        <v>1004</v>
      </c>
      <c r="H45" s="3" t="s">
        <v>6</v>
      </c>
      <c r="I45" s="7" t="s">
        <v>1056</v>
      </c>
      <c r="J45" s="537"/>
      <c r="K45" s="537"/>
    </row>
    <row r="46">
      <c r="A46" s="665">
        <f t="shared" si="3"/>
        <v>46</v>
      </c>
      <c r="B46" s="679" t="s">
        <v>1059</v>
      </c>
      <c r="C46" s="3" t="str">
        <f t="shared" si="4"/>
        <v>=&gt;</v>
      </c>
      <c r="D46" s="354" t="s">
        <v>855</v>
      </c>
      <c r="E46" s="8" t="s">
        <v>32</v>
      </c>
      <c r="F46" s="535" t="s">
        <v>894</v>
      </c>
      <c r="G46" s="532" t="s">
        <v>1016</v>
      </c>
      <c r="H46" s="666" t="s">
        <v>28</v>
      </c>
      <c r="I46" s="3" t="s">
        <v>6</v>
      </c>
      <c r="J46" s="679" t="s">
        <v>1057</v>
      </c>
      <c r="K46" s="537"/>
    </row>
    <row r="47">
      <c r="A47" s="665">
        <f t="shared" si="3"/>
        <v>47</v>
      </c>
      <c r="B47" s="7" t="s">
        <v>1060</v>
      </c>
      <c r="C47" s="3" t="str">
        <f t="shared" si="4"/>
        <v>=&gt;</v>
      </c>
      <c r="D47" s="3" t="s">
        <v>14</v>
      </c>
      <c r="E47" s="544" t="s">
        <v>1023</v>
      </c>
      <c r="F47" s="679" t="s">
        <v>1057</v>
      </c>
      <c r="G47" s="100"/>
      <c r="H47" s="100"/>
      <c r="I47" s="537"/>
      <c r="J47" s="537"/>
      <c r="K47" s="537"/>
    </row>
    <row r="48">
      <c r="A48" s="665">
        <f t="shared" si="3"/>
        <v>48</v>
      </c>
      <c r="B48" s="9" t="s">
        <v>1057</v>
      </c>
      <c r="C48" s="3" t="str">
        <f t="shared" si="4"/>
        <v>=&gt;</v>
      </c>
      <c r="D48" s="536" t="s">
        <v>1018</v>
      </c>
      <c r="E48" s="9" t="s">
        <v>1057</v>
      </c>
      <c r="F48" s="100"/>
      <c r="G48" s="537"/>
      <c r="H48" s="537"/>
      <c r="I48" s="537"/>
      <c r="J48" s="537"/>
      <c r="K48" s="537"/>
    </row>
    <row r="49">
      <c r="A49" s="665">
        <f t="shared" si="3"/>
        <v>49</v>
      </c>
      <c r="B49" s="9" t="s">
        <v>1057</v>
      </c>
      <c r="C49" s="3" t="str">
        <f t="shared" si="4"/>
        <v>=&gt;</v>
      </c>
      <c r="D49" s="538" t="s">
        <v>1019</v>
      </c>
      <c r="E49" s="3" t="s">
        <v>6</v>
      </c>
      <c r="F49" s="9" t="s">
        <v>1057</v>
      </c>
      <c r="G49" s="537"/>
      <c r="H49" s="537"/>
      <c r="I49" s="537"/>
      <c r="J49" s="537"/>
      <c r="K49" s="537"/>
    </row>
    <row r="50">
      <c r="A50" s="665">
        <f t="shared" si="3"/>
        <v>50</v>
      </c>
      <c r="B50" s="9" t="s">
        <v>1057</v>
      </c>
      <c r="C50" s="3" t="str">
        <f t="shared" si="4"/>
        <v>=&gt;</v>
      </c>
      <c r="D50" s="402" t="s">
        <v>1061</v>
      </c>
      <c r="E50" s="9" t="s">
        <v>1057</v>
      </c>
      <c r="F50" s="537"/>
      <c r="G50" s="537"/>
      <c r="H50" s="537"/>
      <c r="I50" s="537"/>
      <c r="J50" s="537"/>
      <c r="K50" s="537"/>
    </row>
    <row r="51">
      <c r="A51" s="665">
        <f t="shared" si="3"/>
        <v>51</v>
      </c>
      <c r="B51" s="9" t="s">
        <v>1057</v>
      </c>
      <c r="C51" s="3" t="str">
        <f t="shared" si="4"/>
        <v>=&gt;</v>
      </c>
      <c r="D51" s="540" t="s">
        <v>1021</v>
      </c>
      <c r="E51" s="9" t="s">
        <v>1057</v>
      </c>
      <c r="F51" s="537"/>
      <c r="G51" s="537"/>
      <c r="H51" s="537"/>
      <c r="I51" s="537"/>
      <c r="J51" s="537"/>
      <c r="K51" s="537"/>
    </row>
    <row r="52">
      <c r="A52" s="665">
        <f t="shared" si="3"/>
        <v>52</v>
      </c>
      <c r="B52" s="9" t="s">
        <v>1057</v>
      </c>
      <c r="C52" s="3" t="str">
        <f t="shared" si="4"/>
        <v>=&gt;</v>
      </c>
      <c r="D52" s="583" t="s">
        <v>1062</v>
      </c>
      <c r="E52" s="9" t="s">
        <v>1057</v>
      </c>
      <c r="F52" s="100"/>
      <c r="G52" s="537"/>
      <c r="H52" s="537"/>
      <c r="I52" s="537"/>
      <c r="J52" s="537"/>
      <c r="K52" s="537"/>
    </row>
    <row r="53">
      <c r="A53" s="665">
        <f t="shared" si="3"/>
        <v>53</v>
      </c>
      <c r="B53" s="9" t="s">
        <v>1057</v>
      </c>
      <c r="C53" s="3" t="str">
        <f t="shared" si="4"/>
        <v>=&gt;</v>
      </c>
      <c r="D53" s="542" t="s">
        <v>8</v>
      </c>
      <c r="E53" s="100"/>
      <c r="F53" s="100"/>
      <c r="G53" s="537"/>
      <c r="H53" s="537"/>
      <c r="I53" s="537"/>
      <c r="J53" s="537"/>
      <c r="K53" s="537"/>
    </row>
    <row r="54">
      <c r="A54" s="12">
        <f t="shared" si="3"/>
        <v>54</v>
      </c>
      <c r="B54" s="402" t="s">
        <v>1061</v>
      </c>
      <c r="C54" s="680" t="str">
        <f t="shared" si="4"/>
        <v>=&gt;</v>
      </c>
      <c r="D54" s="402" t="s">
        <v>1063</v>
      </c>
      <c r="E54" s="537"/>
      <c r="F54" s="537"/>
      <c r="G54" s="537"/>
      <c r="H54" s="537"/>
      <c r="I54" s="537"/>
      <c r="J54" s="537"/>
      <c r="K54" s="537"/>
    </row>
    <row r="55">
      <c r="A55" s="12">
        <f t="shared" si="3"/>
        <v>55</v>
      </c>
      <c r="B55" s="402" t="s">
        <v>1061</v>
      </c>
      <c r="C55" s="680" t="str">
        <f t="shared" si="4"/>
        <v>=&gt;</v>
      </c>
      <c r="D55" s="402" t="s">
        <v>1064</v>
      </c>
      <c r="E55" s="537"/>
      <c r="F55" s="7"/>
      <c r="G55" s="537"/>
      <c r="H55" s="537"/>
      <c r="I55" s="537"/>
      <c r="J55" s="537"/>
      <c r="K55" s="537"/>
    </row>
    <row r="56">
      <c r="A56" s="12">
        <f t="shared" si="3"/>
        <v>56</v>
      </c>
      <c r="B56" s="402" t="s">
        <v>1063</v>
      </c>
      <c r="C56" s="680" t="str">
        <f t="shared" si="4"/>
        <v>=&gt;</v>
      </c>
      <c r="D56" s="681" t="s">
        <v>1029</v>
      </c>
      <c r="E56" s="3" t="s">
        <v>62</v>
      </c>
      <c r="F56" s="479" t="s">
        <v>976</v>
      </c>
      <c r="G56" s="3" t="s">
        <v>64</v>
      </c>
      <c r="H56" s="3" t="s">
        <v>1054</v>
      </c>
      <c r="I56" s="402" t="s">
        <v>1065</v>
      </c>
      <c r="J56" s="402" t="s">
        <v>1066</v>
      </c>
      <c r="K56" s="537"/>
    </row>
    <row r="57">
      <c r="A57" s="12">
        <f t="shared" si="3"/>
        <v>57</v>
      </c>
      <c r="B57" s="402" t="s">
        <v>1065</v>
      </c>
      <c r="C57" s="3" t="str">
        <f t="shared" si="4"/>
        <v>=&gt;</v>
      </c>
      <c r="D57" s="542" t="s">
        <v>1032</v>
      </c>
      <c r="E57" s="3" t="s">
        <v>62</v>
      </c>
      <c r="F57" s="479" t="s">
        <v>976</v>
      </c>
      <c r="G57" s="3" t="s">
        <v>64</v>
      </c>
      <c r="H57" s="3" t="s">
        <v>1054</v>
      </c>
      <c r="I57" s="402" t="s">
        <v>1065</v>
      </c>
      <c r="J57" s="682"/>
      <c r="K57" s="537"/>
    </row>
    <row r="58">
      <c r="A58" s="12">
        <f t="shared" si="3"/>
        <v>58</v>
      </c>
      <c r="B58" s="402" t="s">
        <v>1065</v>
      </c>
      <c r="C58" s="3" t="str">
        <f t="shared" si="4"/>
        <v>=&gt;</v>
      </c>
      <c r="D58" s="542" t="s">
        <v>8</v>
      </c>
      <c r="E58" s="537"/>
      <c r="F58" s="537"/>
      <c r="G58" s="537"/>
      <c r="H58" s="537"/>
      <c r="I58" s="537"/>
      <c r="J58" s="537"/>
      <c r="K58" s="537"/>
    </row>
    <row r="59">
      <c r="A59" s="12">
        <f t="shared" si="3"/>
        <v>59</v>
      </c>
      <c r="B59" s="402" t="s">
        <v>1066</v>
      </c>
      <c r="C59" s="3" t="str">
        <f t="shared" si="4"/>
        <v>=&gt;</v>
      </c>
      <c r="D59" s="542" t="s">
        <v>1033</v>
      </c>
      <c r="E59" s="3" t="s">
        <v>1054</v>
      </c>
      <c r="F59" s="537"/>
      <c r="G59" s="537"/>
      <c r="H59" s="537"/>
      <c r="I59" s="537"/>
      <c r="J59" s="537"/>
      <c r="K59" s="537"/>
    </row>
    <row r="60">
      <c r="A60" s="12">
        <f t="shared" si="3"/>
        <v>60</v>
      </c>
      <c r="B60" s="402" t="s">
        <v>1066</v>
      </c>
      <c r="C60" s="3" t="str">
        <f t="shared" si="4"/>
        <v>=&gt;</v>
      </c>
      <c r="D60" s="542" t="s">
        <v>8</v>
      </c>
      <c r="E60" s="537"/>
      <c r="F60" s="537"/>
      <c r="G60" s="537"/>
      <c r="H60" s="537"/>
      <c r="I60" s="537"/>
      <c r="J60" s="537"/>
      <c r="K60" s="537"/>
    </row>
    <row r="61">
      <c r="A61" s="12">
        <f t="shared" si="3"/>
        <v>61</v>
      </c>
      <c r="B61" s="402" t="s">
        <v>1064</v>
      </c>
      <c r="C61" s="3" t="str">
        <f t="shared" si="4"/>
        <v>=&gt;</v>
      </c>
      <c r="D61" s="542" t="s">
        <v>1034</v>
      </c>
      <c r="E61" s="3" t="s">
        <v>62</v>
      </c>
      <c r="F61" s="670" t="s">
        <v>1130</v>
      </c>
      <c r="G61" s="3" t="s">
        <v>64</v>
      </c>
      <c r="H61" s="3" t="s">
        <v>1054</v>
      </c>
      <c r="I61" s="537"/>
      <c r="J61" s="537"/>
      <c r="K61" s="537"/>
    </row>
    <row r="62">
      <c r="A62" s="12">
        <f t="shared" si="3"/>
        <v>62</v>
      </c>
      <c r="B62" s="402" t="s">
        <v>1068</v>
      </c>
      <c r="C62" s="3" t="str">
        <f t="shared" si="4"/>
        <v>=&gt;</v>
      </c>
      <c r="D62" s="542" t="s">
        <v>1038</v>
      </c>
      <c r="E62" s="558" t="s">
        <v>1039</v>
      </c>
      <c r="F62" s="3" t="s">
        <v>180</v>
      </c>
      <c r="G62" s="9" t="s">
        <v>1057</v>
      </c>
      <c r="H62" s="402" t="s">
        <v>1068</v>
      </c>
      <c r="I62" s="100"/>
      <c r="J62" s="537"/>
      <c r="K62" s="537"/>
    </row>
    <row r="63">
      <c r="A63" s="12">
        <f t="shared" si="3"/>
        <v>63</v>
      </c>
      <c r="B63" s="402" t="s">
        <v>1068</v>
      </c>
      <c r="C63" s="3" t="str">
        <f t="shared" si="4"/>
        <v>=&gt;</v>
      </c>
      <c r="D63" s="542" t="s">
        <v>8</v>
      </c>
      <c r="E63" s="537"/>
      <c r="F63" s="537"/>
      <c r="G63" s="537"/>
      <c r="H63" s="537"/>
      <c r="I63" s="537"/>
      <c r="J63" s="537"/>
      <c r="K63" s="537"/>
    </row>
    <row r="64">
      <c r="A64" s="12">
        <f t="shared" si="3"/>
        <v>64</v>
      </c>
      <c r="B64" s="402" t="s">
        <v>1069</v>
      </c>
      <c r="C64" s="3" t="str">
        <f t="shared" si="4"/>
        <v>=&gt;</v>
      </c>
      <c r="D64" s="542" t="s">
        <v>1070</v>
      </c>
      <c r="E64" s="3" t="s">
        <v>180</v>
      </c>
      <c r="F64" s="9" t="s">
        <v>1057</v>
      </c>
      <c r="G64" s="537"/>
      <c r="H64" s="537"/>
      <c r="I64" s="537"/>
      <c r="J64" s="537"/>
      <c r="K64" s="537"/>
    </row>
    <row r="65">
      <c r="A65" s="12">
        <f t="shared" si="3"/>
        <v>65</v>
      </c>
      <c r="B65" s="402" t="s">
        <v>1069</v>
      </c>
      <c r="C65" s="3" t="str">
        <f t="shared" si="4"/>
        <v>=&gt;</v>
      </c>
      <c r="D65" s="542" t="s">
        <v>8</v>
      </c>
      <c r="E65" s="537"/>
      <c r="F65" s="537"/>
      <c r="G65" s="537"/>
      <c r="H65" s="537"/>
      <c r="I65" s="537"/>
      <c r="J65" s="537"/>
      <c r="K65" s="537"/>
    </row>
    <row r="66">
      <c r="A66" s="673"/>
      <c r="B66" s="674"/>
      <c r="C66" s="677"/>
      <c r="D66" s="674"/>
      <c r="E66" s="674"/>
      <c r="F66" s="683"/>
      <c r="G66" s="677"/>
      <c r="H66" s="677"/>
      <c r="I66" s="677"/>
      <c r="J66" s="677"/>
      <c r="K66" s="677"/>
      <c r="L66" s="678"/>
      <c r="M66" s="678"/>
      <c r="N66" s="678"/>
      <c r="O66" s="678"/>
      <c r="P66" s="678"/>
      <c r="Q66" s="678"/>
      <c r="R66" s="678"/>
      <c r="S66" s="678"/>
      <c r="T66" s="678"/>
      <c r="U66" s="678"/>
      <c r="V66" s="678"/>
      <c r="W66" s="678"/>
      <c r="X66" s="678"/>
      <c r="Y66" s="678"/>
      <c r="Z66" s="678"/>
    </row>
    <row r="67">
      <c r="A67" s="673"/>
      <c r="B67" s="674"/>
      <c r="C67" s="677"/>
      <c r="D67" s="674"/>
      <c r="E67" s="674"/>
      <c r="F67" s="683"/>
      <c r="G67" s="677"/>
      <c r="H67" s="677"/>
      <c r="I67" s="677"/>
      <c r="J67" s="677"/>
      <c r="K67" s="677"/>
      <c r="L67" s="678"/>
      <c r="M67" s="678"/>
      <c r="N67" s="678"/>
      <c r="O67" s="678"/>
      <c r="P67" s="678"/>
      <c r="Q67" s="678"/>
      <c r="R67" s="678"/>
      <c r="S67" s="678"/>
      <c r="T67" s="678"/>
      <c r="U67" s="678"/>
      <c r="V67" s="678"/>
      <c r="W67" s="678"/>
      <c r="X67" s="678"/>
      <c r="Y67" s="678"/>
      <c r="Z67" s="678"/>
    </row>
    <row r="68">
      <c r="A68" s="665">
        <f t="shared" ref="A68:A89" si="5">ROW()</f>
        <v>68</v>
      </c>
      <c r="B68" s="7" t="s">
        <v>1045</v>
      </c>
      <c r="C68" s="537"/>
      <c r="D68" s="3" t="s">
        <v>17</v>
      </c>
      <c r="E68" s="3" t="s">
        <v>1046</v>
      </c>
      <c r="F68" s="9" t="s">
        <v>1040</v>
      </c>
      <c r="G68" s="3" t="s">
        <v>19</v>
      </c>
      <c r="H68" s="537"/>
      <c r="I68" s="537"/>
      <c r="J68" s="537"/>
      <c r="K68" s="537"/>
    </row>
    <row r="69">
      <c r="A69" s="665">
        <f t="shared" si="5"/>
        <v>69</v>
      </c>
      <c r="B69" s="7" t="s">
        <v>1046</v>
      </c>
      <c r="C69" s="3" t="str">
        <f t="shared" ref="C69:C89" si="6">"=&gt;"</f>
        <v>=&gt;</v>
      </c>
      <c r="D69" s="652" t="s">
        <v>1128</v>
      </c>
      <c r="E69" s="7" t="s">
        <v>1046</v>
      </c>
      <c r="G69" s="537"/>
      <c r="H69" s="537"/>
      <c r="I69" s="537"/>
      <c r="J69" s="537"/>
      <c r="K69" s="537"/>
    </row>
    <row r="70">
      <c r="A70" s="665">
        <f t="shared" si="5"/>
        <v>70</v>
      </c>
      <c r="B70" s="7" t="s">
        <v>1046</v>
      </c>
      <c r="C70" s="3" t="str">
        <f t="shared" si="6"/>
        <v>=&gt;</v>
      </c>
      <c r="D70" s="3" t="s">
        <v>14</v>
      </c>
      <c r="E70" s="679" t="s">
        <v>1047</v>
      </c>
      <c r="G70" s="537"/>
      <c r="H70" s="537"/>
      <c r="I70" s="537"/>
      <c r="J70" s="537"/>
      <c r="K70" s="537"/>
    </row>
    <row r="71">
      <c r="A71" s="665">
        <f t="shared" si="5"/>
        <v>71</v>
      </c>
      <c r="B71" s="7" t="s">
        <v>1046</v>
      </c>
      <c r="C71" s="3" t="str">
        <f t="shared" si="6"/>
        <v>=&gt;</v>
      </c>
      <c r="D71" s="3" t="s">
        <v>8</v>
      </c>
      <c r="E71" s="537"/>
      <c r="G71" s="537"/>
      <c r="H71" s="537"/>
      <c r="I71" s="537"/>
      <c r="J71" s="537"/>
      <c r="K71" s="537"/>
    </row>
    <row r="72">
      <c r="A72" s="665">
        <f t="shared" si="5"/>
        <v>72</v>
      </c>
      <c r="B72" s="679" t="s">
        <v>1047</v>
      </c>
      <c r="C72" s="3" t="str">
        <f t="shared" si="6"/>
        <v>=&gt;</v>
      </c>
      <c r="D72" s="3" t="s">
        <v>850</v>
      </c>
      <c r="E72" s="513" t="s">
        <v>1004</v>
      </c>
      <c r="F72" s="3" t="s">
        <v>6</v>
      </c>
      <c r="G72" s="7" t="s">
        <v>1046</v>
      </c>
      <c r="H72" s="100"/>
      <c r="I72" s="537"/>
      <c r="J72" s="537"/>
      <c r="K72" s="537"/>
    </row>
    <row r="73">
      <c r="A73" s="665">
        <f t="shared" si="5"/>
        <v>73</v>
      </c>
      <c r="B73" s="679" t="s">
        <v>1047</v>
      </c>
      <c r="C73" s="3" t="str">
        <f t="shared" si="6"/>
        <v>=&gt;</v>
      </c>
      <c r="D73" s="3" t="s">
        <v>30</v>
      </c>
      <c r="E73" s="21" t="s">
        <v>1048</v>
      </c>
      <c r="G73" s="100"/>
      <c r="H73" s="100"/>
      <c r="I73" s="537"/>
      <c r="J73" s="537"/>
      <c r="K73" s="537"/>
    </row>
    <row r="74">
      <c r="A74" s="665">
        <f t="shared" si="5"/>
        <v>74</v>
      </c>
      <c r="B74" s="679" t="s">
        <v>1047</v>
      </c>
      <c r="C74" s="3" t="str">
        <f t="shared" si="6"/>
        <v>=&gt;</v>
      </c>
      <c r="D74" s="424" t="s">
        <v>930</v>
      </c>
      <c r="E74" s="532" t="s">
        <v>1016</v>
      </c>
      <c r="F74" s="666" t="s">
        <v>28</v>
      </c>
      <c r="G74" s="3" t="s">
        <v>6</v>
      </c>
      <c r="H74" s="9" t="s">
        <v>1040</v>
      </c>
      <c r="I74" s="537"/>
      <c r="J74" s="537"/>
      <c r="K74" s="537"/>
    </row>
    <row r="75">
      <c r="A75" s="665">
        <f t="shared" si="5"/>
        <v>75</v>
      </c>
      <c r="B75" s="679" t="s">
        <v>1047</v>
      </c>
      <c r="C75" s="3" t="str">
        <f t="shared" si="6"/>
        <v>=&gt;</v>
      </c>
      <c r="D75" s="532" t="s">
        <v>1016</v>
      </c>
      <c r="E75" s="666" t="s">
        <v>28</v>
      </c>
      <c r="F75" s="3" t="s">
        <v>6</v>
      </c>
      <c r="G75" s="9" t="s">
        <v>1040</v>
      </c>
      <c r="H75" s="100"/>
      <c r="I75" s="537"/>
      <c r="J75" s="537"/>
      <c r="K75" s="537"/>
    </row>
    <row r="76">
      <c r="A76" s="665">
        <f t="shared" si="5"/>
        <v>76</v>
      </c>
      <c r="B76" s="679" t="s">
        <v>1047</v>
      </c>
      <c r="C76" s="3" t="str">
        <f t="shared" si="6"/>
        <v>=&gt;</v>
      </c>
      <c r="D76" s="533" t="s">
        <v>1017</v>
      </c>
      <c r="E76" s="8" t="s">
        <v>6</v>
      </c>
      <c r="F76" s="9" t="s">
        <v>1040</v>
      </c>
      <c r="G76" s="100"/>
      <c r="H76" s="100"/>
      <c r="I76" s="537"/>
      <c r="J76" s="537"/>
      <c r="K76" s="537"/>
    </row>
    <row r="77">
      <c r="A77" s="665">
        <f t="shared" si="5"/>
        <v>77</v>
      </c>
      <c r="B77" s="21" t="s">
        <v>1048</v>
      </c>
      <c r="C77" s="3" t="str">
        <f t="shared" si="6"/>
        <v>=&gt;</v>
      </c>
      <c r="D77" s="8" t="s">
        <v>32</v>
      </c>
      <c r="E77" s="464" t="s">
        <v>964</v>
      </c>
      <c r="F77" s="3" t="s">
        <v>850</v>
      </c>
      <c r="G77" s="513" t="s">
        <v>1004</v>
      </c>
      <c r="H77" s="3" t="s">
        <v>6</v>
      </c>
      <c r="I77" s="7" t="s">
        <v>1046</v>
      </c>
      <c r="J77" s="537"/>
      <c r="K77" s="537"/>
    </row>
    <row r="78">
      <c r="A78" s="665">
        <f t="shared" si="5"/>
        <v>78</v>
      </c>
      <c r="B78" s="21" t="s">
        <v>1048</v>
      </c>
      <c r="C78" s="3" t="str">
        <f t="shared" si="6"/>
        <v>=&gt;</v>
      </c>
      <c r="D78" s="354" t="s">
        <v>855</v>
      </c>
      <c r="E78" s="8" t="s">
        <v>32</v>
      </c>
      <c r="F78" s="535" t="s">
        <v>894</v>
      </c>
      <c r="G78" s="532" t="s">
        <v>1016</v>
      </c>
      <c r="H78" s="666" t="s">
        <v>28</v>
      </c>
      <c r="I78" s="3" t="s">
        <v>6</v>
      </c>
      <c r="J78" s="9" t="s">
        <v>1040</v>
      </c>
      <c r="K78" s="537"/>
    </row>
    <row r="79">
      <c r="A79" s="665">
        <f t="shared" si="5"/>
        <v>79</v>
      </c>
      <c r="B79" s="21" t="s">
        <v>1041</v>
      </c>
      <c r="C79" s="3" t="str">
        <f t="shared" si="6"/>
        <v>=&gt;</v>
      </c>
      <c r="D79" s="3" t="s">
        <v>14</v>
      </c>
      <c r="E79" s="544" t="s">
        <v>1023</v>
      </c>
      <c r="F79" s="9" t="s">
        <v>1040</v>
      </c>
      <c r="G79" s="100"/>
      <c r="H79" s="100"/>
      <c r="I79" s="537"/>
      <c r="J79" s="537"/>
      <c r="K79" s="537"/>
    </row>
    <row r="80">
      <c r="A80" s="665">
        <f t="shared" si="5"/>
        <v>80</v>
      </c>
      <c r="B80" s="9" t="s">
        <v>1040</v>
      </c>
      <c r="C80" s="3" t="str">
        <f t="shared" si="6"/>
        <v>=&gt;</v>
      </c>
      <c r="D80" s="536" t="s">
        <v>1018</v>
      </c>
      <c r="E80" s="9" t="s">
        <v>1040</v>
      </c>
      <c r="F80" s="100"/>
      <c r="G80" s="537"/>
      <c r="H80" s="537"/>
      <c r="I80" s="537"/>
      <c r="J80" s="537"/>
      <c r="K80" s="537"/>
    </row>
    <row r="81">
      <c r="A81" s="665">
        <f t="shared" si="5"/>
        <v>81</v>
      </c>
      <c r="B81" s="9" t="s">
        <v>1040</v>
      </c>
      <c r="C81" s="3" t="str">
        <f t="shared" si="6"/>
        <v>=&gt;</v>
      </c>
      <c r="D81" s="538" t="s">
        <v>1019</v>
      </c>
      <c r="E81" s="3" t="s">
        <v>6</v>
      </c>
      <c r="F81" s="9" t="s">
        <v>1040</v>
      </c>
      <c r="G81" s="537"/>
      <c r="H81" s="537"/>
      <c r="I81" s="537"/>
      <c r="J81" s="537"/>
      <c r="K81" s="537"/>
    </row>
    <row r="82">
      <c r="A82" s="665">
        <f t="shared" si="5"/>
        <v>82</v>
      </c>
      <c r="B82" s="9" t="s">
        <v>1040</v>
      </c>
      <c r="C82" s="3" t="str">
        <f t="shared" si="6"/>
        <v>=&gt;</v>
      </c>
      <c r="D82" s="539" t="s">
        <v>1020</v>
      </c>
      <c r="E82" s="9" t="s">
        <v>1040</v>
      </c>
      <c r="F82" s="537"/>
      <c r="G82" s="537"/>
      <c r="H82" s="537"/>
      <c r="I82" s="537"/>
      <c r="J82" s="537"/>
      <c r="K82" s="537"/>
    </row>
    <row r="83">
      <c r="A83" s="665">
        <f t="shared" si="5"/>
        <v>83</v>
      </c>
      <c r="B83" s="9" t="s">
        <v>1040</v>
      </c>
      <c r="C83" s="3" t="str">
        <f t="shared" si="6"/>
        <v>=&gt;</v>
      </c>
      <c r="D83" s="540" t="s">
        <v>1021</v>
      </c>
      <c r="E83" s="9" t="s">
        <v>1040</v>
      </c>
      <c r="G83" s="537"/>
      <c r="H83" s="537"/>
      <c r="I83" s="537"/>
      <c r="J83" s="537"/>
      <c r="K83" s="537"/>
    </row>
    <row r="84">
      <c r="A84" s="665">
        <f t="shared" si="5"/>
        <v>84</v>
      </c>
      <c r="B84" s="9" t="s">
        <v>1040</v>
      </c>
      <c r="C84" s="3" t="str">
        <f t="shared" si="6"/>
        <v>=&gt;</v>
      </c>
      <c r="D84" s="562" t="s">
        <v>1043</v>
      </c>
      <c r="E84" s="9" t="s">
        <v>1040</v>
      </c>
      <c r="F84" s="100"/>
      <c r="G84" s="537"/>
      <c r="H84" s="537"/>
      <c r="I84" s="537"/>
      <c r="J84" s="537"/>
      <c r="K84" s="537"/>
    </row>
    <row r="85">
      <c r="A85" s="665">
        <f t="shared" si="5"/>
        <v>85</v>
      </c>
      <c r="B85" s="9" t="s">
        <v>1040</v>
      </c>
      <c r="C85" s="3" t="str">
        <f t="shared" si="6"/>
        <v>=&gt;</v>
      </c>
      <c r="D85" s="541" t="s">
        <v>1022</v>
      </c>
      <c r="E85" s="9" t="s">
        <v>1040</v>
      </c>
      <c r="F85" s="100"/>
      <c r="G85" s="537"/>
      <c r="H85" s="537"/>
      <c r="I85" s="537"/>
      <c r="J85" s="537"/>
      <c r="K85" s="537"/>
    </row>
    <row r="86">
      <c r="A86" s="665">
        <f t="shared" si="5"/>
        <v>86</v>
      </c>
      <c r="B86" s="9" t="s">
        <v>1040</v>
      </c>
      <c r="C86" s="3" t="str">
        <f t="shared" si="6"/>
        <v>=&gt;</v>
      </c>
      <c r="D86" s="542" t="s">
        <v>8</v>
      </c>
      <c r="E86" s="100"/>
      <c r="F86" s="101"/>
      <c r="G86" s="537"/>
      <c r="H86" s="537"/>
      <c r="I86" s="537"/>
      <c r="J86" s="537"/>
      <c r="K86" s="537"/>
    </row>
    <row r="87">
      <c r="A87" s="12">
        <f t="shared" si="5"/>
        <v>87</v>
      </c>
      <c r="B87" s="402" t="s">
        <v>1042</v>
      </c>
      <c r="C87" s="3" t="str">
        <f t="shared" si="6"/>
        <v>=&gt;</v>
      </c>
      <c r="D87" s="402" t="s">
        <v>1044</v>
      </c>
      <c r="E87" s="668"/>
      <c r="F87" s="668"/>
      <c r="G87" s="537"/>
      <c r="H87" s="537"/>
      <c r="I87" s="537"/>
      <c r="J87" s="537"/>
      <c r="K87" s="537"/>
    </row>
    <row r="88">
      <c r="A88" s="12">
        <f t="shared" si="5"/>
        <v>88</v>
      </c>
      <c r="B88" s="402" t="s">
        <v>1042</v>
      </c>
      <c r="C88" s="3" t="str">
        <f t="shared" si="6"/>
        <v>=&gt;</v>
      </c>
      <c r="D88" s="669" t="s">
        <v>1028</v>
      </c>
      <c r="E88" s="668"/>
      <c r="G88" s="537"/>
      <c r="H88" s="537"/>
      <c r="I88" s="537"/>
      <c r="J88" s="537"/>
      <c r="K88" s="537"/>
    </row>
    <row r="89">
      <c r="A89" s="12">
        <f t="shared" si="5"/>
        <v>89</v>
      </c>
      <c r="B89" s="684" t="s">
        <v>1044</v>
      </c>
      <c r="C89" s="3" t="str">
        <f t="shared" si="6"/>
        <v>=&gt;</v>
      </c>
      <c r="D89" s="542" t="s">
        <v>1029</v>
      </c>
      <c r="E89" s="12" t="s">
        <v>62</v>
      </c>
      <c r="F89" s="479" t="s">
        <v>976</v>
      </c>
      <c r="G89" s="3" t="s">
        <v>64</v>
      </c>
      <c r="H89" s="7" t="s">
        <v>1045</v>
      </c>
      <c r="I89" s="553" t="s">
        <v>1030</v>
      </c>
      <c r="J89" s="554" t="s">
        <v>1031</v>
      </c>
      <c r="K89" s="537"/>
    </row>
    <row r="90">
      <c r="A90" s="680"/>
      <c r="B90" s="680"/>
      <c r="C90" s="680"/>
      <c r="D90" s="680"/>
      <c r="E90" s="682"/>
      <c r="F90" s="682"/>
      <c r="G90" s="682"/>
      <c r="H90" s="682"/>
      <c r="I90" s="682"/>
      <c r="J90" s="682"/>
    </row>
    <row r="91">
      <c r="A91" s="3">
        <f t="shared" ref="A91:A104" si="7">ROW()</f>
        <v>91</v>
      </c>
      <c r="B91" s="569" t="s">
        <v>1021</v>
      </c>
      <c r="C91" s="3" t="str">
        <f t="shared" ref="C91:C104" si="8">"=&gt;"</f>
        <v>=&gt;</v>
      </c>
      <c r="D91" s="570" t="s">
        <v>1049</v>
      </c>
      <c r="E91" s="537"/>
      <c r="F91" s="537"/>
      <c r="G91" s="537"/>
      <c r="H91" s="537"/>
      <c r="I91" s="537"/>
      <c r="J91" s="537"/>
    </row>
    <row r="92">
      <c r="A92" s="3">
        <f t="shared" si="7"/>
        <v>92</v>
      </c>
      <c r="B92" s="569" t="s">
        <v>1021</v>
      </c>
      <c r="C92" s="3" t="str">
        <f t="shared" si="8"/>
        <v>=&gt;</v>
      </c>
      <c r="D92" s="571" t="s">
        <v>1050</v>
      </c>
      <c r="E92" s="537"/>
      <c r="F92" s="537"/>
      <c r="G92" s="537"/>
      <c r="H92" s="537"/>
      <c r="I92" s="537"/>
      <c r="J92" s="537"/>
    </row>
    <row r="93">
      <c r="A93" s="3">
        <f t="shared" si="7"/>
        <v>93</v>
      </c>
      <c r="B93" s="569" t="s">
        <v>1021</v>
      </c>
      <c r="C93" s="3" t="str">
        <f t="shared" si="8"/>
        <v>=&gt;</v>
      </c>
      <c r="D93" s="572" t="s">
        <v>1051</v>
      </c>
      <c r="E93" s="537"/>
      <c r="F93" s="537"/>
      <c r="G93" s="537"/>
      <c r="H93" s="537"/>
      <c r="I93" s="537"/>
      <c r="J93" s="537"/>
    </row>
    <row r="94">
      <c r="A94" s="3">
        <f t="shared" si="7"/>
        <v>94</v>
      </c>
      <c r="B94" s="570" t="s">
        <v>1049</v>
      </c>
      <c r="C94" s="3" t="str">
        <f t="shared" si="8"/>
        <v>=&gt;</v>
      </c>
      <c r="D94" s="542" t="s">
        <v>1052</v>
      </c>
      <c r="E94" s="3" t="s">
        <v>62</v>
      </c>
      <c r="F94" s="573" t="s">
        <v>1053</v>
      </c>
      <c r="G94" s="574" t="s">
        <v>189</v>
      </c>
      <c r="H94" s="479" t="s">
        <v>976</v>
      </c>
      <c r="I94" s="3" t="s">
        <v>64</v>
      </c>
      <c r="J94" s="3" t="s">
        <v>1054</v>
      </c>
    </row>
    <row r="95">
      <c r="A95" s="3">
        <f t="shared" si="7"/>
        <v>95</v>
      </c>
      <c r="B95" s="573" t="s">
        <v>1053</v>
      </c>
      <c r="C95" s="3" t="str">
        <f t="shared" si="8"/>
        <v>=&gt;</v>
      </c>
      <c r="D95" s="3" t="s">
        <v>14</v>
      </c>
      <c r="E95" s="665" t="str">
        <f>"="</f>
        <v>=</v>
      </c>
      <c r="F95" s="685" t="s">
        <v>855</v>
      </c>
      <c r="G95" s="3" t="s">
        <v>6</v>
      </c>
      <c r="H95" s="537"/>
      <c r="I95" s="537"/>
      <c r="J95" s="537"/>
    </row>
    <row r="96">
      <c r="A96" s="3">
        <f t="shared" si="7"/>
        <v>96</v>
      </c>
      <c r="B96" s="574" t="s">
        <v>189</v>
      </c>
      <c r="C96" s="3" t="str">
        <f t="shared" si="8"/>
        <v>=&gt;</v>
      </c>
      <c r="D96" s="3" t="s">
        <v>14</v>
      </c>
      <c r="E96" s="545" t="s">
        <v>1024</v>
      </c>
      <c r="F96" s="537"/>
      <c r="G96" s="537"/>
      <c r="H96" s="537"/>
      <c r="I96" s="537"/>
      <c r="J96" s="537"/>
    </row>
    <row r="97">
      <c r="A97" s="3">
        <f t="shared" si="7"/>
        <v>97</v>
      </c>
      <c r="B97" s="571" t="s">
        <v>1050</v>
      </c>
      <c r="C97" s="3" t="str">
        <f t="shared" si="8"/>
        <v>=&gt;</v>
      </c>
      <c r="D97" s="542" t="s">
        <v>1075</v>
      </c>
      <c r="E97" s="3" t="s">
        <v>62</v>
      </c>
      <c r="F97" s="479" t="s">
        <v>976</v>
      </c>
      <c r="G97" s="3" t="s">
        <v>64</v>
      </c>
      <c r="H97" s="3" t="s">
        <v>1054</v>
      </c>
      <c r="I97" s="537"/>
      <c r="J97" s="537"/>
    </row>
    <row r="98">
      <c r="A98" s="3">
        <f t="shared" si="7"/>
        <v>98</v>
      </c>
      <c r="B98" s="572" t="s">
        <v>1051</v>
      </c>
      <c r="C98" s="3" t="str">
        <f t="shared" si="8"/>
        <v>=&gt;</v>
      </c>
      <c r="D98" s="542" t="s">
        <v>1076</v>
      </c>
      <c r="E98" s="3" t="s">
        <v>1054</v>
      </c>
      <c r="F98" s="3" t="s">
        <v>1075</v>
      </c>
      <c r="G98" s="3" t="s">
        <v>62</v>
      </c>
      <c r="H98" s="479" t="s">
        <v>976</v>
      </c>
      <c r="I98" s="3" t="s">
        <v>64</v>
      </c>
      <c r="J98" s="3" t="s">
        <v>6</v>
      </c>
    </row>
    <row r="99">
      <c r="A99" s="3">
        <f t="shared" si="7"/>
        <v>99</v>
      </c>
      <c r="B99" s="591" t="s">
        <v>1062</v>
      </c>
      <c r="C99" s="3" t="str">
        <f t="shared" si="8"/>
        <v>=&gt;</v>
      </c>
      <c r="D99" s="592" t="s">
        <v>1071</v>
      </c>
      <c r="E99" s="537"/>
      <c r="F99" s="537"/>
      <c r="G99" s="537"/>
      <c r="H99" s="537"/>
      <c r="I99" s="537"/>
      <c r="J99" s="537"/>
    </row>
    <row r="100">
      <c r="A100" s="3">
        <f t="shared" si="7"/>
        <v>100</v>
      </c>
      <c r="B100" s="591" t="s">
        <v>1062</v>
      </c>
      <c r="C100" s="3" t="str">
        <f t="shared" si="8"/>
        <v>=&gt;</v>
      </c>
      <c r="D100" s="593" t="s">
        <v>1043</v>
      </c>
      <c r="E100" s="537"/>
      <c r="F100" s="537"/>
      <c r="G100" s="537"/>
      <c r="H100" s="537"/>
      <c r="I100" s="537"/>
      <c r="J100" s="537"/>
    </row>
    <row r="101">
      <c r="A101" s="3">
        <f t="shared" si="7"/>
        <v>101</v>
      </c>
      <c r="B101" s="591" t="s">
        <v>1062</v>
      </c>
      <c r="C101" s="3" t="str">
        <f t="shared" si="8"/>
        <v>=&gt;</v>
      </c>
      <c r="D101" s="594" t="s">
        <v>1022</v>
      </c>
      <c r="E101" s="537"/>
      <c r="F101" s="537"/>
      <c r="G101" s="537"/>
      <c r="H101" s="537"/>
      <c r="I101" s="537"/>
      <c r="J101" s="537"/>
    </row>
    <row r="102">
      <c r="A102" s="3">
        <f t="shared" si="7"/>
        <v>102</v>
      </c>
      <c r="B102" s="592" t="s">
        <v>1071</v>
      </c>
      <c r="C102" s="3" t="str">
        <f t="shared" si="8"/>
        <v>=&gt;</v>
      </c>
      <c r="D102" s="3" t="s">
        <v>1072</v>
      </c>
      <c r="E102" s="3" t="s">
        <v>6</v>
      </c>
      <c r="F102" s="537"/>
      <c r="G102" s="537"/>
      <c r="H102" s="537"/>
      <c r="I102" s="537"/>
      <c r="J102" s="537"/>
    </row>
    <row r="103">
      <c r="A103" s="3">
        <f t="shared" si="7"/>
        <v>103</v>
      </c>
      <c r="B103" s="593" t="s">
        <v>1043</v>
      </c>
      <c r="C103" s="3" t="str">
        <f t="shared" si="8"/>
        <v>=&gt;</v>
      </c>
      <c r="D103" s="542" t="s">
        <v>1073</v>
      </c>
      <c r="E103" s="3" t="s">
        <v>6</v>
      </c>
      <c r="F103" s="537"/>
      <c r="G103" s="537"/>
      <c r="H103" s="537"/>
      <c r="I103" s="537"/>
      <c r="J103" s="537"/>
    </row>
    <row r="104">
      <c r="A104" s="3">
        <f t="shared" si="7"/>
        <v>104</v>
      </c>
      <c r="B104" s="594" t="s">
        <v>1022</v>
      </c>
      <c r="C104" s="3" t="str">
        <f t="shared" si="8"/>
        <v>=&gt;</v>
      </c>
      <c r="D104" s="542" t="s">
        <v>1074</v>
      </c>
      <c r="E104" s="666" t="s">
        <v>28</v>
      </c>
      <c r="F104" s="3" t="s">
        <v>6</v>
      </c>
      <c r="G104" s="537"/>
      <c r="H104" s="537"/>
      <c r="I104" s="537"/>
      <c r="J104" s="537"/>
    </row>
    <row r="105">
      <c r="A105" s="680"/>
      <c r="B105" s="680"/>
      <c r="C105" s="680"/>
      <c r="D105" s="680"/>
      <c r="E105" s="682"/>
      <c r="F105" s="682"/>
      <c r="G105" s="682"/>
      <c r="H105" s="682"/>
      <c r="I105" s="682"/>
      <c r="J105" s="682"/>
    </row>
    <row r="106">
      <c r="A106" s="680"/>
      <c r="B106" s="680"/>
      <c r="C106" s="680"/>
      <c r="D106" s="680"/>
      <c r="E106" s="682"/>
      <c r="F106" s="682"/>
      <c r="G106" s="682"/>
      <c r="H106" s="682"/>
      <c r="I106" s="682"/>
      <c r="J106" s="682"/>
    </row>
    <row r="107">
      <c r="A107" s="680"/>
      <c r="B107" s="680"/>
      <c r="C107" s="680"/>
      <c r="D107" s="680"/>
      <c r="E107" s="682"/>
      <c r="F107" s="682"/>
      <c r="G107" s="682"/>
      <c r="H107" s="682"/>
      <c r="I107" s="682"/>
      <c r="J107" s="682"/>
    </row>
    <row r="108">
      <c r="A108" s="680"/>
      <c r="B108" s="680"/>
      <c r="C108" s="680"/>
      <c r="D108" s="680"/>
      <c r="E108" s="682"/>
      <c r="F108" s="682"/>
      <c r="G108" s="682"/>
      <c r="H108" s="682"/>
      <c r="I108" s="682"/>
      <c r="J108" s="682"/>
    </row>
    <row r="109">
      <c r="A109" s="680"/>
      <c r="B109" s="680"/>
      <c r="C109" s="680"/>
      <c r="D109" s="680"/>
      <c r="E109" s="682"/>
      <c r="F109" s="682"/>
      <c r="G109" s="682"/>
      <c r="H109" s="682"/>
      <c r="I109" s="682"/>
      <c r="J109" s="682"/>
    </row>
    <row r="110">
      <c r="A110" s="680"/>
      <c r="B110" s="680"/>
      <c r="C110" s="680"/>
      <c r="D110" s="680"/>
      <c r="E110" s="682"/>
      <c r="F110" s="682"/>
      <c r="G110" s="682"/>
      <c r="H110" s="682"/>
      <c r="I110" s="682"/>
      <c r="J110" s="682"/>
    </row>
    <row r="111">
      <c r="A111" s="680"/>
      <c r="B111" s="680"/>
      <c r="C111" s="680"/>
      <c r="D111" s="680"/>
      <c r="E111" s="682"/>
      <c r="F111" s="682"/>
      <c r="G111" s="682"/>
      <c r="H111" s="682"/>
      <c r="I111" s="682"/>
      <c r="J111" s="682"/>
    </row>
    <row r="112">
      <c r="A112" s="680"/>
      <c r="B112" s="680"/>
      <c r="C112" s="680"/>
      <c r="D112" s="680"/>
      <c r="E112" s="682"/>
      <c r="F112" s="682"/>
      <c r="G112" s="682"/>
      <c r="H112" s="682"/>
      <c r="I112" s="682"/>
      <c r="J112" s="68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0.5"/>
    <col customWidth="1" min="3" max="3" width="3.0"/>
    <col customWidth="1" min="4" max="4" width="20.5"/>
    <col customWidth="1" min="5" max="5" width="18.63"/>
    <col customWidth="1" min="6" max="6" width="17.75"/>
    <col customWidth="1" min="7" max="7" width="18.63"/>
    <col customWidth="1" min="8" max="8" width="17.63"/>
    <col customWidth="1" min="9" max="9" width="17.75"/>
    <col customWidth="1" min="10" max="10" width="15.0"/>
    <col customWidth="1" min="11" max="11" width="16.0"/>
    <col customWidth="1" min="12" max="12" width="17.75"/>
  </cols>
  <sheetData>
    <row r="1">
      <c r="A1" s="3">
        <f t="shared" ref="A1:A188" si="1">ROW()</f>
        <v>1</v>
      </c>
      <c r="B1" s="340" t="s">
        <v>0</v>
      </c>
      <c r="C1" s="3" t="str">
        <f t="shared" ref="C1:C188" si="2">"=&gt;"</f>
        <v>=&gt;</v>
      </c>
      <c r="D1" s="341" t="s">
        <v>836</v>
      </c>
      <c r="E1" s="342" t="s">
        <v>837</v>
      </c>
      <c r="F1" s="3" t="s">
        <v>838</v>
      </c>
      <c r="G1" s="3" t="s">
        <v>62</v>
      </c>
      <c r="H1" s="3" t="s">
        <v>64</v>
      </c>
      <c r="I1" s="651" t="s">
        <v>839</v>
      </c>
      <c r="J1" s="537"/>
      <c r="K1" s="100"/>
    </row>
    <row r="2">
      <c r="A2" s="3">
        <f t="shared" si="1"/>
        <v>2</v>
      </c>
      <c r="B2" s="341" t="s">
        <v>836</v>
      </c>
      <c r="C2" s="3" t="str">
        <f t="shared" si="2"/>
        <v>=&gt;</v>
      </c>
      <c r="D2" s="652" t="s">
        <v>1128</v>
      </c>
      <c r="E2" s="341" t="s">
        <v>836</v>
      </c>
      <c r="F2" s="100"/>
      <c r="G2" s="537"/>
      <c r="H2" s="537"/>
      <c r="I2" s="537"/>
      <c r="J2" s="537"/>
      <c r="K2" s="537"/>
    </row>
    <row r="3">
      <c r="A3" s="3">
        <f t="shared" si="1"/>
        <v>3</v>
      </c>
      <c r="B3" s="341" t="s">
        <v>836</v>
      </c>
      <c r="C3" s="3" t="str">
        <f t="shared" si="2"/>
        <v>=&gt;</v>
      </c>
      <c r="D3" s="348" t="s">
        <v>848</v>
      </c>
      <c r="E3" s="341" t="s">
        <v>836</v>
      </c>
      <c r="F3" s="100"/>
      <c r="G3" s="537"/>
      <c r="H3" s="537"/>
      <c r="I3" s="537"/>
      <c r="J3" s="537"/>
      <c r="K3" s="537"/>
    </row>
    <row r="4">
      <c r="A4" s="3">
        <f t="shared" si="1"/>
        <v>4</v>
      </c>
      <c r="B4" s="341" t="s">
        <v>836</v>
      </c>
      <c r="C4" s="3" t="str">
        <f t="shared" si="2"/>
        <v>=&gt;</v>
      </c>
      <c r="D4" s="3" t="s">
        <v>14</v>
      </c>
      <c r="E4" s="349" t="s">
        <v>849</v>
      </c>
      <c r="F4" s="341" t="s">
        <v>836</v>
      </c>
      <c r="G4" s="537"/>
      <c r="H4" s="537"/>
      <c r="I4" s="537"/>
      <c r="J4" s="537"/>
      <c r="K4" s="537"/>
    </row>
    <row r="5">
      <c r="A5" s="3">
        <f t="shared" si="1"/>
        <v>5</v>
      </c>
      <c r="B5" s="341" t="s">
        <v>836</v>
      </c>
      <c r="C5" s="3" t="str">
        <f t="shared" si="2"/>
        <v>=&gt;</v>
      </c>
      <c r="D5" s="3" t="s">
        <v>8</v>
      </c>
      <c r="E5" s="537"/>
      <c r="F5" s="537"/>
      <c r="G5" s="537"/>
      <c r="H5" s="537"/>
      <c r="I5" s="537"/>
      <c r="J5" s="537"/>
      <c r="K5" s="537"/>
    </row>
    <row r="6">
      <c r="A6" s="3">
        <f t="shared" si="1"/>
        <v>6</v>
      </c>
      <c r="B6" s="652" t="s">
        <v>1128</v>
      </c>
      <c r="C6" s="3" t="str">
        <f t="shared" si="2"/>
        <v>=&gt;</v>
      </c>
      <c r="D6" s="3" t="s">
        <v>840</v>
      </c>
      <c r="E6" s="351" t="s">
        <v>852</v>
      </c>
      <c r="F6" s="100"/>
      <c r="G6" s="100"/>
      <c r="H6" s="537"/>
      <c r="I6" s="537"/>
      <c r="J6" s="537"/>
      <c r="K6" s="537"/>
    </row>
    <row r="7">
      <c r="A7" s="3">
        <f t="shared" si="1"/>
        <v>7</v>
      </c>
      <c r="B7" s="652" t="s">
        <v>1128</v>
      </c>
      <c r="C7" s="3" t="str">
        <f t="shared" si="2"/>
        <v>=&gt;</v>
      </c>
      <c r="D7" s="3" t="s">
        <v>844</v>
      </c>
      <c r="E7" s="351" t="s">
        <v>852</v>
      </c>
      <c r="F7" s="100"/>
      <c r="G7" s="100"/>
      <c r="H7" s="537"/>
      <c r="I7" s="537"/>
      <c r="J7" s="537"/>
      <c r="K7" s="537"/>
    </row>
    <row r="8">
      <c r="A8" s="3">
        <f t="shared" si="1"/>
        <v>8</v>
      </c>
      <c r="B8" s="652" t="s">
        <v>1128</v>
      </c>
      <c r="C8" s="3" t="str">
        <f t="shared" si="2"/>
        <v>=&gt;</v>
      </c>
      <c r="D8" s="3" t="s">
        <v>846</v>
      </c>
      <c r="E8" s="351" t="s">
        <v>852</v>
      </c>
      <c r="F8" s="100"/>
      <c r="G8" s="100"/>
      <c r="H8" s="537"/>
      <c r="I8" s="537"/>
      <c r="J8" s="537"/>
      <c r="K8" s="537"/>
    </row>
    <row r="9">
      <c r="A9" s="3">
        <f t="shared" si="1"/>
        <v>9</v>
      </c>
      <c r="B9" s="652" t="s">
        <v>1128</v>
      </c>
      <c r="C9" s="3" t="str">
        <f t="shared" si="2"/>
        <v>=&gt;</v>
      </c>
      <c r="D9" s="3" t="s">
        <v>842</v>
      </c>
      <c r="E9" s="351" t="s">
        <v>852</v>
      </c>
      <c r="F9" s="100"/>
      <c r="G9" s="100"/>
      <c r="H9" s="537"/>
      <c r="I9" s="537"/>
      <c r="J9" s="537"/>
      <c r="K9" s="537"/>
    </row>
    <row r="10">
      <c r="A10" s="3">
        <f t="shared" si="1"/>
        <v>10</v>
      </c>
      <c r="B10" s="351" t="s">
        <v>852</v>
      </c>
      <c r="C10" s="3" t="str">
        <f t="shared" si="2"/>
        <v>=&gt;</v>
      </c>
      <c r="D10" s="3" t="s">
        <v>850</v>
      </c>
      <c r="E10" s="600" t="s">
        <v>1082</v>
      </c>
      <c r="F10" s="3" t="s">
        <v>6</v>
      </c>
      <c r="G10" s="537"/>
      <c r="H10" s="537"/>
      <c r="I10" s="537"/>
      <c r="J10" s="537"/>
      <c r="K10" s="537"/>
    </row>
    <row r="11">
      <c r="A11" s="3">
        <f t="shared" si="1"/>
        <v>11</v>
      </c>
      <c r="B11" s="351" t="s">
        <v>852</v>
      </c>
      <c r="C11" s="3" t="str">
        <f t="shared" si="2"/>
        <v>=&gt;</v>
      </c>
      <c r="D11" s="462" t="s">
        <v>962</v>
      </c>
      <c r="E11" s="3" t="s">
        <v>850</v>
      </c>
      <c r="F11" s="463" t="s">
        <v>963</v>
      </c>
      <c r="G11" s="3" t="s">
        <v>6</v>
      </c>
      <c r="H11" s="537"/>
      <c r="I11" s="100"/>
      <c r="J11" s="100"/>
      <c r="K11" s="537"/>
    </row>
    <row r="12">
      <c r="A12" s="3">
        <f t="shared" si="1"/>
        <v>12</v>
      </c>
      <c r="B12" s="600" t="s">
        <v>1082</v>
      </c>
      <c r="C12" s="3" t="str">
        <f t="shared" si="2"/>
        <v>=&gt;</v>
      </c>
      <c r="D12" s="3" t="s">
        <v>14</v>
      </c>
      <c r="E12" s="601" t="s">
        <v>1083</v>
      </c>
      <c r="F12" s="602" t="s">
        <v>1084</v>
      </c>
      <c r="G12" s="100"/>
      <c r="H12" s="537"/>
      <c r="I12" s="537"/>
      <c r="J12" s="100"/>
      <c r="K12" s="537"/>
    </row>
    <row r="13">
      <c r="A13" s="3">
        <f t="shared" si="1"/>
        <v>13</v>
      </c>
      <c r="B13" s="601" t="s">
        <v>1083</v>
      </c>
      <c r="C13" s="3" t="str">
        <f t="shared" si="2"/>
        <v>=&gt;</v>
      </c>
      <c r="D13" s="3" t="str">
        <f>"="</f>
        <v>=</v>
      </c>
      <c r="E13" s="603" t="s">
        <v>1085</v>
      </c>
      <c r="F13" s="100"/>
      <c r="G13" s="100"/>
      <c r="H13" s="537"/>
      <c r="I13" s="537"/>
      <c r="J13" s="537"/>
      <c r="K13" s="537"/>
    </row>
    <row r="14">
      <c r="A14" s="3">
        <f t="shared" si="1"/>
        <v>14</v>
      </c>
      <c r="B14" s="601" t="s">
        <v>1083</v>
      </c>
      <c r="C14" s="3" t="str">
        <f t="shared" si="2"/>
        <v>=&gt;</v>
      </c>
      <c r="D14" s="3" t="s">
        <v>8</v>
      </c>
      <c r="E14" s="537"/>
      <c r="F14" s="100"/>
      <c r="G14" s="100"/>
      <c r="H14" s="537"/>
      <c r="I14" s="537"/>
      <c r="J14" s="537"/>
      <c r="K14" s="537"/>
    </row>
    <row r="15">
      <c r="A15" s="3">
        <f t="shared" si="1"/>
        <v>15</v>
      </c>
      <c r="B15" s="602" t="s">
        <v>1084</v>
      </c>
      <c r="C15" s="3" t="str">
        <f t="shared" si="2"/>
        <v>=&gt;</v>
      </c>
      <c r="D15" s="3" t="s">
        <v>38</v>
      </c>
      <c r="E15" s="3" t="s">
        <v>14</v>
      </c>
      <c r="F15" s="601" t="s">
        <v>1083</v>
      </c>
      <c r="G15" s="602" t="s">
        <v>1084</v>
      </c>
      <c r="H15" s="537"/>
      <c r="I15" s="537"/>
      <c r="J15" s="537"/>
      <c r="K15" s="537"/>
    </row>
    <row r="16">
      <c r="A16" s="3">
        <f t="shared" si="1"/>
        <v>16</v>
      </c>
      <c r="B16" s="602" t="s">
        <v>1084</v>
      </c>
      <c r="C16" s="3" t="str">
        <f t="shared" si="2"/>
        <v>=&gt;</v>
      </c>
      <c r="D16" s="3" t="s">
        <v>8</v>
      </c>
      <c r="E16" s="100"/>
      <c r="F16" s="537"/>
      <c r="G16" s="100"/>
      <c r="H16" s="537"/>
      <c r="I16" s="537"/>
      <c r="J16" s="537"/>
      <c r="K16" s="537"/>
    </row>
    <row r="17">
      <c r="A17" s="3">
        <f t="shared" si="1"/>
        <v>17</v>
      </c>
      <c r="B17" s="603" t="s">
        <v>1085</v>
      </c>
      <c r="C17" s="3" t="str">
        <f t="shared" si="2"/>
        <v>=&gt;</v>
      </c>
      <c r="D17" s="604" t="s">
        <v>1086</v>
      </c>
      <c r="E17" s="537"/>
      <c r="F17" s="100"/>
      <c r="G17" s="537"/>
      <c r="H17" s="537"/>
      <c r="I17" s="537"/>
      <c r="J17" s="537"/>
      <c r="K17" s="537"/>
    </row>
    <row r="18">
      <c r="A18" s="3">
        <f t="shared" si="1"/>
        <v>18</v>
      </c>
      <c r="B18" s="604" t="s">
        <v>1086</v>
      </c>
      <c r="C18" s="3" t="str">
        <f t="shared" si="2"/>
        <v>=&gt;</v>
      </c>
      <c r="D18" s="605" t="s">
        <v>154</v>
      </c>
      <c r="E18" s="606" t="s">
        <v>155</v>
      </c>
      <c r="F18" s="537"/>
      <c r="G18" s="537"/>
      <c r="H18" s="537"/>
      <c r="I18" s="537"/>
      <c r="J18" s="537"/>
      <c r="K18" s="537"/>
    </row>
    <row r="19">
      <c r="A19" s="3">
        <f t="shared" si="1"/>
        <v>19</v>
      </c>
      <c r="B19" s="607" t="s">
        <v>154</v>
      </c>
      <c r="C19" s="3" t="str">
        <f t="shared" si="2"/>
        <v>=&gt;</v>
      </c>
      <c r="D19" s="608" t="s">
        <v>1087</v>
      </c>
      <c r="E19" s="609" t="s">
        <v>157</v>
      </c>
      <c r="F19" s="537"/>
      <c r="G19" s="537"/>
      <c r="H19" s="537"/>
      <c r="I19" s="537"/>
      <c r="J19" s="537"/>
      <c r="K19" s="537"/>
    </row>
    <row r="20">
      <c r="A20" s="3">
        <f t="shared" si="1"/>
        <v>20</v>
      </c>
      <c r="B20" s="606" t="s">
        <v>155</v>
      </c>
      <c r="C20" s="3" t="str">
        <f t="shared" si="2"/>
        <v>=&gt;</v>
      </c>
      <c r="D20" s="3" t="s">
        <v>937</v>
      </c>
      <c r="E20" s="605" t="s">
        <v>154</v>
      </c>
      <c r="F20" s="610" t="s">
        <v>155</v>
      </c>
      <c r="G20" s="537"/>
      <c r="H20" s="537"/>
      <c r="I20" s="537"/>
      <c r="J20" s="537"/>
      <c r="K20" s="537"/>
    </row>
    <row r="21">
      <c r="A21" s="3">
        <f t="shared" si="1"/>
        <v>21</v>
      </c>
      <c r="B21" s="610" t="s">
        <v>155</v>
      </c>
      <c r="C21" s="3" t="str">
        <f t="shared" si="2"/>
        <v>=&gt;</v>
      </c>
      <c r="D21" s="3" t="s">
        <v>8</v>
      </c>
      <c r="E21" s="537"/>
      <c r="F21" s="537"/>
      <c r="G21" s="537"/>
      <c r="H21" s="537"/>
      <c r="I21" s="537"/>
      <c r="J21" s="537"/>
      <c r="K21" s="537"/>
    </row>
    <row r="22">
      <c r="A22" s="3">
        <f t="shared" si="1"/>
        <v>22</v>
      </c>
      <c r="B22" s="608" t="s">
        <v>1087</v>
      </c>
      <c r="C22" s="3" t="str">
        <f t="shared" si="2"/>
        <v>=&gt;</v>
      </c>
      <c r="D22" s="611" t="s">
        <v>110</v>
      </c>
      <c r="E22" s="612" t="s">
        <v>1088</v>
      </c>
      <c r="F22" s="537"/>
      <c r="G22" s="537"/>
      <c r="H22" s="537"/>
      <c r="I22" s="537"/>
      <c r="J22" s="537"/>
      <c r="K22" s="537"/>
    </row>
    <row r="23">
      <c r="A23" s="3">
        <f t="shared" si="1"/>
        <v>23</v>
      </c>
      <c r="B23" s="609" t="s">
        <v>157</v>
      </c>
      <c r="C23" s="3" t="str">
        <f t="shared" si="2"/>
        <v>=&gt;</v>
      </c>
      <c r="D23" s="3" t="s">
        <v>936</v>
      </c>
      <c r="E23" s="608" t="s">
        <v>1087</v>
      </c>
      <c r="F23" s="609" t="s">
        <v>157</v>
      </c>
      <c r="G23" s="537"/>
      <c r="H23" s="537"/>
      <c r="I23" s="537"/>
      <c r="J23" s="537"/>
      <c r="K23" s="537"/>
    </row>
    <row r="24">
      <c r="A24" s="3">
        <f t="shared" si="1"/>
        <v>24</v>
      </c>
      <c r="B24" s="609" t="s">
        <v>157</v>
      </c>
      <c r="C24" s="3" t="str">
        <f t="shared" si="2"/>
        <v>=&gt;</v>
      </c>
      <c r="D24" s="3" t="s">
        <v>8</v>
      </c>
      <c r="E24" s="537"/>
      <c r="F24" s="537"/>
      <c r="G24" s="537"/>
      <c r="H24" s="537"/>
      <c r="I24" s="537"/>
      <c r="J24" s="537"/>
      <c r="K24" s="537"/>
    </row>
    <row r="25">
      <c r="A25" s="3">
        <f t="shared" si="1"/>
        <v>25</v>
      </c>
      <c r="B25" s="611" t="s">
        <v>110</v>
      </c>
      <c r="C25" s="3" t="str">
        <f t="shared" si="2"/>
        <v>=&gt;</v>
      </c>
      <c r="D25" s="613" t="s">
        <v>1089</v>
      </c>
      <c r="E25" s="614" t="s">
        <v>1090</v>
      </c>
      <c r="F25" s="537"/>
      <c r="G25" s="537"/>
      <c r="H25" s="537"/>
      <c r="I25" s="537"/>
      <c r="J25" s="537"/>
      <c r="K25" s="537"/>
    </row>
    <row r="26">
      <c r="A26" s="3">
        <f t="shared" si="1"/>
        <v>26</v>
      </c>
      <c r="B26" s="612" t="s">
        <v>1088</v>
      </c>
      <c r="C26" s="3" t="str">
        <f t="shared" si="2"/>
        <v>=&gt;</v>
      </c>
      <c r="D26" s="615" t="s">
        <v>934</v>
      </c>
      <c r="E26" s="611" t="s">
        <v>110</v>
      </c>
      <c r="F26" s="612" t="s">
        <v>1088</v>
      </c>
      <c r="G26" s="537"/>
      <c r="H26" s="537"/>
      <c r="I26" s="537"/>
      <c r="J26" s="537"/>
      <c r="K26" s="537"/>
    </row>
    <row r="27">
      <c r="A27" s="3">
        <f t="shared" si="1"/>
        <v>27</v>
      </c>
      <c r="B27" s="612" t="s">
        <v>1088</v>
      </c>
      <c r="C27" s="3" t="str">
        <f t="shared" si="2"/>
        <v>=&gt;</v>
      </c>
      <c r="D27" s="8" t="s">
        <v>163</v>
      </c>
      <c r="E27" s="611" t="s">
        <v>110</v>
      </c>
      <c r="F27" s="612" t="s">
        <v>1088</v>
      </c>
      <c r="G27" s="537"/>
      <c r="H27" s="537"/>
      <c r="I27" s="537"/>
      <c r="J27" s="537"/>
      <c r="K27" s="537"/>
    </row>
    <row r="28">
      <c r="A28" s="3">
        <f t="shared" si="1"/>
        <v>28</v>
      </c>
      <c r="B28" s="612" t="s">
        <v>1088</v>
      </c>
      <c r="C28" s="3" t="str">
        <f t="shared" si="2"/>
        <v>=&gt;</v>
      </c>
      <c r="D28" s="3" t="s">
        <v>8</v>
      </c>
      <c r="E28" s="537"/>
      <c r="F28" s="537"/>
      <c r="G28" s="537"/>
      <c r="H28" s="537"/>
      <c r="I28" s="537"/>
      <c r="J28" s="537"/>
      <c r="K28" s="537"/>
    </row>
    <row r="29">
      <c r="A29" s="3">
        <f t="shared" si="1"/>
        <v>29</v>
      </c>
      <c r="B29" s="613" t="s">
        <v>1089</v>
      </c>
      <c r="C29" s="3" t="str">
        <f t="shared" si="2"/>
        <v>=&gt;</v>
      </c>
      <c r="D29" s="616" t="s">
        <v>1091</v>
      </c>
      <c r="E29" s="617" t="s">
        <v>1092</v>
      </c>
      <c r="F29" s="537"/>
      <c r="G29" s="537"/>
      <c r="H29" s="537"/>
      <c r="I29" s="537"/>
      <c r="J29" s="537"/>
      <c r="K29" s="537"/>
    </row>
    <row r="30">
      <c r="A30" s="3">
        <f t="shared" si="1"/>
        <v>30</v>
      </c>
      <c r="B30" s="614" t="s">
        <v>1090</v>
      </c>
      <c r="C30" s="3" t="str">
        <f t="shared" si="2"/>
        <v>=&gt;</v>
      </c>
      <c r="D30" s="3" t="s">
        <v>164</v>
      </c>
      <c r="E30" s="613" t="s">
        <v>1089</v>
      </c>
      <c r="F30" s="614" t="s">
        <v>1090</v>
      </c>
      <c r="G30" s="537"/>
      <c r="H30" s="537"/>
      <c r="I30" s="537"/>
      <c r="J30" s="537"/>
      <c r="K30" s="537"/>
    </row>
    <row r="31">
      <c r="A31" s="3">
        <f t="shared" si="1"/>
        <v>31</v>
      </c>
      <c r="B31" s="614" t="s">
        <v>1090</v>
      </c>
      <c r="C31" s="3" t="str">
        <f t="shared" si="2"/>
        <v>=&gt;</v>
      </c>
      <c r="D31" s="3" t="s">
        <v>165</v>
      </c>
      <c r="E31" s="613" t="s">
        <v>1089</v>
      </c>
      <c r="F31" s="614" t="s">
        <v>1090</v>
      </c>
      <c r="G31" s="537"/>
      <c r="H31" s="537"/>
      <c r="I31" s="537"/>
      <c r="J31" s="537"/>
      <c r="K31" s="537"/>
    </row>
    <row r="32">
      <c r="A32" s="3">
        <f t="shared" si="1"/>
        <v>32</v>
      </c>
      <c r="B32" s="614" t="s">
        <v>1090</v>
      </c>
      <c r="C32" s="3" t="str">
        <f t="shared" si="2"/>
        <v>=&gt;</v>
      </c>
      <c r="D32" s="3" t="s">
        <v>166</v>
      </c>
      <c r="E32" s="613" t="s">
        <v>1089</v>
      </c>
      <c r="F32" s="614" t="s">
        <v>1090</v>
      </c>
      <c r="G32" s="537"/>
      <c r="H32" s="537"/>
      <c r="I32" s="537"/>
      <c r="J32" s="537"/>
      <c r="K32" s="537"/>
    </row>
    <row r="33">
      <c r="A33" s="3">
        <f t="shared" si="1"/>
        <v>33</v>
      </c>
      <c r="B33" s="614" t="s">
        <v>1090</v>
      </c>
      <c r="C33" s="3" t="str">
        <f t="shared" si="2"/>
        <v>=&gt;</v>
      </c>
      <c r="D33" s="3" t="s">
        <v>167</v>
      </c>
      <c r="E33" s="613" t="s">
        <v>1089</v>
      </c>
      <c r="F33" s="614" t="s">
        <v>1090</v>
      </c>
      <c r="G33" s="537"/>
      <c r="H33" s="537"/>
      <c r="I33" s="537"/>
      <c r="J33" s="537"/>
      <c r="K33" s="537"/>
    </row>
    <row r="34">
      <c r="A34" s="3">
        <f t="shared" si="1"/>
        <v>34</v>
      </c>
      <c r="B34" s="614" t="s">
        <v>1090</v>
      </c>
      <c r="C34" s="3" t="str">
        <f t="shared" si="2"/>
        <v>=&gt;</v>
      </c>
      <c r="D34" s="3" t="s">
        <v>8</v>
      </c>
      <c r="E34" s="537"/>
      <c r="F34" s="537"/>
      <c r="G34" s="537"/>
      <c r="H34" s="537"/>
      <c r="I34" s="537"/>
      <c r="J34" s="537"/>
      <c r="K34" s="537"/>
    </row>
    <row r="35">
      <c r="A35" s="3">
        <f t="shared" si="1"/>
        <v>35</v>
      </c>
      <c r="B35" s="616" t="s">
        <v>1091</v>
      </c>
      <c r="C35" s="3" t="str">
        <f t="shared" si="2"/>
        <v>=&gt;</v>
      </c>
      <c r="D35" s="621" t="s">
        <v>1093</v>
      </c>
      <c r="E35" s="622" t="s">
        <v>1094</v>
      </c>
      <c r="F35" s="537"/>
      <c r="G35" s="100"/>
      <c r="H35" s="537"/>
      <c r="I35" s="537"/>
      <c r="J35" s="537"/>
      <c r="K35" s="537"/>
    </row>
    <row r="36">
      <c r="A36" s="3">
        <f t="shared" si="1"/>
        <v>36</v>
      </c>
      <c r="B36" s="617" t="s">
        <v>1092</v>
      </c>
      <c r="C36" s="3" t="str">
        <f t="shared" si="2"/>
        <v>=&gt;</v>
      </c>
      <c r="D36" s="615" t="s">
        <v>924</v>
      </c>
      <c r="E36" s="616" t="s">
        <v>1091</v>
      </c>
      <c r="F36" s="617" t="s">
        <v>1092</v>
      </c>
      <c r="G36" s="537"/>
      <c r="H36" s="537"/>
      <c r="I36" s="537"/>
      <c r="J36" s="537"/>
      <c r="K36" s="537"/>
    </row>
    <row r="37">
      <c r="A37" s="3">
        <f t="shared" si="1"/>
        <v>37</v>
      </c>
      <c r="B37" s="617" t="s">
        <v>1092</v>
      </c>
      <c r="C37" s="3" t="str">
        <f t="shared" si="2"/>
        <v>=&gt;</v>
      </c>
      <c r="D37" s="615" t="s">
        <v>41</v>
      </c>
      <c r="E37" s="616" t="s">
        <v>1091</v>
      </c>
      <c r="F37" s="617" t="s">
        <v>1092</v>
      </c>
      <c r="G37" s="537"/>
      <c r="H37" s="537"/>
      <c r="I37" s="537"/>
      <c r="J37" s="537"/>
      <c r="K37" s="537"/>
    </row>
    <row r="38">
      <c r="A38" s="3">
        <f t="shared" si="1"/>
        <v>38</v>
      </c>
      <c r="B38" s="617" t="s">
        <v>1092</v>
      </c>
      <c r="C38" s="3" t="str">
        <f t="shared" si="2"/>
        <v>=&gt;</v>
      </c>
      <c r="D38" s="3" t="s">
        <v>8</v>
      </c>
      <c r="E38" s="537"/>
      <c r="F38" s="537"/>
      <c r="G38" s="100"/>
      <c r="H38" s="537"/>
      <c r="I38" s="537"/>
      <c r="J38" s="537"/>
      <c r="K38" s="537"/>
    </row>
    <row r="39">
      <c r="A39" s="3">
        <f t="shared" si="1"/>
        <v>39</v>
      </c>
      <c r="B39" s="621" t="s">
        <v>1093</v>
      </c>
      <c r="C39" s="3" t="str">
        <f t="shared" si="2"/>
        <v>=&gt;</v>
      </c>
      <c r="D39" s="8" t="s">
        <v>885</v>
      </c>
      <c r="E39" s="621" t="s">
        <v>1093</v>
      </c>
      <c r="F39" s="537"/>
      <c r="G39" s="537"/>
      <c r="H39" s="537"/>
      <c r="I39" s="537"/>
      <c r="J39" s="537"/>
      <c r="K39" s="537"/>
    </row>
    <row r="40">
      <c r="A40" s="3">
        <f t="shared" si="1"/>
        <v>40</v>
      </c>
      <c r="B40" s="621" t="s">
        <v>1093</v>
      </c>
      <c r="C40" s="3" t="str">
        <f t="shared" si="2"/>
        <v>=&gt;</v>
      </c>
      <c r="D40" s="624" t="s">
        <v>1095</v>
      </c>
      <c r="E40" s="537"/>
      <c r="F40" s="537"/>
      <c r="G40" s="537"/>
      <c r="H40" s="537"/>
      <c r="I40" s="537"/>
      <c r="J40" s="537"/>
      <c r="K40" s="537"/>
    </row>
    <row r="41">
      <c r="A41" s="3">
        <f t="shared" si="1"/>
        <v>41</v>
      </c>
      <c r="B41" s="622" t="s">
        <v>1094</v>
      </c>
      <c r="C41" s="3" t="str">
        <f t="shared" si="2"/>
        <v>=&gt;</v>
      </c>
      <c r="D41" s="3" t="s">
        <v>887</v>
      </c>
      <c r="E41" s="621" t="s">
        <v>1093</v>
      </c>
      <c r="F41" s="622" t="s">
        <v>1094</v>
      </c>
      <c r="G41" s="537"/>
      <c r="H41" s="537"/>
      <c r="I41" s="537"/>
      <c r="J41" s="537"/>
      <c r="K41" s="537"/>
    </row>
    <row r="42">
      <c r="A42" s="3">
        <f t="shared" si="1"/>
        <v>42</v>
      </c>
      <c r="B42" s="622" t="s">
        <v>1094</v>
      </c>
      <c r="C42" s="3" t="str">
        <f t="shared" si="2"/>
        <v>=&gt;</v>
      </c>
      <c r="D42" s="3" t="s">
        <v>120</v>
      </c>
      <c r="E42" s="621" t="s">
        <v>1093</v>
      </c>
      <c r="F42" s="622" t="s">
        <v>1094</v>
      </c>
      <c r="G42" s="537"/>
      <c r="H42" s="537"/>
      <c r="I42" s="537"/>
      <c r="J42" s="537"/>
      <c r="K42" s="537"/>
    </row>
    <row r="43">
      <c r="A43" s="3">
        <f t="shared" si="1"/>
        <v>43</v>
      </c>
      <c r="B43" s="622" t="s">
        <v>1094</v>
      </c>
      <c r="C43" s="3" t="str">
        <f t="shared" si="2"/>
        <v>=&gt;</v>
      </c>
      <c r="D43" s="3" t="s">
        <v>121</v>
      </c>
      <c r="E43" s="621" t="s">
        <v>1093</v>
      </c>
      <c r="F43" s="622" t="s">
        <v>1094</v>
      </c>
      <c r="G43" s="537"/>
      <c r="H43" s="537"/>
      <c r="I43" s="537"/>
      <c r="J43" s="537"/>
      <c r="K43" s="537"/>
    </row>
    <row r="44">
      <c r="A44" s="3">
        <f t="shared" si="1"/>
        <v>44</v>
      </c>
      <c r="B44" s="622" t="s">
        <v>1094</v>
      </c>
      <c r="C44" s="3" t="str">
        <f t="shared" si="2"/>
        <v>=&gt;</v>
      </c>
      <c r="D44" s="3" t="s">
        <v>8</v>
      </c>
      <c r="E44" s="537"/>
      <c r="F44" s="537"/>
      <c r="G44" s="537"/>
      <c r="H44" s="537"/>
      <c r="I44" s="537"/>
      <c r="J44" s="537"/>
      <c r="K44" s="537"/>
    </row>
    <row r="45">
      <c r="A45" s="3">
        <f t="shared" si="1"/>
        <v>45</v>
      </c>
      <c r="B45" s="624" t="s">
        <v>1095</v>
      </c>
      <c r="C45" s="3" t="str">
        <f t="shared" si="2"/>
        <v>=&gt;</v>
      </c>
      <c r="D45" s="3" t="s">
        <v>62</v>
      </c>
      <c r="E45" s="603" t="s">
        <v>1085</v>
      </c>
      <c r="F45" s="3" t="s">
        <v>64</v>
      </c>
      <c r="G45" s="537"/>
      <c r="H45" s="537"/>
      <c r="I45" s="537"/>
      <c r="J45" s="537"/>
      <c r="K45" s="537"/>
    </row>
    <row r="46">
      <c r="A46" s="3">
        <f t="shared" si="1"/>
        <v>46</v>
      </c>
      <c r="B46" s="624" t="s">
        <v>1095</v>
      </c>
      <c r="C46" s="3" t="str">
        <f t="shared" si="2"/>
        <v>=&gt;</v>
      </c>
      <c r="D46" s="3" t="s">
        <v>868</v>
      </c>
      <c r="E46" s="537"/>
      <c r="F46" s="537"/>
      <c r="G46" s="537"/>
      <c r="H46" s="537"/>
      <c r="I46" s="537"/>
      <c r="J46" s="537"/>
      <c r="K46" s="537"/>
    </row>
    <row r="47">
      <c r="A47" s="3">
        <f t="shared" si="1"/>
        <v>47</v>
      </c>
      <c r="B47" s="624" t="s">
        <v>1095</v>
      </c>
      <c r="C47" s="3" t="str">
        <f t="shared" si="2"/>
        <v>=&gt;</v>
      </c>
      <c r="D47" s="3" t="s">
        <v>902</v>
      </c>
      <c r="E47" s="537"/>
      <c r="F47" s="537"/>
      <c r="G47" s="537"/>
      <c r="H47" s="537"/>
      <c r="I47" s="537"/>
      <c r="J47" s="537"/>
      <c r="K47" s="537"/>
    </row>
    <row r="48">
      <c r="A48" s="3">
        <f t="shared" si="1"/>
        <v>48</v>
      </c>
      <c r="B48" s="624" t="s">
        <v>1095</v>
      </c>
      <c r="C48" s="3" t="str">
        <f t="shared" si="2"/>
        <v>=&gt;</v>
      </c>
      <c r="D48" s="3" t="s">
        <v>903</v>
      </c>
      <c r="E48" s="537"/>
      <c r="F48" s="537"/>
      <c r="G48" s="537"/>
      <c r="H48" s="537"/>
      <c r="I48" s="537"/>
      <c r="J48" s="537"/>
      <c r="K48" s="537"/>
    </row>
    <row r="49">
      <c r="A49" s="3">
        <f t="shared" si="1"/>
        <v>49</v>
      </c>
      <c r="B49" s="624" t="s">
        <v>1095</v>
      </c>
      <c r="C49" s="3" t="str">
        <f t="shared" si="2"/>
        <v>=&gt;</v>
      </c>
      <c r="D49" s="3" t="s">
        <v>904</v>
      </c>
      <c r="E49" s="100"/>
      <c r="F49" s="537"/>
      <c r="G49" s="537"/>
      <c r="H49" s="537"/>
      <c r="I49" s="537"/>
      <c r="J49" s="537"/>
      <c r="K49" s="537"/>
    </row>
    <row r="50">
      <c r="A50" s="3">
        <f t="shared" si="1"/>
        <v>50</v>
      </c>
      <c r="B50" s="624" t="s">
        <v>1095</v>
      </c>
      <c r="C50" s="3" t="str">
        <f t="shared" si="2"/>
        <v>=&gt;</v>
      </c>
      <c r="D50" s="8" t="s">
        <v>14</v>
      </c>
      <c r="E50" s="388" t="s">
        <v>890</v>
      </c>
      <c r="F50" s="537"/>
      <c r="G50" s="537"/>
      <c r="H50" s="537"/>
      <c r="I50" s="537"/>
      <c r="J50" s="537"/>
      <c r="K50" s="537"/>
    </row>
    <row r="51">
      <c r="A51" s="3">
        <f t="shared" si="1"/>
        <v>51</v>
      </c>
      <c r="B51" s="624" t="s">
        <v>1095</v>
      </c>
      <c r="C51" s="3" t="str">
        <f t="shared" si="2"/>
        <v>=&gt;</v>
      </c>
      <c r="D51" s="547" t="s">
        <v>1019</v>
      </c>
      <c r="E51" s="100"/>
      <c r="F51" s="100"/>
      <c r="G51" s="537"/>
      <c r="H51" s="537"/>
      <c r="I51" s="537"/>
      <c r="J51" s="537"/>
      <c r="K51" s="537"/>
    </row>
    <row r="52">
      <c r="A52" s="3">
        <f t="shared" si="1"/>
        <v>52</v>
      </c>
      <c r="B52" s="388" t="s">
        <v>890</v>
      </c>
      <c r="C52" s="3" t="str">
        <f t="shared" si="2"/>
        <v>=&gt;</v>
      </c>
      <c r="D52" s="392" t="s">
        <v>893</v>
      </c>
      <c r="E52" s="393" t="s">
        <v>894</v>
      </c>
      <c r="F52" s="537"/>
      <c r="G52" s="537"/>
      <c r="H52" s="537"/>
      <c r="I52" s="537"/>
      <c r="J52" s="537"/>
      <c r="K52" s="537"/>
    </row>
    <row r="53">
      <c r="A53" s="3">
        <f t="shared" si="1"/>
        <v>53</v>
      </c>
      <c r="B53" s="392" t="s">
        <v>893</v>
      </c>
      <c r="C53" s="3" t="str">
        <f t="shared" si="2"/>
        <v>=&gt;</v>
      </c>
      <c r="D53" s="3" t="s">
        <v>62</v>
      </c>
      <c r="E53" s="394" t="s">
        <v>895</v>
      </c>
      <c r="F53" s="3" t="s">
        <v>64</v>
      </c>
      <c r="G53" s="100"/>
      <c r="H53" s="537"/>
      <c r="I53" s="537"/>
      <c r="J53" s="537"/>
      <c r="K53" s="537"/>
    </row>
    <row r="54">
      <c r="A54" s="3">
        <f t="shared" si="1"/>
        <v>54</v>
      </c>
      <c r="B54" s="392" t="s">
        <v>893</v>
      </c>
      <c r="C54" s="3" t="str">
        <f t="shared" si="2"/>
        <v>=&gt;</v>
      </c>
      <c r="D54" s="3" t="s">
        <v>8</v>
      </c>
      <c r="E54" s="537"/>
      <c r="F54" s="537"/>
      <c r="G54" s="100"/>
      <c r="H54" s="537"/>
      <c r="I54" s="537"/>
      <c r="J54" s="537"/>
      <c r="K54" s="537"/>
    </row>
    <row r="55">
      <c r="A55" s="3">
        <f t="shared" si="1"/>
        <v>55</v>
      </c>
      <c r="B55" s="393" t="s">
        <v>894</v>
      </c>
      <c r="C55" s="3" t="str">
        <f t="shared" si="2"/>
        <v>=&gt;</v>
      </c>
      <c r="D55" s="423" t="s">
        <v>892</v>
      </c>
      <c r="E55" s="537"/>
      <c r="F55" s="100"/>
      <c r="G55" s="100"/>
      <c r="H55" s="537"/>
      <c r="I55" s="537"/>
      <c r="J55" s="537"/>
      <c r="K55" s="537"/>
    </row>
    <row r="56">
      <c r="A56" s="3">
        <f t="shared" si="1"/>
        <v>56</v>
      </c>
      <c r="B56" s="393" t="s">
        <v>894</v>
      </c>
      <c r="C56" s="3" t="str">
        <f t="shared" si="2"/>
        <v>=&gt;</v>
      </c>
      <c r="D56" s="424" t="s">
        <v>930</v>
      </c>
      <c r="E56" s="537"/>
      <c r="F56" s="537"/>
      <c r="G56" s="100"/>
      <c r="H56" s="537"/>
      <c r="I56" s="537"/>
      <c r="J56" s="537"/>
      <c r="K56" s="537"/>
    </row>
    <row r="57">
      <c r="A57" s="3">
        <f t="shared" si="1"/>
        <v>57</v>
      </c>
      <c r="B57" s="393" t="s">
        <v>894</v>
      </c>
      <c r="C57" s="3" t="str">
        <f t="shared" si="2"/>
        <v>=&gt;</v>
      </c>
      <c r="D57" s="3" t="s">
        <v>8</v>
      </c>
      <c r="E57" s="537"/>
      <c r="F57" s="537"/>
      <c r="G57" s="100"/>
      <c r="H57" s="537"/>
      <c r="I57" s="537"/>
      <c r="J57" s="537"/>
      <c r="K57" s="537"/>
    </row>
    <row r="58">
      <c r="A58" s="3">
        <f t="shared" si="1"/>
        <v>58</v>
      </c>
      <c r="B58" s="423" t="s">
        <v>892</v>
      </c>
      <c r="C58" s="3" t="str">
        <f t="shared" si="2"/>
        <v>=&gt;</v>
      </c>
      <c r="D58" s="3" t="s">
        <v>30</v>
      </c>
      <c r="E58" s="603" t="s">
        <v>1085</v>
      </c>
      <c r="F58" s="3" t="s">
        <v>32</v>
      </c>
      <c r="G58" s="393" t="s">
        <v>894</v>
      </c>
      <c r="H58" s="537"/>
      <c r="I58" s="537"/>
      <c r="J58" s="537"/>
      <c r="K58" s="537"/>
    </row>
    <row r="59">
      <c r="A59" s="3">
        <f t="shared" si="1"/>
        <v>59</v>
      </c>
      <c r="B59" s="424" t="s">
        <v>930</v>
      </c>
      <c r="C59" s="3" t="str">
        <f t="shared" si="2"/>
        <v>=&gt;</v>
      </c>
      <c r="D59" s="3" t="s">
        <v>180</v>
      </c>
      <c r="E59" s="3" t="s">
        <v>14</v>
      </c>
      <c r="F59" s="393" t="s">
        <v>894</v>
      </c>
      <c r="G59" s="537"/>
      <c r="H59" s="537"/>
      <c r="I59" s="537"/>
      <c r="J59" s="537"/>
      <c r="K59" s="537"/>
    </row>
    <row r="60">
      <c r="A60" s="3">
        <f t="shared" si="1"/>
        <v>60</v>
      </c>
      <c r="B60" s="394" t="s">
        <v>895</v>
      </c>
      <c r="C60" s="3" t="str">
        <f t="shared" si="2"/>
        <v>=&gt;</v>
      </c>
      <c r="D60" s="395" t="s">
        <v>28</v>
      </c>
      <c r="E60" s="396" t="s">
        <v>896</v>
      </c>
      <c r="F60" s="537"/>
      <c r="G60" s="100"/>
      <c r="H60" s="537"/>
      <c r="I60" s="537"/>
      <c r="J60" s="537"/>
      <c r="K60" s="537"/>
    </row>
    <row r="61">
      <c r="A61" s="3">
        <f t="shared" si="1"/>
        <v>61</v>
      </c>
      <c r="B61" s="394" t="s">
        <v>895</v>
      </c>
      <c r="C61" s="3" t="str">
        <f t="shared" si="2"/>
        <v>=&gt;</v>
      </c>
      <c r="D61" s="3" t="s">
        <v>8</v>
      </c>
      <c r="E61" s="537"/>
      <c r="F61" s="100"/>
      <c r="G61" s="537"/>
      <c r="H61" s="537"/>
      <c r="I61" s="537"/>
      <c r="J61" s="537"/>
      <c r="K61" s="537"/>
    </row>
    <row r="62">
      <c r="A62" s="3">
        <f t="shared" si="1"/>
        <v>62</v>
      </c>
      <c r="B62" s="395" t="s">
        <v>28</v>
      </c>
      <c r="C62" s="3" t="str">
        <f t="shared" si="2"/>
        <v>=&gt;</v>
      </c>
      <c r="D62" s="603" t="s">
        <v>1085</v>
      </c>
      <c r="E62" s="537"/>
      <c r="F62" s="100"/>
      <c r="G62" s="537"/>
      <c r="H62" s="537"/>
      <c r="I62" s="537"/>
      <c r="J62" s="537"/>
      <c r="K62" s="537"/>
    </row>
    <row r="63">
      <c r="A63" s="3">
        <f t="shared" si="1"/>
        <v>63</v>
      </c>
      <c r="B63" s="395" t="s">
        <v>28</v>
      </c>
      <c r="C63" s="3" t="str">
        <f t="shared" si="2"/>
        <v>=&gt;</v>
      </c>
      <c r="D63" s="3" t="s">
        <v>30</v>
      </c>
      <c r="E63" s="399" t="s">
        <v>897</v>
      </c>
      <c r="F63" s="3" t="s">
        <v>32</v>
      </c>
      <c r="G63" s="393" t="s">
        <v>894</v>
      </c>
      <c r="H63" s="537"/>
      <c r="I63" s="537"/>
      <c r="J63" s="537"/>
      <c r="K63" s="537"/>
    </row>
    <row r="64">
      <c r="A64" s="3">
        <f t="shared" si="1"/>
        <v>64</v>
      </c>
      <c r="B64" s="399" t="s">
        <v>897</v>
      </c>
      <c r="C64" s="3" t="str">
        <f t="shared" si="2"/>
        <v>=&gt;</v>
      </c>
      <c r="D64" s="400" t="s">
        <v>899</v>
      </c>
      <c r="E64" s="537"/>
      <c r="F64" s="100"/>
      <c r="G64" s="537"/>
      <c r="H64" s="537"/>
      <c r="I64" s="537"/>
      <c r="J64" s="537"/>
      <c r="K64" s="537"/>
    </row>
    <row r="65">
      <c r="A65" s="3">
        <f t="shared" si="1"/>
        <v>65</v>
      </c>
      <c r="B65" s="399" t="s">
        <v>897</v>
      </c>
      <c r="C65" s="3" t="str">
        <f t="shared" si="2"/>
        <v>=&gt;</v>
      </c>
      <c r="D65" s="3" t="s">
        <v>14</v>
      </c>
      <c r="E65" s="401" t="s">
        <v>900</v>
      </c>
      <c r="F65" s="537"/>
      <c r="G65" s="537"/>
      <c r="H65" s="537"/>
      <c r="I65" s="537"/>
      <c r="J65" s="537"/>
      <c r="K65" s="537"/>
    </row>
    <row r="66">
      <c r="A66" s="3">
        <f t="shared" si="1"/>
        <v>66</v>
      </c>
      <c r="B66" s="399" t="s">
        <v>897</v>
      </c>
      <c r="C66" s="3" t="str">
        <f t="shared" si="2"/>
        <v>=&gt;</v>
      </c>
      <c r="D66" s="3" t="s">
        <v>8</v>
      </c>
      <c r="E66" s="537"/>
      <c r="F66" s="537"/>
      <c r="G66" s="537"/>
      <c r="H66" s="537"/>
      <c r="I66" s="537"/>
      <c r="J66" s="537"/>
      <c r="K66" s="537"/>
    </row>
    <row r="67">
      <c r="A67" s="3">
        <f t="shared" si="1"/>
        <v>67</v>
      </c>
      <c r="B67" s="400" t="s">
        <v>899</v>
      </c>
      <c r="C67" s="3" t="str">
        <f t="shared" si="2"/>
        <v>=&gt;</v>
      </c>
      <c r="D67" s="3" t="s">
        <v>868</v>
      </c>
      <c r="E67" s="403" t="s">
        <v>901</v>
      </c>
      <c r="F67" s="537"/>
      <c r="G67" s="537"/>
      <c r="H67" s="537"/>
      <c r="I67" s="537"/>
      <c r="J67" s="537"/>
      <c r="K67" s="537"/>
    </row>
    <row r="68">
      <c r="A68" s="3">
        <f t="shared" si="1"/>
        <v>68</v>
      </c>
      <c r="B68" s="400" t="s">
        <v>899</v>
      </c>
      <c r="C68" s="3" t="str">
        <f t="shared" si="2"/>
        <v>=&gt;</v>
      </c>
      <c r="D68" s="3" t="s">
        <v>902</v>
      </c>
      <c r="E68" s="403" t="s">
        <v>901</v>
      </c>
      <c r="F68" s="537"/>
      <c r="G68" s="537"/>
      <c r="H68" s="537"/>
      <c r="I68" s="537"/>
      <c r="J68" s="537"/>
      <c r="K68" s="537"/>
    </row>
    <row r="69">
      <c r="A69" s="3">
        <f t="shared" si="1"/>
        <v>69</v>
      </c>
      <c r="B69" s="400" t="s">
        <v>899</v>
      </c>
      <c r="C69" s="3" t="str">
        <f t="shared" si="2"/>
        <v>=&gt;</v>
      </c>
      <c r="D69" s="3" t="s">
        <v>903</v>
      </c>
      <c r="E69" s="403" t="s">
        <v>901</v>
      </c>
      <c r="F69" s="537"/>
      <c r="G69" s="537"/>
      <c r="H69" s="537"/>
      <c r="I69" s="537"/>
      <c r="J69" s="537"/>
      <c r="K69" s="537"/>
    </row>
    <row r="70">
      <c r="A70" s="3">
        <f t="shared" si="1"/>
        <v>70</v>
      </c>
      <c r="B70" s="400" t="s">
        <v>899</v>
      </c>
      <c r="C70" s="3" t="str">
        <f t="shared" si="2"/>
        <v>=&gt;</v>
      </c>
      <c r="D70" s="3" t="s">
        <v>904</v>
      </c>
      <c r="E70" s="403" t="s">
        <v>901</v>
      </c>
      <c r="F70" s="537"/>
      <c r="G70" s="537"/>
      <c r="H70" s="537"/>
      <c r="I70" s="537"/>
      <c r="J70" s="537"/>
      <c r="K70" s="537"/>
    </row>
    <row r="71">
      <c r="A71" s="3">
        <f t="shared" si="1"/>
        <v>71</v>
      </c>
      <c r="B71" s="400" t="s">
        <v>899</v>
      </c>
      <c r="C71" s="3" t="str">
        <f t="shared" si="2"/>
        <v>=&gt;</v>
      </c>
      <c r="D71" s="3" t="s">
        <v>30</v>
      </c>
      <c r="E71" s="399" t="s">
        <v>897</v>
      </c>
      <c r="F71" s="3" t="s">
        <v>32</v>
      </c>
      <c r="G71" s="403" t="s">
        <v>901</v>
      </c>
      <c r="H71" s="100"/>
      <c r="I71" s="537"/>
      <c r="J71" s="537"/>
      <c r="K71" s="537"/>
    </row>
    <row r="72">
      <c r="A72" s="3">
        <f t="shared" si="1"/>
        <v>72</v>
      </c>
      <c r="B72" s="403" t="s">
        <v>901</v>
      </c>
      <c r="C72" s="3" t="str">
        <f t="shared" si="2"/>
        <v>=&gt;</v>
      </c>
      <c r="D72" s="3" t="s">
        <v>38</v>
      </c>
      <c r="E72" s="404" t="s">
        <v>905</v>
      </c>
      <c r="F72" s="537"/>
      <c r="G72" s="537"/>
      <c r="H72" s="537"/>
      <c r="I72" s="537"/>
      <c r="J72" s="537"/>
      <c r="K72" s="537"/>
    </row>
    <row r="73">
      <c r="A73" s="3">
        <f t="shared" si="1"/>
        <v>73</v>
      </c>
      <c r="B73" s="403" t="s">
        <v>901</v>
      </c>
      <c r="C73" s="3" t="str">
        <f t="shared" si="2"/>
        <v>=&gt;</v>
      </c>
      <c r="D73" s="3" t="s">
        <v>8</v>
      </c>
      <c r="E73" s="537"/>
      <c r="F73" s="537"/>
      <c r="G73" s="537"/>
      <c r="H73" s="537"/>
      <c r="I73" s="537"/>
      <c r="J73" s="537"/>
      <c r="K73" s="537"/>
    </row>
    <row r="74">
      <c r="A74" s="3">
        <f t="shared" si="1"/>
        <v>74</v>
      </c>
      <c r="B74" s="404" t="s">
        <v>905</v>
      </c>
      <c r="C74" s="3" t="str">
        <f t="shared" si="2"/>
        <v>=&gt;</v>
      </c>
      <c r="D74" s="3" t="s">
        <v>14</v>
      </c>
      <c r="E74" s="403" t="s">
        <v>901</v>
      </c>
      <c r="F74" s="537"/>
      <c r="G74" s="537"/>
      <c r="H74" s="537"/>
      <c r="I74" s="537"/>
      <c r="J74" s="537"/>
      <c r="K74" s="537"/>
    </row>
    <row r="75">
      <c r="A75" s="3">
        <f t="shared" si="1"/>
        <v>75</v>
      </c>
      <c r="B75" s="404" t="s">
        <v>905</v>
      </c>
      <c r="C75" s="3" t="str">
        <f t="shared" si="2"/>
        <v>=&gt;</v>
      </c>
      <c r="D75" s="400" t="s">
        <v>899</v>
      </c>
      <c r="E75" s="537"/>
      <c r="F75" s="537"/>
      <c r="G75" s="537"/>
      <c r="H75" s="537"/>
      <c r="I75" s="537"/>
      <c r="J75" s="537"/>
      <c r="K75" s="537"/>
    </row>
    <row r="76">
      <c r="A76" s="3">
        <f t="shared" si="1"/>
        <v>76</v>
      </c>
      <c r="B76" s="401" t="s">
        <v>900</v>
      </c>
      <c r="C76" s="3" t="str">
        <f t="shared" si="2"/>
        <v>=&gt;</v>
      </c>
      <c r="D76" s="3" t="s">
        <v>38</v>
      </c>
      <c r="E76" s="404" t="s">
        <v>905</v>
      </c>
      <c r="F76" s="537"/>
      <c r="G76" s="537"/>
      <c r="H76" s="537"/>
      <c r="I76" s="537"/>
      <c r="J76" s="537"/>
      <c r="K76" s="537"/>
    </row>
    <row r="77">
      <c r="A77" s="3">
        <f t="shared" si="1"/>
        <v>77</v>
      </c>
      <c r="B77" s="401" t="s">
        <v>900</v>
      </c>
      <c r="C77" s="3" t="str">
        <f t="shared" si="2"/>
        <v>=&gt;</v>
      </c>
      <c r="D77" s="3" t="str">
        <f>"="</f>
        <v>=</v>
      </c>
      <c r="E77" s="395" t="s">
        <v>28</v>
      </c>
      <c r="F77" s="3" t="s">
        <v>6</v>
      </c>
      <c r="G77" s="422" t="s">
        <v>929</v>
      </c>
      <c r="H77" s="537"/>
      <c r="I77" s="537"/>
      <c r="J77" s="537"/>
      <c r="K77" s="537"/>
    </row>
    <row r="78">
      <c r="A78" s="3">
        <f t="shared" si="1"/>
        <v>78</v>
      </c>
      <c r="B78" s="401" t="s">
        <v>900</v>
      </c>
      <c r="C78" s="3" t="str">
        <f t="shared" si="2"/>
        <v>=&gt;</v>
      </c>
      <c r="D78" s="3" t="s">
        <v>8</v>
      </c>
      <c r="E78" s="537"/>
      <c r="F78" s="537"/>
      <c r="G78" s="537"/>
      <c r="H78" s="537"/>
      <c r="I78" s="537"/>
      <c r="J78" s="537"/>
      <c r="K78" s="537"/>
    </row>
    <row r="79">
      <c r="A79" s="3">
        <f t="shared" si="1"/>
        <v>79</v>
      </c>
      <c r="B79" s="422" t="s">
        <v>929</v>
      </c>
      <c r="C79" s="3" t="str">
        <f t="shared" si="2"/>
        <v>=&gt;</v>
      </c>
      <c r="D79" s="3" t="s">
        <v>14</v>
      </c>
      <c r="E79" s="3" t="str">
        <f>"="</f>
        <v>=</v>
      </c>
      <c r="F79" s="395" t="s">
        <v>28</v>
      </c>
      <c r="G79" s="3" t="s">
        <v>6</v>
      </c>
      <c r="H79" s="422" t="s">
        <v>929</v>
      </c>
      <c r="I79" s="537"/>
      <c r="J79" s="537"/>
      <c r="K79" s="537"/>
    </row>
    <row r="80">
      <c r="A80" s="3">
        <f t="shared" si="1"/>
        <v>80</v>
      </c>
      <c r="B80" s="422" t="s">
        <v>929</v>
      </c>
      <c r="C80" s="3" t="str">
        <f t="shared" si="2"/>
        <v>=&gt;</v>
      </c>
      <c r="D80" s="3" t="s">
        <v>8</v>
      </c>
      <c r="E80" s="537"/>
      <c r="F80" s="537"/>
      <c r="G80" s="537"/>
      <c r="H80" s="537"/>
      <c r="I80" s="537"/>
      <c r="J80" s="537"/>
      <c r="K80" s="537"/>
    </row>
    <row r="81">
      <c r="A81" s="3">
        <f t="shared" si="1"/>
        <v>81</v>
      </c>
      <c r="B81" s="396" t="s">
        <v>896</v>
      </c>
      <c r="C81" s="3" t="str">
        <f t="shared" si="2"/>
        <v>=&gt;</v>
      </c>
      <c r="D81" s="3" t="s">
        <v>38</v>
      </c>
      <c r="E81" s="395" t="s">
        <v>28</v>
      </c>
      <c r="F81" s="396" t="s">
        <v>896</v>
      </c>
      <c r="G81" s="537"/>
      <c r="H81" s="537"/>
      <c r="I81" s="537"/>
      <c r="J81" s="537"/>
      <c r="K81" s="537"/>
    </row>
    <row r="82">
      <c r="A82" s="3">
        <f t="shared" si="1"/>
        <v>82</v>
      </c>
      <c r="B82" s="396" t="s">
        <v>896</v>
      </c>
      <c r="C82" s="3" t="str">
        <f t="shared" si="2"/>
        <v>=&gt;</v>
      </c>
      <c r="D82" s="3" t="s">
        <v>8</v>
      </c>
      <c r="E82" s="537"/>
      <c r="F82" s="537"/>
      <c r="G82" s="537"/>
      <c r="H82" s="537"/>
      <c r="I82" s="537"/>
      <c r="J82" s="537"/>
      <c r="K82" s="537"/>
    </row>
    <row r="83">
      <c r="A83" s="3">
        <f t="shared" si="1"/>
        <v>83</v>
      </c>
      <c r="B83" s="547" t="s">
        <v>1019</v>
      </c>
      <c r="C83" s="3" t="str">
        <f t="shared" si="2"/>
        <v>=&gt;</v>
      </c>
      <c r="D83" s="548" t="s">
        <v>1026</v>
      </c>
      <c r="E83" s="533" t="s">
        <v>1017</v>
      </c>
      <c r="F83" s="100"/>
      <c r="G83" s="100"/>
      <c r="H83" s="537"/>
      <c r="I83" s="537"/>
      <c r="J83" s="537"/>
      <c r="K83" s="537"/>
    </row>
    <row r="84">
      <c r="A84" s="3">
        <f t="shared" si="1"/>
        <v>84</v>
      </c>
      <c r="B84" s="548" t="s">
        <v>1026</v>
      </c>
      <c r="C84" s="3" t="str">
        <f t="shared" si="2"/>
        <v>=&gt;</v>
      </c>
      <c r="D84" s="428" t="s">
        <v>911</v>
      </c>
      <c r="E84" s="100"/>
      <c r="F84" s="537"/>
      <c r="G84" s="100"/>
      <c r="H84" s="537"/>
      <c r="I84" s="537"/>
      <c r="J84" s="537"/>
      <c r="K84" s="537"/>
    </row>
    <row r="85">
      <c r="A85" s="3">
        <f t="shared" si="1"/>
        <v>85</v>
      </c>
      <c r="B85" s="548" t="s">
        <v>1026</v>
      </c>
      <c r="C85" s="3" t="str">
        <f t="shared" si="2"/>
        <v>=&gt;</v>
      </c>
      <c r="D85" s="428" t="s">
        <v>915</v>
      </c>
      <c r="E85" s="100"/>
      <c r="F85" s="537"/>
      <c r="G85" s="100"/>
      <c r="H85" s="537"/>
      <c r="I85" s="537"/>
      <c r="J85" s="537"/>
      <c r="K85" s="537"/>
    </row>
    <row r="86">
      <c r="A86" s="3">
        <f t="shared" si="1"/>
        <v>86</v>
      </c>
      <c r="B86" s="548" t="s">
        <v>1026</v>
      </c>
      <c r="C86" s="3" t="str">
        <f t="shared" si="2"/>
        <v>=&gt;</v>
      </c>
      <c r="D86" s="428" t="s">
        <v>918</v>
      </c>
      <c r="E86" s="100"/>
      <c r="F86" s="537"/>
      <c r="G86" s="100"/>
      <c r="H86" s="537"/>
      <c r="I86" s="537"/>
      <c r="J86" s="537"/>
      <c r="K86" s="537"/>
    </row>
    <row r="87">
      <c r="A87" s="3">
        <f t="shared" si="1"/>
        <v>87</v>
      </c>
      <c r="B87" s="548" t="s">
        <v>1026</v>
      </c>
      <c r="C87" s="3" t="str">
        <f t="shared" si="2"/>
        <v>=&gt;</v>
      </c>
      <c r="D87" s="428" t="s">
        <v>919</v>
      </c>
      <c r="E87" s="100"/>
      <c r="F87" s="537"/>
      <c r="G87" s="100"/>
      <c r="H87" s="537"/>
      <c r="I87" s="537"/>
      <c r="J87" s="537"/>
      <c r="K87" s="537"/>
    </row>
    <row r="88">
      <c r="A88" s="3">
        <f t="shared" si="1"/>
        <v>88</v>
      </c>
      <c r="B88" s="548" t="s">
        <v>1026</v>
      </c>
      <c r="C88" s="3" t="str">
        <f t="shared" si="2"/>
        <v>=&gt;</v>
      </c>
      <c r="D88" s="428" t="s">
        <v>867</v>
      </c>
      <c r="E88" s="100"/>
      <c r="F88" s="537"/>
      <c r="G88" s="100"/>
      <c r="H88" s="537"/>
      <c r="I88" s="537"/>
      <c r="J88" s="537"/>
      <c r="K88" s="537"/>
    </row>
    <row r="89">
      <c r="A89" s="3">
        <f t="shared" si="1"/>
        <v>89</v>
      </c>
      <c r="B89" s="548" t="s">
        <v>1026</v>
      </c>
      <c r="C89" s="3" t="str">
        <f t="shared" si="2"/>
        <v>=&gt;</v>
      </c>
      <c r="D89" s="428" t="s">
        <v>908</v>
      </c>
      <c r="E89" s="100"/>
      <c r="F89" s="537"/>
      <c r="G89" s="100"/>
      <c r="H89" s="537"/>
      <c r="I89" s="537"/>
      <c r="J89" s="537"/>
      <c r="K89" s="537"/>
    </row>
    <row r="90">
      <c r="A90" s="3">
        <f t="shared" si="1"/>
        <v>90</v>
      </c>
      <c r="B90" s="548" t="s">
        <v>1026</v>
      </c>
      <c r="C90" s="3" t="str">
        <f t="shared" si="2"/>
        <v>=&gt;</v>
      </c>
      <c r="D90" s="428" t="s">
        <v>133</v>
      </c>
      <c r="E90" s="100"/>
      <c r="F90" s="537"/>
      <c r="G90" s="100"/>
      <c r="H90" s="537"/>
      <c r="I90" s="537"/>
      <c r="J90" s="537"/>
      <c r="K90" s="537"/>
    </row>
    <row r="91">
      <c r="A91" s="3">
        <f t="shared" si="1"/>
        <v>91</v>
      </c>
      <c r="B91" s="548" t="s">
        <v>1026</v>
      </c>
      <c r="C91" s="3" t="str">
        <f t="shared" si="2"/>
        <v>=&gt;</v>
      </c>
      <c r="D91" s="428" t="s">
        <v>906</v>
      </c>
      <c r="E91" s="100"/>
      <c r="F91" s="537"/>
      <c r="G91" s="100"/>
      <c r="H91" s="537"/>
      <c r="I91" s="537"/>
      <c r="J91" s="537"/>
      <c r="K91" s="537"/>
    </row>
    <row r="92">
      <c r="A92" s="3">
        <f t="shared" si="1"/>
        <v>92</v>
      </c>
      <c r="B92" s="548" t="s">
        <v>1026</v>
      </c>
      <c r="C92" s="3" t="str">
        <f t="shared" si="2"/>
        <v>=&gt;</v>
      </c>
      <c r="D92" s="428" t="s">
        <v>914</v>
      </c>
      <c r="E92" s="100"/>
      <c r="F92" s="537"/>
      <c r="G92" s="100"/>
      <c r="H92" s="537"/>
      <c r="I92" s="537"/>
      <c r="J92" s="537"/>
      <c r="K92" s="537"/>
    </row>
    <row r="93">
      <c r="A93" s="3">
        <f t="shared" si="1"/>
        <v>93</v>
      </c>
      <c r="B93" s="548" t="s">
        <v>1026</v>
      </c>
      <c r="C93" s="3" t="str">
        <f t="shared" si="2"/>
        <v>=&gt;</v>
      </c>
      <c r="D93" s="428" t="s">
        <v>913</v>
      </c>
      <c r="E93" s="100"/>
      <c r="F93" s="537"/>
      <c r="G93" s="100"/>
      <c r="H93" s="537"/>
      <c r="I93" s="537"/>
      <c r="J93" s="537"/>
      <c r="K93" s="537"/>
    </row>
    <row r="94">
      <c r="A94" s="3">
        <f t="shared" si="1"/>
        <v>94</v>
      </c>
      <c r="B94" s="548" t="s">
        <v>1026</v>
      </c>
      <c r="C94" s="3" t="str">
        <f t="shared" si="2"/>
        <v>=&gt;</v>
      </c>
      <c r="D94" s="428" t="s">
        <v>866</v>
      </c>
      <c r="E94" s="100"/>
      <c r="F94" s="537"/>
      <c r="G94" s="100"/>
      <c r="H94" s="537"/>
      <c r="I94" s="537"/>
      <c r="J94" s="537"/>
      <c r="K94" s="537"/>
    </row>
    <row r="95">
      <c r="A95" s="3">
        <f t="shared" si="1"/>
        <v>95</v>
      </c>
      <c r="B95" s="548" t="s">
        <v>1026</v>
      </c>
      <c r="C95" s="3" t="str">
        <f t="shared" si="2"/>
        <v>=&gt;</v>
      </c>
      <c r="D95" s="428" t="s">
        <v>864</v>
      </c>
      <c r="E95" s="100"/>
      <c r="F95" s="537"/>
      <c r="G95" s="100"/>
      <c r="H95" s="537"/>
      <c r="I95" s="537"/>
      <c r="J95" s="537"/>
      <c r="K95" s="537"/>
    </row>
    <row r="96">
      <c r="A96" s="3">
        <f t="shared" si="1"/>
        <v>96</v>
      </c>
      <c r="B96" s="548" t="s">
        <v>1026</v>
      </c>
      <c r="C96" s="3" t="str">
        <f t="shared" si="2"/>
        <v>=&gt;</v>
      </c>
      <c r="D96" s="428" t="s">
        <v>912</v>
      </c>
      <c r="E96" s="100"/>
      <c r="F96" s="537"/>
      <c r="G96" s="100"/>
      <c r="H96" s="537"/>
      <c r="I96" s="537"/>
      <c r="J96" s="537"/>
      <c r="K96" s="537"/>
    </row>
    <row r="97">
      <c r="A97" s="3">
        <f t="shared" si="1"/>
        <v>97</v>
      </c>
      <c r="B97" s="548" t="s">
        <v>1026</v>
      </c>
      <c r="C97" s="3" t="str">
        <f t="shared" si="2"/>
        <v>=&gt;</v>
      </c>
      <c r="D97" s="428" t="s">
        <v>134</v>
      </c>
      <c r="E97" s="100"/>
      <c r="F97" s="537"/>
      <c r="G97" s="100"/>
      <c r="H97" s="537"/>
      <c r="I97" s="537"/>
      <c r="J97" s="537"/>
      <c r="K97" s="537"/>
    </row>
    <row r="98">
      <c r="A98" s="3">
        <f t="shared" si="1"/>
        <v>98</v>
      </c>
      <c r="B98" s="548" t="s">
        <v>1026</v>
      </c>
      <c r="C98" s="3" t="str">
        <f t="shared" si="2"/>
        <v>=&gt;</v>
      </c>
      <c r="D98" s="428" t="s">
        <v>917</v>
      </c>
      <c r="E98" s="100"/>
      <c r="F98" s="537"/>
      <c r="G98" s="100"/>
      <c r="H98" s="537"/>
      <c r="I98" s="537"/>
      <c r="J98" s="537"/>
      <c r="K98" s="537"/>
    </row>
    <row r="99">
      <c r="A99" s="3">
        <f t="shared" si="1"/>
        <v>99</v>
      </c>
      <c r="B99" s="548" t="s">
        <v>1026</v>
      </c>
      <c r="C99" s="3" t="str">
        <f t="shared" si="2"/>
        <v>=&gt;</v>
      </c>
      <c r="D99" s="428" t="s">
        <v>921</v>
      </c>
      <c r="E99" s="100"/>
      <c r="F99" s="537"/>
      <c r="G99" s="100"/>
      <c r="H99" s="537"/>
      <c r="I99" s="537"/>
      <c r="J99" s="537"/>
      <c r="K99" s="537"/>
    </row>
    <row r="100">
      <c r="A100" s="3">
        <f t="shared" si="1"/>
        <v>100</v>
      </c>
      <c r="B100" s="548" t="s">
        <v>1026</v>
      </c>
      <c r="C100" s="3" t="str">
        <f t="shared" si="2"/>
        <v>=&gt;</v>
      </c>
      <c r="D100" s="428" t="s">
        <v>862</v>
      </c>
      <c r="E100" s="100"/>
      <c r="F100" s="537"/>
      <c r="G100" s="100"/>
      <c r="H100" s="537"/>
      <c r="I100" s="537"/>
      <c r="J100" s="537"/>
      <c r="K100" s="537"/>
    </row>
    <row r="101">
      <c r="A101" s="3">
        <f t="shared" si="1"/>
        <v>101</v>
      </c>
      <c r="B101" s="548" t="s">
        <v>1026</v>
      </c>
      <c r="C101" s="3" t="str">
        <f t="shared" si="2"/>
        <v>=&gt;</v>
      </c>
      <c r="D101" s="428" t="s">
        <v>907</v>
      </c>
      <c r="E101" s="100"/>
      <c r="F101" s="537"/>
      <c r="G101" s="100"/>
      <c r="H101" s="537"/>
      <c r="I101" s="537"/>
      <c r="J101" s="537"/>
      <c r="K101" s="537"/>
    </row>
    <row r="102">
      <c r="A102" s="3">
        <f t="shared" si="1"/>
        <v>102</v>
      </c>
      <c r="B102" s="533" t="s">
        <v>1017</v>
      </c>
      <c r="C102" s="3" t="str">
        <f t="shared" si="2"/>
        <v>=&gt;</v>
      </c>
      <c r="D102" s="546" t="s">
        <v>1025</v>
      </c>
      <c r="E102" s="393" t="s">
        <v>894</v>
      </c>
      <c r="F102" s="537"/>
      <c r="G102" s="100"/>
      <c r="H102" s="537"/>
      <c r="I102" s="537"/>
      <c r="J102" s="537"/>
      <c r="K102" s="537"/>
    </row>
    <row r="103">
      <c r="A103" s="3">
        <f t="shared" si="1"/>
        <v>103</v>
      </c>
      <c r="B103" s="546" t="s">
        <v>1025</v>
      </c>
      <c r="C103" s="3" t="str">
        <f t="shared" si="2"/>
        <v>=&gt;</v>
      </c>
      <c r="D103" s="3" t="s">
        <v>62</v>
      </c>
      <c r="E103" s="394" t="s">
        <v>895</v>
      </c>
      <c r="F103" s="3" t="s">
        <v>64</v>
      </c>
      <c r="G103" s="100"/>
      <c r="H103" s="537"/>
      <c r="I103" s="537"/>
      <c r="J103" s="537"/>
      <c r="K103" s="537"/>
    </row>
    <row r="104">
      <c r="A104" s="3">
        <f t="shared" si="1"/>
        <v>104</v>
      </c>
      <c r="B104" s="462" t="s">
        <v>962</v>
      </c>
      <c r="C104" s="3" t="str">
        <f t="shared" si="2"/>
        <v>=&gt;</v>
      </c>
      <c r="D104" s="3" t="s">
        <v>30</v>
      </c>
      <c r="E104" s="3" t="s">
        <v>32</v>
      </c>
      <c r="F104" s="464" t="s">
        <v>964</v>
      </c>
      <c r="G104" s="537"/>
      <c r="H104" s="537"/>
      <c r="I104" s="537"/>
      <c r="J104" s="537"/>
      <c r="K104" s="537"/>
    </row>
    <row r="105">
      <c r="A105" s="3">
        <f t="shared" si="1"/>
        <v>105</v>
      </c>
      <c r="B105" s="464" t="s">
        <v>964</v>
      </c>
      <c r="C105" s="3" t="str">
        <f t="shared" si="2"/>
        <v>=&gt;</v>
      </c>
      <c r="D105" s="462" t="s">
        <v>962</v>
      </c>
      <c r="E105" s="537"/>
      <c r="F105" s="537"/>
      <c r="G105" s="537"/>
      <c r="H105" s="537"/>
      <c r="I105" s="537"/>
      <c r="J105" s="537"/>
      <c r="K105" s="537"/>
    </row>
    <row r="106">
      <c r="A106" s="3">
        <f t="shared" si="1"/>
        <v>106</v>
      </c>
      <c r="B106" s="464" t="s">
        <v>964</v>
      </c>
      <c r="C106" s="3" t="str">
        <f t="shared" si="2"/>
        <v>=&gt;</v>
      </c>
      <c r="D106" s="3" t="s">
        <v>8</v>
      </c>
      <c r="E106" s="537"/>
      <c r="F106" s="537"/>
      <c r="G106" s="537"/>
      <c r="H106" s="100"/>
      <c r="I106" s="537"/>
      <c r="J106" s="537"/>
      <c r="K106" s="537"/>
    </row>
    <row r="107">
      <c r="A107" s="3">
        <f t="shared" si="1"/>
        <v>107</v>
      </c>
      <c r="B107" s="463" t="s">
        <v>963</v>
      </c>
      <c r="C107" s="3" t="str">
        <f t="shared" si="2"/>
        <v>=&gt;</v>
      </c>
      <c r="D107" s="3" t="s">
        <v>14</v>
      </c>
      <c r="E107" s="653" t="s">
        <v>1129</v>
      </c>
      <c r="F107" s="466" t="s">
        <v>966</v>
      </c>
      <c r="G107" s="537"/>
      <c r="H107" s="537"/>
      <c r="I107" s="537"/>
      <c r="J107" s="537"/>
      <c r="K107" s="537"/>
    </row>
    <row r="108">
      <c r="A108" s="3">
        <f t="shared" si="1"/>
        <v>108</v>
      </c>
      <c r="B108" s="653" t="s">
        <v>1129</v>
      </c>
      <c r="C108" s="3" t="str">
        <f t="shared" si="2"/>
        <v>=&gt;</v>
      </c>
      <c r="D108" s="3" t="str">
        <f>"="</f>
        <v>=</v>
      </c>
      <c r="E108" s="395" t="s">
        <v>28</v>
      </c>
      <c r="F108" s="537"/>
      <c r="G108" s="537"/>
      <c r="H108" s="537"/>
      <c r="I108" s="537"/>
      <c r="J108" s="537"/>
      <c r="K108" s="537"/>
    </row>
    <row r="109">
      <c r="A109" s="3">
        <f t="shared" si="1"/>
        <v>109</v>
      </c>
      <c r="B109" s="653" t="s">
        <v>1129</v>
      </c>
      <c r="C109" s="3" t="str">
        <f t="shared" si="2"/>
        <v>=&gt;</v>
      </c>
      <c r="D109" s="3" t="s">
        <v>8</v>
      </c>
      <c r="E109" s="537"/>
      <c r="F109" s="537"/>
      <c r="G109" s="537"/>
      <c r="H109" s="537"/>
      <c r="I109" s="537"/>
      <c r="J109" s="537"/>
      <c r="K109" s="537"/>
    </row>
    <row r="110">
      <c r="A110" s="3">
        <f t="shared" si="1"/>
        <v>110</v>
      </c>
      <c r="B110" s="466" t="s">
        <v>966</v>
      </c>
      <c r="C110" s="3" t="str">
        <f t="shared" si="2"/>
        <v>=&gt;</v>
      </c>
      <c r="D110" s="3" t="s">
        <v>38</v>
      </c>
      <c r="E110" s="463" t="s">
        <v>963</v>
      </c>
      <c r="F110" s="537"/>
      <c r="G110" s="537"/>
      <c r="H110" s="537"/>
      <c r="I110" s="537"/>
      <c r="J110" s="537"/>
      <c r="K110" s="537"/>
    </row>
    <row r="111">
      <c r="A111" s="3">
        <f t="shared" si="1"/>
        <v>111</v>
      </c>
      <c r="B111" s="466" t="s">
        <v>966</v>
      </c>
      <c r="C111" s="3" t="str">
        <f t="shared" si="2"/>
        <v>=&gt;</v>
      </c>
      <c r="D111" s="3" t="s">
        <v>8</v>
      </c>
      <c r="E111" s="537"/>
      <c r="F111" s="537"/>
      <c r="G111" s="537"/>
      <c r="H111" s="537"/>
      <c r="I111" s="537"/>
      <c r="J111" s="537"/>
      <c r="K111" s="537"/>
    </row>
    <row r="112">
      <c r="A112" s="3">
        <f t="shared" si="1"/>
        <v>112</v>
      </c>
      <c r="B112" s="348" t="s">
        <v>848</v>
      </c>
      <c r="C112" s="3" t="str">
        <f t="shared" si="2"/>
        <v>=&gt;</v>
      </c>
      <c r="D112" s="3" t="s">
        <v>999</v>
      </c>
      <c r="E112" s="3" t="s">
        <v>850</v>
      </c>
      <c r="F112" s="3" t="s">
        <v>14</v>
      </c>
      <c r="G112" s="3" t="str">
        <f>"="</f>
        <v>=</v>
      </c>
      <c r="H112" s="3" t="s">
        <v>30</v>
      </c>
      <c r="I112" s="509" t="s">
        <v>1000</v>
      </c>
      <c r="J112" s="3" t="s">
        <v>32</v>
      </c>
      <c r="K112" s="3" t="s">
        <v>6</v>
      </c>
    </row>
    <row r="113">
      <c r="A113" s="3">
        <f t="shared" si="1"/>
        <v>113</v>
      </c>
      <c r="B113" s="509" t="s">
        <v>1000</v>
      </c>
      <c r="C113" s="3" t="str">
        <f t="shared" si="2"/>
        <v>=&gt;</v>
      </c>
      <c r="D113" s="510" t="s">
        <v>1001</v>
      </c>
      <c r="E113" s="3" t="s">
        <v>6</v>
      </c>
      <c r="F113" s="511" t="s">
        <v>1002</v>
      </c>
      <c r="G113" s="100"/>
      <c r="H113" s="100"/>
      <c r="I113" s="100"/>
      <c r="J113" s="537"/>
      <c r="K113" s="537"/>
    </row>
    <row r="114">
      <c r="A114" s="3">
        <f t="shared" si="1"/>
        <v>114</v>
      </c>
      <c r="B114" s="510" t="s">
        <v>1001</v>
      </c>
      <c r="C114" s="3" t="str">
        <f t="shared" si="2"/>
        <v>=&gt;</v>
      </c>
      <c r="D114" s="512" t="s">
        <v>1003</v>
      </c>
      <c r="E114" s="3" t="s">
        <v>850</v>
      </c>
      <c r="F114" s="3" t="s">
        <v>14</v>
      </c>
      <c r="G114" s="100"/>
      <c r="H114" s="100"/>
      <c r="I114" s="100"/>
      <c r="J114" s="537"/>
      <c r="K114" s="537"/>
    </row>
    <row r="115">
      <c r="A115" s="3">
        <f t="shared" si="1"/>
        <v>115</v>
      </c>
      <c r="B115" s="512" t="s">
        <v>1003</v>
      </c>
      <c r="C115" s="3" t="str">
        <f t="shared" si="2"/>
        <v>=&gt;</v>
      </c>
      <c r="D115" s="3" t="s">
        <v>840</v>
      </c>
      <c r="E115" s="464" t="s">
        <v>964</v>
      </c>
      <c r="F115" s="100"/>
      <c r="G115" s="100"/>
      <c r="H115" s="100"/>
      <c r="I115" s="100"/>
      <c r="J115" s="537"/>
      <c r="K115" s="537"/>
    </row>
    <row r="116">
      <c r="A116" s="3">
        <f t="shared" si="1"/>
        <v>116</v>
      </c>
      <c r="B116" s="512" t="s">
        <v>1003</v>
      </c>
      <c r="C116" s="3" t="str">
        <f t="shared" si="2"/>
        <v>=&gt;</v>
      </c>
      <c r="D116" s="3" t="s">
        <v>844</v>
      </c>
      <c r="E116" s="464" t="s">
        <v>964</v>
      </c>
      <c r="F116" s="537"/>
      <c r="G116" s="537"/>
      <c r="H116" s="537"/>
      <c r="I116" s="537"/>
      <c r="J116" s="537"/>
      <c r="K116" s="537"/>
    </row>
    <row r="117">
      <c r="A117" s="3">
        <f t="shared" si="1"/>
        <v>117</v>
      </c>
      <c r="B117" s="512" t="s">
        <v>1003</v>
      </c>
      <c r="C117" s="3" t="str">
        <f t="shared" si="2"/>
        <v>=&gt;</v>
      </c>
      <c r="D117" s="3" t="s">
        <v>846</v>
      </c>
      <c r="E117" s="464" t="s">
        <v>964</v>
      </c>
      <c r="F117" s="537"/>
      <c r="G117" s="537"/>
      <c r="H117" s="537"/>
      <c r="I117" s="537"/>
      <c r="J117" s="537"/>
      <c r="K117" s="537"/>
    </row>
    <row r="118">
      <c r="A118" s="3">
        <f t="shared" si="1"/>
        <v>118</v>
      </c>
      <c r="B118" s="512" t="s">
        <v>1003</v>
      </c>
      <c r="C118" s="3" t="str">
        <f t="shared" si="2"/>
        <v>=&gt;</v>
      </c>
      <c r="D118" s="3" t="s">
        <v>842</v>
      </c>
      <c r="E118" s="464" t="s">
        <v>964</v>
      </c>
      <c r="F118" s="537"/>
      <c r="G118" s="537"/>
      <c r="H118" s="537"/>
      <c r="I118" s="537"/>
      <c r="J118" s="537"/>
      <c r="K118" s="537"/>
    </row>
    <row r="119">
      <c r="A119" s="3">
        <f t="shared" si="1"/>
        <v>119</v>
      </c>
      <c r="B119" s="512" t="s">
        <v>1003</v>
      </c>
      <c r="C119" s="3" t="str">
        <f t="shared" si="2"/>
        <v>=&gt;</v>
      </c>
      <c r="D119" s="3" t="s">
        <v>14</v>
      </c>
      <c r="E119" s="464" t="s">
        <v>964</v>
      </c>
      <c r="F119" s="537"/>
      <c r="G119" s="537"/>
      <c r="H119" s="537"/>
      <c r="I119" s="537"/>
      <c r="J119" s="537"/>
      <c r="K119" s="537"/>
    </row>
    <row r="120">
      <c r="A120" s="3">
        <f t="shared" si="1"/>
        <v>120</v>
      </c>
      <c r="B120" s="511" t="s">
        <v>1002</v>
      </c>
      <c r="C120" s="3" t="str">
        <f t="shared" si="2"/>
        <v>=&gt;</v>
      </c>
      <c r="D120" s="509" t="s">
        <v>1000</v>
      </c>
      <c r="E120" s="537"/>
      <c r="F120" s="537"/>
      <c r="G120" s="537"/>
      <c r="H120" s="537"/>
      <c r="I120" s="537"/>
      <c r="J120" s="537"/>
      <c r="K120" s="537"/>
    </row>
    <row r="121">
      <c r="A121" s="3">
        <f t="shared" si="1"/>
        <v>121</v>
      </c>
      <c r="B121" s="511" t="s">
        <v>1002</v>
      </c>
      <c r="C121" s="3" t="str">
        <f t="shared" si="2"/>
        <v>=&gt;</v>
      </c>
      <c r="D121" s="3" t="s">
        <v>8</v>
      </c>
      <c r="E121" s="537"/>
      <c r="F121" s="537"/>
      <c r="G121" s="537"/>
      <c r="H121" s="100"/>
      <c r="I121" s="537"/>
      <c r="J121" s="537"/>
      <c r="K121" s="537"/>
    </row>
    <row r="122">
      <c r="A122" s="3">
        <f t="shared" si="1"/>
        <v>122</v>
      </c>
      <c r="B122" s="349" t="s">
        <v>849</v>
      </c>
      <c r="C122" s="3" t="str">
        <f t="shared" si="2"/>
        <v>=&gt;</v>
      </c>
      <c r="D122" s="464" t="s">
        <v>964</v>
      </c>
      <c r="E122" s="3" t="s">
        <v>850</v>
      </c>
      <c r="F122" s="513" t="s">
        <v>1004</v>
      </c>
      <c r="G122" s="3" t="s">
        <v>6</v>
      </c>
      <c r="H122" s="100"/>
      <c r="I122" s="537"/>
      <c r="J122" s="537"/>
      <c r="K122" s="537"/>
    </row>
    <row r="123">
      <c r="A123" s="3">
        <f t="shared" si="1"/>
        <v>123</v>
      </c>
      <c r="B123" s="513" t="s">
        <v>1004</v>
      </c>
      <c r="C123" s="3" t="str">
        <f t="shared" si="2"/>
        <v>=&gt;</v>
      </c>
      <c r="D123" s="3" t="s">
        <v>14</v>
      </c>
      <c r="E123" s="653" t="s">
        <v>1129</v>
      </c>
      <c r="F123" s="516" t="s">
        <v>1006</v>
      </c>
      <c r="G123" s="537"/>
      <c r="H123" s="537"/>
      <c r="I123" s="537"/>
      <c r="J123" s="537"/>
      <c r="K123" s="537"/>
    </row>
    <row r="124">
      <c r="A124" s="3">
        <f t="shared" si="1"/>
        <v>124</v>
      </c>
      <c r="B124" s="516" t="s">
        <v>1006</v>
      </c>
      <c r="C124" s="3" t="str">
        <f t="shared" si="2"/>
        <v>=&gt;</v>
      </c>
      <c r="D124" s="3" t="s">
        <v>38</v>
      </c>
      <c r="E124" s="513" t="s">
        <v>1004</v>
      </c>
      <c r="F124" s="537"/>
      <c r="G124" s="537"/>
      <c r="H124" s="537"/>
      <c r="I124" s="537"/>
      <c r="J124" s="537"/>
      <c r="K124" s="537"/>
    </row>
    <row r="125">
      <c r="A125" s="3">
        <f t="shared" si="1"/>
        <v>125</v>
      </c>
      <c r="B125" s="516" t="s">
        <v>1006</v>
      </c>
      <c r="C125" s="3" t="str">
        <f t="shared" si="2"/>
        <v>=&gt;</v>
      </c>
      <c r="D125" s="3" t="s">
        <v>8</v>
      </c>
      <c r="E125" s="537"/>
      <c r="F125" s="537"/>
      <c r="G125" s="537"/>
      <c r="H125" s="537"/>
      <c r="I125" s="537"/>
      <c r="J125" s="537"/>
      <c r="K125" s="537"/>
    </row>
    <row r="126">
      <c r="A126" s="3">
        <f t="shared" si="1"/>
        <v>126</v>
      </c>
      <c r="B126" s="342" t="s">
        <v>837</v>
      </c>
      <c r="C126" s="3" t="str">
        <f t="shared" si="2"/>
        <v>=&gt;</v>
      </c>
      <c r="D126" s="3" t="s">
        <v>1008</v>
      </c>
      <c r="E126" s="520" t="s">
        <v>1009</v>
      </c>
      <c r="F126" s="3" t="s">
        <v>62</v>
      </c>
      <c r="G126" s="521" t="s">
        <v>1010</v>
      </c>
      <c r="H126" s="3" t="s">
        <v>64</v>
      </c>
      <c r="I126" s="651" t="s">
        <v>839</v>
      </c>
      <c r="J126" s="342" t="s">
        <v>837</v>
      </c>
      <c r="K126" s="537"/>
    </row>
    <row r="127">
      <c r="A127" s="3">
        <f t="shared" si="1"/>
        <v>127</v>
      </c>
      <c r="B127" s="342" t="s">
        <v>837</v>
      </c>
      <c r="C127" s="3" t="str">
        <f t="shared" si="2"/>
        <v>=&gt;</v>
      </c>
      <c r="D127" s="3" t="s">
        <v>8</v>
      </c>
      <c r="E127" s="537"/>
      <c r="F127" s="537"/>
      <c r="G127" s="537"/>
      <c r="H127" s="100"/>
      <c r="I127" s="537"/>
      <c r="J127" s="537"/>
      <c r="K127" s="100"/>
    </row>
    <row r="128">
      <c r="A128" s="3">
        <f t="shared" si="1"/>
        <v>128</v>
      </c>
      <c r="B128" s="520" t="s">
        <v>1009</v>
      </c>
      <c r="C128" s="3" t="str">
        <f t="shared" si="2"/>
        <v>=&gt;</v>
      </c>
      <c r="D128" s="510" t="s">
        <v>1001</v>
      </c>
      <c r="E128" s="537"/>
      <c r="F128" s="537"/>
      <c r="G128" s="537"/>
      <c r="H128" s="537"/>
      <c r="I128" s="537"/>
      <c r="J128" s="537"/>
      <c r="K128" s="537"/>
    </row>
    <row r="129">
      <c r="A129" s="3">
        <f t="shared" si="1"/>
        <v>129</v>
      </c>
      <c r="B129" s="521" t="s">
        <v>1010</v>
      </c>
      <c r="C129" s="3" t="str">
        <f t="shared" si="2"/>
        <v>=&gt;</v>
      </c>
      <c r="D129" s="510" t="s">
        <v>1001</v>
      </c>
      <c r="E129" s="522" t="s">
        <v>1011</v>
      </c>
      <c r="F129" s="537"/>
      <c r="G129" s="537"/>
      <c r="H129" s="537"/>
      <c r="I129" s="537"/>
      <c r="J129" s="537"/>
      <c r="K129" s="537"/>
    </row>
    <row r="130">
      <c r="A130" s="3">
        <f t="shared" si="1"/>
        <v>130</v>
      </c>
      <c r="B130" s="521" t="s">
        <v>1010</v>
      </c>
      <c r="C130" s="3" t="str">
        <f t="shared" si="2"/>
        <v>=&gt;</v>
      </c>
      <c r="D130" s="3" t="s">
        <v>8</v>
      </c>
      <c r="E130" s="537"/>
      <c r="F130" s="537"/>
      <c r="G130" s="537"/>
      <c r="H130" s="537"/>
      <c r="I130" s="537"/>
      <c r="J130" s="537"/>
      <c r="K130" s="537"/>
    </row>
    <row r="131">
      <c r="A131" s="3">
        <f t="shared" si="1"/>
        <v>131</v>
      </c>
      <c r="B131" s="522" t="s">
        <v>1011</v>
      </c>
      <c r="C131" s="3" t="str">
        <f t="shared" si="2"/>
        <v>=&gt;</v>
      </c>
      <c r="D131" s="3" t="s">
        <v>38</v>
      </c>
      <c r="E131" s="510" t="s">
        <v>1001</v>
      </c>
      <c r="F131" s="522" t="s">
        <v>1011</v>
      </c>
      <c r="G131" s="537"/>
      <c r="H131" s="537"/>
      <c r="I131" s="537"/>
      <c r="J131" s="537"/>
      <c r="K131" s="537"/>
    </row>
    <row r="132">
      <c r="A132" s="3">
        <f t="shared" si="1"/>
        <v>132</v>
      </c>
      <c r="B132" s="522" t="s">
        <v>1011</v>
      </c>
      <c r="C132" s="3" t="str">
        <f t="shared" si="2"/>
        <v>=&gt;</v>
      </c>
      <c r="D132" s="3" t="s">
        <v>8</v>
      </c>
      <c r="E132" s="537"/>
      <c r="F132" s="537"/>
      <c r="G132" s="537"/>
      <c r="H132" s="537"/>
      <c r="I132" s="537"/>
      <c r="J132" s="537"/>
      <c r="K132" s="537"/>
    </row>
    <row r="133">
      <c r="A133" s="3">
        <f t="shared" si="1"/>
        <v>133</v>
      </c>
      <c r="B133" s="651" t="s">
        <v>839</v>
      </c>
      <c r="C133" s="3" t="str">
        <f t="shared" si="2"/>
        <v>=&gt;</v>
      </c>
      <c r="D133" s="3" t="s">
        <v>17</v>
      </c>
      <c r="E133" s="523" t="s">
        <v>1012</v>
      </c>
      <c r="F133" s="524" t="s">
        <v>1013</v>
      </c>
      <c r="G133" s="3" t="s">
        <v>19</v>
      </c>
      <c r="H133" s="537"/>
      <c r="I133" s="537"/>
      <c r="J133" s="100"/>
      <c r="K133" s="100"/>
    </row>
    <row r="134">
      <c r="A134" s="3">
        <f t="shared" si="1"/>
        <v>134</v>
      </c>
      <c r="B134" s="523" t="s">
        <v>1012</v>
      </c>
      <c r="C134" s="3" t="str">
        <f t="shared" si="2"/>
        <v>=&gt;</v>
      </c>
      <c r="D134" s="652" t="s">
        <v>1128</v>
      </c>
      <c r="E134" s="523" t="s">
        <v>1012</v>
      </c>
      <c r="F134" s="537"/>
      <c r="G134" s="537"/>
      <c r="H134" s="537"/>
      <c r="I134" s="537"/>
      <c r="J134" s="537"/>
      <c r="K134" s="537"/>
    </row>
    <row r="135">
      <c r="A135" s="3">
        <f t="shared" si="1"/>
        <v>135</v>
      </c>
      <c r="B135" s="523" t="s">
        <v>1012</v>
      </c>
      <c r="C135" s="3" t="str">
        <f t="shared" si="2"/>
        <v>=&gt;</v>
      </c>
      <c r="D135" s="3" t="s">
        <v>14</v>
      </c>
      <c r="E135" s="530" t="s">
        <v>1014</v>
      </c>
      <c r="F135" s="100"/>
      <c r="G135" s="537"/>
      <c r="H135" s="537"/>
      <c r="I135" s="537"/>
      <c r="J135" s="537"/>
      <c r="K135" s="537"/>
    </row>
    <row r="136">
      <c r="A136" s="3">
        <f t="shared" si="1"/>
        <v>136</v>
      </c>
      <c r="B136" s="523" t="s">
        <v>1012</v>
      </c>
      <c r="C136" s="3" t="str">
        <f t="shared" si="2"/>
        <v>=&gt;</v>
      </c>
      <c r="D136" s="3" t="s">
        <v>8</v>
      </c>
      <c r="E136" s="537"/>
      <c r="F136" s="537"/>
      <c r="G136" s="537"/>
      <c r="H136" s="537"/>
      <c r="I136" s="537"/>
      <c r="J136" s="537"/>
      <c r="K136" s="537"/>
    </row>
    <row r="137">
      <c r="A137" s="3">
        <f t="shared" si="1"/>
        <v>137</v>
      </c>
      <c r="B137" s="524" t="s">
        <v>1013</v>
      </c>
      <c r="C137" s="3" t="str">
        <f t="shared" si="2"/>
        <v>=&gt;</v>
      </c>
      <c r="D137" s="543" t="s">
        <v>1018</v>
      </c>
      <c r="E137" s="524" t="s">
        <v>1013</v>
      </c>
      <c r="F137" s="100"/>
      <c r="G137" s="100"/>
      <c r="H137" s="100"/>
      <c r="I137" s="537"/>
      <c r="J137" s="537"/>
      <c r="K137" s="100"/>
    </row>
    <row r="138">
      <c r="A138" s="3">
        <f t="shared" si="1"/>
        <v>138</v>
      </c>
      <c r="B138" s="524" t="s">
        <v>1013</v>
      </c>
      <c r="C138" s="3" t="str">
        <f t="shared" si="2"/>
        <v>=&gt;</v>
      </c>
      <c r="D138" s="654" t="s">
        <v>1019</v>
      </c>
      <c r="E138" s="3" t="s">
        <v>6</v>
      </c>
      <c r="F138" s="524" t="s">
        <v>1013</v>
      </c>
      <c r="G138" s="100"/>
      <c r="H138" s="100"/>
      <c r="I138" s="537"/>
      <c r="J138" s="537"/>
      <c r="K138" s="100"/>
    </row>
    <row r="139">
      <c r="A139" s="3">
        <f t="shared" si="1"/>
        <v>139</v>
      </c>
      <c r="B139" s="524" t="s">
        <v>1013</v>
      </c>
      <c r="C139" s="3" t="str">
        <f t="shared" si="2"/>
        <v>=&gt;</v>
      </c>
      <c r="D139" s="549" t="s">
        <v>1020</v>
      </c>
      <c r="E139" s="524" t="s">
        <v>1013</v>
      </c>
      <c r="F139" s="537"/>
      <c r="G139" s="537"/>
      <c r="H139" s="537"/>
      <c r="I139" s="537"/>
      <c r="J139" s="537"/>
      <c r="K139" s="100"/>
    </row>
    <row r="140">
      <c r="A140" s="3">
        <f t="shared" si="1"/>
        <v>140</v>
      </c>
      <c r="B140" s="524" t="s">
        <v>1013</v>
      </c>
      <c r="C140" s="3" t="str">
        <f t="shared" si="2"/>
        <v>=&gt;</v>
      </c>
      <c r="D140" s="569" t="s">
        <v>1021</v>
      </c>
      <c r="E140" s="524" t="s">
        <v>1013</v>
      </c>
      <c r="F140" s="537"/>
      <c r="G140" s="537"/>
      <c r="H140" s="537"/>
      <c r="I140" s="537"/>
      <c r="J140" s="537"/>
      <c r="K140" s="100"/>
    </row>
    <row r="141">
      <c r="A141" s="3">
        <f t="shared" si="1"/>
        <v>141</v>
      </c>
      <c r="B141" s="524" t="s">
        <v>1013</v>
      </c>
      <c r="C141" s="3" t="str">
        <f t="shared" si="2"/>
        <v>=&gt;</v>
      </c>
      <c r="D141" s="591" t="s">
        <v>1062</v>
      </c>
      <c r="E141" s="524" t="s">
        <v>1013</v>
      </c>
      <c r="F141" s="100"/>
      <c r="G141" s="100"/>
      <c r="H141" s="100"/>
      <c r="I141" s="537"/>
      <c r="J141" s="537"/>
      <c r="K141" s="100"/>
    </row>
    <row r="142">
      <c r="A142" s="3">
        <f t="shared" si="1"/>
        <v>142</v>
      </c>
      <c r="B142" s="524" t="s">
        <v>1013</v>
      </c>
      <c r="C142" s="3" t="str">
        <f t="shared" si="2"/>
        <v>=&gt;</v>
      </c>
      <c r="D142" s="3" t="s">
        <v>8</v>
      </c>
      <c r="E142" s="100"/>
      <c r="F142" s="100"/>
      <c r="G142" s="100"/>
      <c r="H142" s="100"/>
      <c r="I142" s="537"/>
      <c r="J142" s="537"/>
      <c r="K142" s="100"/>
    </row>
    <row r="143">
      <c r="A143" s="3">
        <f t="shared" si="1"/>
        <v>143</v>
      </c>
      <c r="B143" s="530" t="s">
        <v>1014</v>
      </c>
      <c r="C143" s="3" t="str">
        <f t="shared" si="2"/>
        <v>=&gt;</v>
      </c>
      <c r="D143" s="3" t="s">
        <v>850</v>
      </c>
      <c r="E143" s="513" t="s">
        <v>1004</v>
      </c>
      <c r="F143" s="3" t="s">
        <v>6</v>
      </c>
      <c r="G143" s="523" t="s">
        <v>1012</v>
      </c>
      <c r="H143" s="100"/>
      <c r="I143" s="537"/>
      <c r="J143" s="537"/>
      <c r="K143" s="100"/>
    </row>
    <row r="144">
      <c r="A144" s="3">
        <f t="shared" si="1"/>
        <v>144</v>
      </c>
      <c r="B144" s="530" t="s">
        <v>1014</v>
      </c>
      <c r="C144" s="3" t="str">
        <f t="shared" si="2"/>
        <v>=&gt;</v>
      </c>
      <c r="D144" s="3" t="s">
        <v>30</v>
      </c>
      <c r="E144" s="531" t="s">
        <v>1015</v>
      </c>
      <c r="F144" s="100"/>
      <c r="G144" s="100"/>
      <c r="H144" s="100"/>
      <c r="I144" s="537"/>
      <c r="J144" s="537"/>
      <c r="K144" s="100"/>
    </row>
    <row r="145">
      <c r="A145" s="3">
        <f t="shared" si="1"/>
        <v>145</v>
      </c>
      <c r="B145" s="530" t="s">
        <v>1014</v>
      </c>
      <c r="C145" s="3" t="str">
        <f t="shared" si="2"/>
        <v>=&gt;</v>
      </c>
      <c r="D145" s="424" t="s">
        <v>930</v>
      </c>
      <c r="E145" s="532" t="s">
        <v>1016</v>
      </c>
      <c r="F145" s="395" t="s">
        <v>28</v>
      </c>
      <c r="G145" s="3" t="s">
        <v>6</v>
      </c>
      <c r="H145" s="524" t="s">
        <v>1013</v>
      </c>
      <c r="I145" s="537"/>
      <c r="J145" s="537"/>
      <c r="K145" s="100"/>
    </row>
    <row r="146">
      <c r="A146" s="3">
        <f t="shared" si="1"/>
        <v>146</v>
      </c>
      <c r="B146" s="530" t="s">
        <v>1014</v>
      </c>
      <c r="C146" s="3" t="str">
        <f t="shared" si="2"/>
        <v>=&gt;</v>
      </c>
      <c r="D146" s="532" t="s">
        <v>1016</v>
      </c>
      <c r="E146" s="395" t="s">
        <v>28</v>
      </c>
      <c r="F146" s="3" t="s">
        <v>6</v>
      </c>
      <c r="G146" s="524" t="s">
        <v>1013</v>
      </c>
      <c r="H146" s="100"/>
      <c r="I146" s="537"/>
      <c r="J146" s="537"/>
      <c r="K146" s="100"/>
    </row>
    <row r="147">
      <c r="A147" s="3">
        <f t="shared" si="1"/>
        <v>147</v>
      </c>
      <c r="B147" s="530" t="s">
        <v>1014</v>
      </c>
      <c r="C147" s="3" t="str">
        <f t="shared" si="2"/>
        <v>=&gt;</v>
      </c>
      <c r="D147" s="533" t="s">
        <v>1017</v>
      </c>
      <c r="E147" s="8" t="s">
        <v>6</v>
      </c>
      <c r="F147" s="524" t="s">
        <v>1013</v>
      </c>
      <c r="G147" s="100"/>
      <c r="H147" s="100"/>
      <c r="I147" s="537"/>
      <c r="J147" s="537"/>
      <c r="K147" s="100"/>
    </row>
    <row r="148">
      <c r="A148" s="3">
        <f t="shared" si="1"/>
        <v>148</v>
      </c>
      <c r="B148" s="531" t="s">
        <v>1015</v>
      </c>
      <c r="C148" s="3" t="str">
        <f t="shared" si="2"/>
        <v>=&gt;</v>
      </c>
      <c r="D148" s="8" t="s">
        <v>32</v>
      </c>
      <c r="E148" s="464" t="s">
        <v>964</v>
      </c>
      <c r="F148" s="3" t="s">
        <v>850</v>
      </c>
      <c r="G148" s="513" t="s">
        <v>1004</v>
      </c>
      <c r="H148" s="3" t="s">
        <v>6</v>
      </c>
      <c r="I148" s="523" t="s">
        <v>1012</v>
      </c>
      <c r="J148" s="537"/>
      <c r="K148" s="100"/>
    </row>
    <row r="149">
      <c r="A149" s="3">
        <f t="shared" si="1"/>
        <v>149</v>
      </c>
      <c r="B149" s="531" t="s">
        <v>1015</v>
      </c>
      <c r="C149" s="3" t="str">
        <f t="shared" si="2"/>
        <v>=&gt;</v>
      </c>
      <c r="D149" s="603" t="s">
        <v>1085</v>
      </c>
      <c r="E149" s="8" t="s">
        <v>32</v>
      </c>
      <c r="F149" s="535" t="s">
        <v>894</v>
      </c>
      <c r="G149" s="532" t="s">
        <v>1016</v>
      </c>
      <c r="H149" s="395" t="s">
        <v>28</v>
      </c>
      <c r="I149" s="3" t="s">
        <v>6</v>
      </c>
      <c r="J149" s="524" t="s">
        <v>1013</v>
      </c>
      <c r="K149" s="100"/>
    </row>
    <row r="150">
      <c r="A150" s="3">
        <f t="shared" si="1"/>
        <v>150</v>
      </c>
      <c r="B150" s="543" t="s">
        <v>1018</v>
      </c>
      <c r="C150" s="3" t="str">
        <f t="shared" si="2"/>
        <v>=&gt;</v>
      </c>
      <c r="D150" s="3" t="s">
        <v>14</v>
      </c>
      <c r="E150" s="544" t="s">
        <v>1023</v>
      </c>
      <c r="F150" s="524" t="s">
        <v>1013</v>
      </c>
      <c r="G150" s="100"/>
      <c r="H150" s="100"/>
      <c r="I150" s="537"/>
      <c r="J150" s="537"/>
      <c r="K150" s="100"/>
    </row>
    <row r="151">
      <c r="A151" s="3">
        <f t="shared" si="1"/>
        <v>151</v>
      </c>
      <c r="B151" s="544" t="s">
        <v>1023</v>
      </c>
      <c r="C151" s="3" t="str">
        <f t="shared" si="2"/>
        <v>=&gt;</v>
      </c>
      <c r="D151" s="533" t="s">
        <v>1017</v>
      </c>
      <c r="E151" s="8" t="s">
        <v>6</v>
      </c>
      <c r="F151" s="100"/>
      <c r="G151" s="100"/>
      <c r="H151" s="537"/>
      <c r="I151" s="537"/>
      <c r="J151" s="537"/>
      <c r="K151" s="100"/>
    </row>
    <row r="152">
      <c r="A152" s="3">
        <f t="shared" si="1"/>
        <v>152</v>
      </c>
      <c r="B152" s="544" t="s">
        <v>1023</v>
      </c>
      <c r="C152" s="3" t="str">
        <f t="shared" si="2"/>
        <v>=&gt;</v>
      </c>
      <c r="D152" s="545" t="s">
        <v>1024</v>
      </c>
      <c r="E152" s="100"/>
      <c r="F152" s="100"/>
      <c r="G152" s="100"/>
      <c r="H152" s="537"/>
      <c r="I152" s="537"/>
      <c r="J152" s="537"/>
      <c r="K152" s="100"/>
    </row>
    <row r="153">
      <c r="A153" s="3">
        <f t="shared" si="1"/>
        <v>153</v>
      </c>
      <c r="B153" s="545" t="s">
        <v>1024</v>
      </c>
      <c r="C153" s="3" t="str">
        <f t="shared" si="2"/>
        <v>=&gt;</v>
      </c>
      <c r="D153" s="535" t="s">
        <v>894</v>
      </c>
      <c r="E153" s="532" t="s">
        <v>1016</v>
      </c>
      <c r="F153" s="395" t="s">
        <v>28</v>
      </c>
      <c r="G153" s="3" t="s">
        <v>6</v>
      </c>
      <c r="H153" s="100"/>
      <c r="I153" s="537"/>
      <c r="J153" s="537"/>
      <c r="K153" s="100"/>
    </row>
    <row r="154">
      <c r="A154" s="3">
        <f t="shared" si="1"/>
        <v>154</v>
      </c>
      <c r="B154" s="532" t="s">
        <v>1016</v>
      </c>
      <c r="C154" s="3" t="str">
        <f t="shared" si="2"/>
        <v>=&gt;</v>
      </c>
      <c r="D154" s="8" t="str">
        <f>"="</f>
        <v>=</v>
      </c>
      <c r="E154" s="100"/>
      <c r="F154" s="100"/>
      <c r="G154" s="100"/>
      <c r="H154" s="537"/>
      <c r="I154" s="537"/>
      <c r="J154" s="537"/>
      <c r="K154" s="100"/>
    </row>
    <row r="155">
      <c r="A155" s="3">
        <f t="shared" si="1"/>
        <v>155</v>
      </c>
      <c r="B155" s="532" t="s">
        <v>1016</v>
      </c>
      <c r="C155" s="3" t="str">
        <f t="shared" si="2"/>
        <v>=&gt;</v>
      </c>
      <c r="D155" s="8" t="str">
        <f>"+="</f>
        <v>+=</v>
      </c>
      <c r="E155" s="100"/>
      <c r="F155" s="100"/>
      <c r="G155" s="100"/>
      <c r="H155" s="537"/>
      <c r="I155" s="537"/>
      <c r="J155" s="537"/>
      <c r="K155" s="100"/>
    </row>
    <row r="156">
      <c r="A156" s="3">
        <f t="shared" si="1"/>
        <v>156</v>
      </c>
      <c r="B156" s="532" t="s">
        <v>1016</v>
      </c>
      <c r="C156" s="3" t="str">
        <f t="shared" si="2"/>
        <v>=&gt;</v>
      </c>
      <c r="D156" s="8" t="str">
        <f>"-="</f>
        <v>-=</v>
      </c>
      <c r="E156" s="100"/>
      <c r="F156" s="100"/>
      <c r="G156" s="100"/>
      <c r="H156" s="537"/>
      <c r="I156" s="537"/>
      <c r="J156" s="537"/>
      <c r="K156" s="100"/>
    </row>
    <row r="157">
      <c r="A157" s="3">
        <f t="shared" si="1"/>
        <v>157</v>
      </c>
      <c r="B157" s="532" t="s">
        <v>1016</v>
      </c>
      <c r="C157" s="3" t="str">
        <f t="shared" si="2"/>
        <v>=&gt;</v>
      </c>
      <c r="D157" s="8" t="str">
        <f>"*="</f>
        <v>*=</v>
      </c>
      <c r="E157" s="100"/>
      <c r="F157" s="100"/>
      <c r="G157" s="100"/>
      <c r="H157" s="537"/>
      <c r="I157" s="537"/>
      <c r="J157" s="537"/>
      <c r="K157" s="100"/>
    </row>
    <row r="158">
      <c r="A158" s="3">
        <f t="shared" si="1"/>
        <v>158</v>
      </c>
      <c r="B158" s="532" t="s">
        <v>1016</v>
      </c>
      <c r="C158" s="3" t="str">
        <f t="shared" si="2"/>
        <v>=&gt;</v>
      </c>
      <c r="D158" s="8" t="str">
        <f>"/="</f>
        <v>/=</v>
      </c>
      <c r="E158" s="100"/>
      <c r="F158" s="100"/>
      <c r="G158" s="100"/>
      <c r="H158" s="537"/>
      <c r="I158" s="537"/>
      <c r="J158" s="537"/>
      <c r="K158" s="100"/>
    </row>
    <row r="159">
      <c r="A159" s="3">
        <f t="shared" si="1"/>
        <v>159</v>
      </c>
      <c r="B159" s="532" t="s">
        <v>1016</v>
      </c>
      <c r="C159" s="3" t="str">
        <f t="shared" si="2"/>
        <v>=&gt;</v>
      </c>
      <c r="D159" s="8" t="str">
        <f>"%="</f>
        <v>%=</v>
      </c>
      <c r="E159" s="100"/>
      <c r="F159" s="100"/>
      <c r="G159" s="100"/>
      <c r="H159" s="537"/>
      <c r="I159" s="537"/>
      <c r="J159" s="537"/>
      <c r="K159" s="100"/>
    </row>
    <row r="160">
      <c r="A160" s="3">
        <f t="shared" si="1"/>
        <v>160</v>
      </c>
      <c r="B160" s="549" t="s">
        <v>1020</v>
      </c>
      <c r="C160" s="3" t="str">
        <f t="shared" si="2"/>
        <v>=&gt;</v>
      </c>
      <c r="D160" s="550" t="s">
        <v>1027</v>
      </c>
      <c r="E160" s="537"/>
      <c r="F160" s="537"/>
      <c r="G160" s="537"/>
      <c r="H160" s="537"/>
      <c r="I160" s="537"/>
      <c r="J160" s="537"/>
      <c r="K160" s="100"/>
    </row>
    <row r="161">
      <c r="A161" s="3">
        <f t="shared" si="1"/>
        <v>161</v>
      </c>
      <c r="B161" s="549" t="s">
        <v>1020</v>
      </c>
      <c r="C161" s="3" t="str">
        <f t="shared" si="2"/>
        <v>=&gt;</v>
      </c>
      <c r="D161" s="551" t="s">
        <v>1028</v>
      </c>
      <c r="E161" s="537"/>
      <c r="F161" s="537"/>
      <c r="G161" s="537"/>
      <c r="H161" s="537"/>
      <c r="I161" s="537"/>
      <c r="J161" s="537"/>
      <c r="K161" s="100"/>
    </row>
    <row r="162">
      <c r="A162" s="3">
        <f t="shared" si="1"/>
        <v>162</v>
      </c>
      <c r="B162" s="550" t="s">
        <v>1027</v>
      </c>
      <c r="C162" s="3" t="str">
        <f t="shared" si="2"/>
        <v>=&gt;</v>
      </c>
      <c r="D162" s="542" t="s">
        <v>1029</v>
      </c>
      <c r="E162" s="3" t="s">
        <v>62</v>
      </c>
      <c r="F162" s="603" t="s">
        <v>1085</v>
      </c>
      <c r="G162" s="3" t="s">
        <v>64</v>
      </c>
      <c r="H162" s="651" t="s">
        <v>839</v>
      </c>
      <c r="I162" s="553" t="s">
        <v>1030</v>
      </c>
      <c r="J162" s="554" t="s">
        <v>1031</v>
      </c>
      <c r="K162" s="537"/>
    </row>
    <row r="163">
      <c r="A163" s="3">
        <f t="shared" si="1"/>
        <v>163</v>
      </c>
      <c r="B163" s="553" t="s">
        <v>1030</v>
      </c>
      <c r="C163" s="3" t="str">
        <f t="shared" si="2"/>
        <v>=&gt;</v>
      </c>
      <c r="D163" s="542" t="s">
        <v>1032</v>
      </c>
      <c r="E163" s="3" t="s">
        <v>62</v>
      </c>
      <c r="F163" s="603" t="s">
        <v>1085</v>
      </c>
      <c r="G163" s="3" t="s">
        <v>64</v>
      </c>
      <c r="H163" s="651" t="s">
        <v>839</v>
      </c>
      <c r="I163" s="553" t="s">
        <v>1030</v>
      </c>
      <c r="J163" s="537"/>
      <c r="K163" s="537"/>
    </row>
    <row r="164">
      <c r="A164" s="3">
        <f t="shared" si="1"/>
        <v>164</v>
      </c>
      <c r="B164" s="553" t="s">
        <v>1030</v>
      </c>
      <c r="C164" s="3" t="str">
        <f t="shared" si="2"/>
        <v>=&gt;</v>
      </c>
      <c r="D164" s="542" t="s">
        <v>8</v>
      </c>
      <c r="E164" s="537"/>
      <c r="F164" s="537"/>
      <c r="G164" s="537"/>
      <c r="H164" s="537"/>
      <c r="I164" s="537"/>
      <c r="J164" s="537"/>
      <c r="K164" s="537"/>
    </row>
    <row r="165">
      <c r="A165" s="3">
        <f t="shared" si="1"/>
        <v>165</v>
      </c>
      <c r="B165" s="554" t="s">
        <v>1031</v>
      </c>
      <c r="C165" s="3" t="str">
        <f t="shared" si="2"/>
        <v>=&gt;</v>
      </c>
      <c r="D165" s="542" t="s">
        <v>1033</v>
      </c>
      <c r="E165" s="651" t="s">
        <v>839</v>
      </c>
      <c r="F165" s="537"/>
      <c r="G165" s="537"/>
      <c r="H165" s="537"/>
      <c r="I165" s="537"/>
      <c r="J165" s="537"/>
      <c r="K165" s="537"/>
    </row>
    <row r="166">
      <c r="A166" s="3">
        <f t="shared" si="1"/>
        <v>166</v>
      </c>
      <c r="B166" s="554" t="s">
        <v>1031</v>
      </c>
      <c r="C166" s="3" t="str">
        <f t="shared" si="2"/>
        <v>=&gt;</v>
      </c>
      <c r="D166" s="542" t="s">
        <v>8</v>
      </c>
      <c r="E166" s="537"/>
      <c r="F166" s="537"/>
      <c r="G166" s="537"/>
      <c r="H166" s="537"/>
      <c r="I166" s="537"/>
      <c r="J166" s="537"/>
      <c r="K166" s="537"/>
    </row>
    <row r="167">
      <c r="A167" s="3">
        <f t="shared" si="1"/>
        <v>167</v>
      </c>
      <c r="B167" s="551" t="s">
        <v>1028</v>
      </c>
      <c r="C167" s="3" t="str">
        <f t="shared" si="2"/>
        <v>=&gt;</v>
      </c>
      <c r="D167" s="542" t="s">
        <v>1034</v>
      </c>
      <c r="E167" s="3" t="s">
        <v>62</v>
      </c>
      <c r="F167" s="603" t="s">
        <v>1085</v>
      </c>
      <c r="G167" s="3" t="s">
        <v>64</v>
      </c>
      <c r="H167" s="555" t="s">
        <v>1035</v>
      </c>
      <c r="I167" s="537"/>
      <c r="J167" s="537"/>
      <c r="K167" s="537"/>
    </row>
    <row r="168">
      <c r="A168" s="3">
        <f t="shared" si="1"/>
        <v>168</v>
      </c>
      <c r="B168" s="555" t="s">
        <v>1035</v>
      </c>
      <c r="C168" s="3" t="str">
        <f t="shared" si="2"/>
        <v>=&gt;</v>
      </c>
      <c r="D168" s="542" t="s">
        <v>17</v>
      </c>
      <c r="E168" s="556" t="s">
        <v>1036</v>
      </c>
      <c r="F168" s="557" t="s">
        <v>1037</v>
      </c>
      <c r="G168" s="3" t="s">
        <v>19</v>
      </c>
      <c r="H168" s="537"/>
      <c r="I168" s="537"/>
      <c r="J168" s="537"/>
      <c r="K168" s="537"/>
    </row>
    <row r="169">
      <c r="A169" s="3">
        <f t="shared" si="1"/>
        <v>169</v>
      </c>
      <c r="B169" s="556" t="s">
        <v>1036</v>
      </c>
      <c r="C169" s="3" t="str">
        <f t="shared" si="2"/>
        <v>=&gt;</v>
      </c>
      <c r="D169" s="542" t="s">
        <v>1038</v>
      </c>
      <c r="E169" s="558" t="s">
        <v>1039</v>
      </c>
      <c r="F169" s="3" t="s">
        <v>180</v>
      </c>
      <c r="G169" s="524" t="s">
        <v>1013</v>
      </c>
      <c r="H169" s="556" t="s">
        <v>1036</v>
      </c>
      <c r="I169" s="100"/>
      <c r="J169" s="537"/>
      <c r="K169" s="537"/>
    </row>
    <row r="170">
      <c r="A170" s="3">
        <f t="shared" si="1"/>
        <v>170</v>
      </c>
      <c r="B170" s="556" t="s">
        <v>1036</v>
      </c>
      <c r="C170" s="3" t="str">
        <f t="shared" si="2"/>
        <v>=&gt;</v>
      </c>
      <c r="D170" s="542" t="s">
        <v>8</v>
      </c>
      <c r="E170" s="537"/>
      <c r="F170" s="537"/>
      <c r="G170" s="537"/>
      <c r="H170" s="537"/>
      <c r="I170" s="537"/>
      <c r="J170" s="537"/>
      <c r="K170" s="537"/>
    </row>
    <row r="171">
      <c r="A171" s="3">
        <f t="shared" si="1"/>
        <v>171</v>
      </c>
      <c r="B171" s="558" t="s">
        <v>1039</v>
      </c>
      <c r="C171" s="3" t="str">
        <f t="shared" si="2"/>
        <v>=&gt;</v>
      </c>
      <c r="D171" s="3" t="s">
        <v>868</v>
      </c>
      <c r="E171" s="537"/>
      <c r="F171" s="537"/>
      <c r="G171" s="537"/>
      <c r="H171" s="537"/>
      <c r="I171" s="537"/>
      <c r="J171" s="537"/>
      <c r="K171" s="537"/>
    </row>
    <row r="172">
      <c r="A172" s="3">
        <f t="shared" si="1"/>
        <v>172</v>
      </c>
      <c r="B172" s="558" t="s">
        <v>1039</v>
      </c>
      <c r="C172" s="3" t="str">
        <f t="shared" si="2"/>
        <v>=&gt;</v>
      </c>
      <c r="D172" s="542" t="s">
        <v>904</v>
      </c>
      <c r="E172" s="537"/>
      <c r="F172" s="537"/>
      <c r="G172" s="537"/>
      <c r="H172" s="537"/>
      <c r="I172" s="537"/>
      <c r="J172" s="537"/>
      <c r="K172" s="537"/>
    </row>
    <row r="173">
      <c r="A173" s="3">
        <f t="shared" si="1"/>
        <v>173</v>
      </c>
      <c r="B173" s="557" t="s">
        <v>1037</v>
      </c>
      <c r="C173" s="3" t="str">
        <f t="shared" si="2"/>
        <v>=&gt;</v>
      </c>
      <c r="D173" s="542" t="s">
        <v>1070</v>
      </c>
      <c r="E173" s="3" t="s">
        <v>180</v>
      </c>
      <c r="F173" s="524" t="s">
        <v>1013</v>
      </c>
      <c r="G173" s="537"/>
      <c r="H173" s="537"/>
      <c r="I173" s="537"/>
      <c r="J173" s="537"/>
      <c r="K173" s="537"/>
    </row>
    <row r="174">
      <c r="A174" s="3">
        <f t="shared" si="1"/>
        <v>174</v>
      </c>
      <c r="B174" s="557" t="s">
        <v>1037</v>
      </c>
      <c r="C174" s="3" t="str">
        <f t="shared" si="2"/>
        <v>=&gt;</v>
      </c>
      <c r="D174" s="542" t="s">
        <v>8</v>
      </c>
      <c r="E174" s="537"/>
      <c r="F174" s="537"/>
      <c r="G174" s="537"/>
      <c r="H174" s="537"/>
      <c r="I174" s="537"/>
      <c r="J174" s="537"/>
      <c r="K174" s="537"/>
    </row>
    <row r="175">
      <c r="A175" s="3">
        <f t="shared" si="1"/>
        <v>175</v>
      </c>
      <c r="B175" s="569" t="s">
        <v>1021</v>
      </c>
      <c r="C175" s="3" t="str">
        <f t="shared" si="2"/>
        <v>=&gt;</v>
      </c>
      <c r="D175" s="570" t="s">
        <v>1049</v>
      </c>
      <c r="E175" s="537"/>
      <c r="F175" s="537"/>
      <c r="G175" s="537"/>
      <c r="H175" s="537"/>
      <c r="I175" s="537"/>
      <c r="J175" s="537"/>
      <c r="K175" s="100"/>
    </row>
    <row r="176">
      <c r="A176" s="3">
        <f t="shared" si="1"/>
        <v>176</v>
      </c>
      <c r="B176" s="569" t="s">
        <v>1021</v>
      </c>
      <c r="C176" s="3" t="str">
        <f t="shared" si="2"/>
        <v>=&gt;</v>
      </c>
      <c r="D176" s="571" t="s">
        <v>1050</v>
      </c>
      <c r="E176" s="537"/>
      <c r="F176" s="537"/>
      <c r="G176" s="537"/>
      <c r="H176" s="537"/>
      <c r="I176" s="537"/>
      <c r="J176" s="537"/>
      <c r="K176" s="100"/>
    </row>
    <row r="177">
      <c r="A177" s="3">
        <f t="shared" si="1"/>
        <v>177</v>
      </c>
      <c r="B177" s="569" t="s">
        <v>1021</v>
      </c>
      <c r="C177" s="3" t="str">
        <f t="shared" si="2"/>
        <v>=&gt;</v>
      </c>
      <c r="D177" s="572" t="s">
        <v>1051</v>
      </c>
      <c r="E177" s="537"/>
      <c r="F177" s="537"/>
      <c r="G177" s="537"/>
      <c r="H177" s="537"/>
      <c r="I177" s="537"/>
      <c r="J177" s="537"/>
      <c r="K177" s="100"/>
    </row>
    <row r="178">
      <c r="A178" s="3">
        <f t="shared" si="1"/>
        <v>178</v>
      </c>
      <c r="B178" s="570" t="s">
        <v>1049</v>
      </c>
      <c r="C178" s="3" t="str">
        <f t="shared" si="2"/>
        <v>=&gt;</v>
      </c>
      <c r="D178" s="542" t="s">
        <v>1052</v>
      </c>
      <c r="E178" s="3" t="s">
        <v>62</v>
      </c>
      <c r="F178" s="573" t="s">
        <v>1053</v>
      </c>
      <c r="G178" s="574" t="s">
        <v>189</v>
      </c>
      <c r="H178" s="603" t="s">
        <v>1085</v>
      </c>
      <c r="I178" s="3" t="s">
        <v>64</v>
      </c>
      <c r="J178" s="3" t="s">
        <v>1054</v>
      </c>
      <c r="K178" s="100"/>
    </row>
    <row r="179">
      <c r="A179" s="3">
        <f t="shared" si="1"/>
        <v>179</v>
      </c>
      <c r="B179" s="573" t="s">
        <v>1053</v>
      </c>
      <c r="C179" s="3" t="str">
        <f t="shared" si="2"/>
        <v>=&gt;</v>
      </c>
      <c r="D179" s="3" t="s">
        <v>14</v>
      </c>
      <c r="E179" s="601" t="s">
        <v>1083</v>
      </c>
      <c r="F179" s="3" t="s">
        <v>6</v>
      </c>
      <c r="G179" s="537"/>
      <c r="H179" s="537"/>
      <c r="I179" s="537"/>
      <c r="J179" s="537"/>
      <c r="K179" s="537"/>
    </row>
    <row r="180">
      <c r="A180" s="3">
        <f t="shared" si="1"/>
        <v>180</v>
      </c>
      <c r="B180" s="574" t="s">
        <v>189</v>
      </c>
      <c r="C180" s="3" t="str">
        <f t="shared" si="2"/>
        <v>=&gt;</v>
      </c>
      <c r="D180" s="3" t="s">
        <v>14</v>
      </c>
      <c r="E180" s="545" t="s">
        <v>1024</v>
      </c>
      <c r="F180" s="537"/>
      <c r="G180" s="537"/>
      <c r="H180" s="537"/>
      <c r="I180" s="537"/>
      <c r="J180" s="537"/>
      <c r="K180" s="537"/>
    </row>
    <row r="181">
      <c r="A181" s="3">
        <f t="shared" si="1"/>
        <v>181</v>
      </c>
      <c r="B181" s="571" t="s">
        <v>1050</v>
      </c>
      <c r="C181" s="3" t="str">
        <f t="shared" si="2"/>
        <v>=&gt;</v>
      </c>
      <c r="D181" s="542" t="s">
        <v>1075</v>
      </c>
      <c r="E181" s="3" t="s">
        <v>62</v>
      </c>
      <c r="F181" s="603" t="s">
        <v>1085</v>
      </c>
      <c r="G181" s="3" t="s">
        <v>64</v>
      </c>
      <c r="H181" s="3" t="s">
        <v>1054</v>
      </c>
      <c r="I181" s="537"/>
      <c r="J181" s="537"/>
      <c r="K181" s="537"/>
    </row>
    <row r="182">
      <c r="A182" s="3">
        <f t="shared" si="1"/>
        <v>182</v>
      </c>
      <c r="B182" s="572" t="s">
        <v>1051</v>
      </c>
      <c r="C182" s="3" t="str">
        <f t="shared" si="2"/>
        <v>=&gt;</v>
      </c>
      <c r="D182" s="542" t="s">
        <v>1076</v>
      </c>
      <c r="E182" s="3" t="s">
        <v>1054</v>
      </c>
      <c r="F182" s="3" t="s">
        <v>1075</v>
      </c>
      <c r="G182" s="3" t="s">
        <v>62</v>
      </c>
      <c r="H182" s="603" t="s">
        <v>1085</v>
      </c>
      <c r="I182" s="3" t="s">
        <v>64</v>
      </c>
      <c r="J182" s="3" t="s">
        <v>6</v>
      </c>
      <c r="K182" s="537"/>
    </row>
    <row r="183">
      <c r="A183" s="3">
        <f t="shared" si="1"/>
        <v>183</v>
      </c>
      <c r="B183" s="591" t="s">
        <v>1062</v>
      </c>
      <c r="C183" s="3" t="str">
        <f t="shared" si="2"/>
        <v>=&gt;</v>
      </c>
      <c r="D183" s="592" t="s">
        <v>1071</v>
      </c>
      <c r="E183" s="537"/>
      <c r="F183" s="537"/>
      <c r="G183" s="537"/>
      <c r="H183" s="537"/>
      <c r="I183" s="537"/>
      <c r="J183" s="537"/>
      <c r="K183" s="100"/>
    </row>
    <row r="184">
      <c r="A184" s="3">
        <f t="shared" si="1"/>
        <v>184</v>
      </c>
      <c r="B184" s="591" t="s">
        <v>1062</v>
      </c>
      <c r="C184" s="3" t="str">
        <f t="shared" si="2"/>
        <v>=&gt;</v>
      </c>
      <c r="D184" s="593" t="s">
        <v>1043</v>
      </c>
      <c r="E184" s="537"/>
      <c r="F184" s="537"/>
      <c r="G184" s="537"/>
      <c r="H184" s="537"/>
      <c r="I184" s="537"/>
      <c r="J184" s="537"/>
      <c r="K184" s="100"/>
    </row>
    <row r="185">
      <c r="A185" s="3">
        <f t="shared" si="1"/>
        <v>185</v>
      </c>
      <c r="B185" s="591" t="s">
        <v>1062</v>
      </c>
      <c r="C185" s="3" t="str">
        <f t="shared" si="2"/>
        <v>=&gt;</v>
      </c>
      <c r="D185" s="594" t="s">
        <v>1022</v>
      </c>
      <c r="E185" s="537"/>
      <c r="F185" s="537"/>
      <c r="G185" s="537"/>
      <c r="H185" s="537"/>
      <c r="I185" s="537"/>
      <c r="J185" s="537"/>
      <c r="K185" s="100"/>
    </row>
    <row r="186">
      <c r="A186" s="3">
        <f t="shared" si="1"/>
        <v>186</v>
      </c>
      <c r="B186" s="592" t="s">
        <v>1071</v>
      </c>
      <c r="C186" s="3" t="str">
        <f t="shared" si="2"/>
        <v>=&gt;</v>
      </c>
      <c r="D186" s="3" t="s">
        <v>1072</v>
      </c>
      <c r="E186" s="3" t="s">
        <v>6</v>
      </c>
      <c r="F186" s="537"/>
      <c r="G186" s="537"/>
      <c r="H186" s="537"/>
      <c r="I186" s="537"/>
      <c r="J186" s="537"/>
      <c r="K186" s="100"/>
    </row>
    <row r="187">
      <c r="A187" s="3">
        <f t="shared" si="1"/>
        <v>187</v>
      </c>
      <c r="B187" s="593" t="s">
        <v>1043</v>
      </c>
      <c r="C187" s="3" t="str">
        <f t="shared" si="2"/>
        <v>=&gt;</v>
      </c>
      <c r="D187" s="542" t="s">
        <v>1073</v>
      </c>
      <c r="E187" s="3" t="s">
        <v>6</v>
      </c>
      <c r="F187" s="537"/>
      <c r="G187" s="537"/>
      <c r="H187" s="537"/>
      <c r="I187" s="537"/>
      <c r="J187" s="537"/>
      <c r="K187" s="537"/>
    </row>
    <row r="188">
      <c r="A188" s="3">
        <f t="shared" si="1"/>
        <v>188</v>
      </c>
      <c r="B188" s="594" t="s">
        <v>1022</v>
      </c>
      <c r="C188" s="3" t="str">
        <f t="shared" si="2"/>
        <v>=&gt;</v>
      </c>
      <c r="D188" s="542" t="s">
        <v>1074</v>
      </c>
      <c r="E188" s="395" t="s">
        <v>28</v>
      </c>
      <c r="F188" s="3" t="s">
        <v>6</v>
      </c>
      <c r="G188" s="537"/>
      <c r="H188" s="537"/>
      <c r="I188" s="537"/>
      <c r="J188" s="537"/>
      <c r="K188" s="537"/>
    </row>
    <row r="189">
      <c r="A189" s="3"/>
      <c r="B189" s="3"/>
      <c r="C189" s="3"/>
      <c r="D189" s="542"/>
      <c r="E189" s="3"/>
      <c r="F189" s="3"/>
      <c r="G189" s="537"/>
      <c r="H189" s="537"/>
      <c r="I189" s="537"/>
      <c r="J189" s="537"/>
      <c r="K189" s="537"/>
    </row>
    <row r="190">
      <c r="A190" s="3"/>
      <c r="B190" s="3"/>
      <c r="C190" s="3"/>
      <c r="D190" s="542"/>
      <c r="E190" s="3"/>
      <c r="F190" s="3"/>
      <c r="G190" s="537"/>
      <c r="H190" s="3"/>
      <c r="I190" s="3"/>
      <c r="J190" s="542"/>
      <c r="K190" s="537"/>
    </row>
    <row r="191">
      <c r="A191" s="3"/>
      <c r="B191" s="7" t="s">
        <v>1131</v>
      </c>
      <c r="C191" s="3" t="str">
        <f t="shared" ref="C191:C193" si="3">"=&gt;"</f>
        <v>=&gt;</v>
      </c>
      <c r="D191" s="649" t="s">
        <v>1074</v>
      </c>
      <c r="E191" s="3"/>
      <c r="F191" s="3"/>
      <c r="G191" s="537"/>
      <c r="M191" s="3"/>
      <c r="N191" s="7"/>
    </row>
    <row r="192">
      <c r="A192" s="3"/>
      <c r="B192" s="7" t="s">
        <v>1132</v>
      </c>
      <c r="C192" s="3" t="str">
        <f t="shared" si="3"/>
        <v>=&gt;</v>
      </c>
      <c r="D192" s="649" t="s">
        <v>1072</v>
      </c>
      <c r="E192" s="7" t="s">
        <v>1073</v>
      </c>
      <c r="F192" s="7" t="s">
        <v>1074</v>
      </c>
      <c r="G192" s="537"/>
      <c r="M192" s="3"/>
      <c r="N192" s="3"/>
    </row>
    <row r="193">
      <c r="A193" s="3"/>
      <c r="B193" s="7" t="s">
        <v>1133</v>
      </c>
      <c r="C193" s="3" t="str">
        <f t="shared" si="3"/>
        <v>=&gt;</v>
      </c>
      <c r="D193" s="7" t="s">
        <v>1073</v>
      </c>
      <c r="E193" s="7" t="s">
        <v>1074</v>
      </c>
      <c r="F193" s="3"/>
      <c r="G193" s="537"/>
      <c r="M193" s="3"/>
      <c r="N193" s="3"/>
    </row>
    <row r="194">
      <c r="A194" s="3"/>
      <c r="B194" s="7"/>
      <c r="C194" s="3"/>
      <c r="D194" s="542"/>
      <c r="E194" s="3"/>
      <c r="F194" s="3"/>
      <c r="G194" s="537"/>
    </row>
    <row r="195">
      <c r="A195" s="3"/>
      <c r="B195" s="7" t="s">
        <v>1134</v>
      </c>
      <c r="C195" s="3" t="str">
        <f t="shared" ref="C195:C196" si="4">"=&gt;"</f>
        <v>=&gt;</v>
      </c>
      <c r="D195" s="649" t="s">
        <v>1072</v>
      </c>
      <c r="E195" s="7" t="s">
        <v>1073</v>
      </c>
      <c r="F195" s="7" t="s">
        <v>1074</v>
      </c>
      <c r="G195" s="620" t="s">
        <v>120</v>
      </c>
    </row>
    <row r="196">
      <c r="A196" s="3"/>
      <c r="B196" s="7" t="s">
        <v>1135</v>
      </c>
      <c r="C196" s="3" t="str">
        <f t="shared" si="4"/>
        <v>=&gt;</v>
      </c>
      <c r="D196" s="7" t="s">
        <v>1074</v>
      </c>
      <c r="E196" s="7"/>
      <c r="G196" s="537"/>
    </row>
    <row r="197">
      <c r="A197" s="3"/>
      <c r="C197" s="3"/>
      <c r="D197" s="542"/>
      <c r="E197" s="3"/>
      <c r="F197" s="3"/>
      <c r="G197" s="537"/>
    </row>
    <row r="198">
      <c r="A198" s="3"/>
      <c r="B198" s="7" t="s">
        <v>1136</v>
      </c>
      <c r="C198" s="3" t="str">
        <f t="shared" ref="C198:C199" si="5">"=&gt;"</f>
        <v>=&gt;</v>
      </c>
      <c r="D198" s="649" t="s">
        <v>1072</v>
      </c>
      <c r="E198" s="7" t="s">
        <v>1073</v>
      </c>
      <c r="F198" s="7" t="s">
        <v>1074</v>
      </c>
      <c r="G198" s="620" t="s">
        <v>120</v>
      </c>
    </row>
    <row r="199">
      <c r="A199" s="3"/>
      <c r="B199" s="7" t="s">
        <v>1137</v>
      </c>
      <c r="C199" s="3" t="str">
        <f t="shared" si="5"/>
        <v>=&gt;</v>
      </c>
      <c r="D199" s="7" t="s">
        <v>1073</v>
      </c>
      <c r="E199" s="7" t="s">
        <v>1074</v>
      </c>
      <c r="F199" s="3"/>
      <c r="G199" s="537"/>
    </row>
    <row r="200">
      <c r="A200" s="3"/>
      <c r="B200" s="3"/>
      <c r="C200" s="3"/>
      <c r="D200" s="542"/>
      <c r="E200" s="3"/>
      <c r="F200" s="3"/>
      <c r="G200" s="537"/>
      <c r="H200" s="537"/>
      <c r="I200" s="537"/>
      <c r="J200" s="537"/>
      <c r="K200" s="537"/>
    </row>
    <row r="201">
      <c r="A201" s="3"/>
      <c r="B201" s="7" t="s">
        <v>1138</v>
      </c>
      <c r="C201" s="3" t="str">
        <f t="shared" ref="C201:C202" si="6">"=&gt;"</f>
        <v>=&gt;</v>
      </c>
      <c r="D201" s="649" t="s">
        <v>1072</v>
      </c>
      <c r="E201" s="7" t="s">
        <v>1073</v>
      </c>
      <c r="F201" s="7" t="s">
        <v>1074</v>
      </c>
      <c r="G201" s="620" t="s">
        <v>120</v>
      </c>
      <c r="H201" s="537"/>
      <c r="I201" s="537"/>
      <c r="J201" s="537"/>
      <c r="K201" s="537"/>
    </row>
    <row r="202">
      <c r="A202" s="3"/>
      <c r="B202" s="7" t="s">
        <v>1139</v>
      </c>
      <c r="C202" s="3" t="str">
        <f t="shared" si="6"/>
        <v>=&gt;</v>
      </c>
      <c r="D202" s="7" t="s">
        <v>1073</v>
      </c>
      <c r="E202" s="7" t="s">
        <v>1074</v>
      </c>
      <c r="F202" s="3"/>
    </row>
    <row r="203">
      <c r="A203" s="3"/>
      <c r="B203" s="3"/>
      <c r="C203" s="3"/>
      <c r="D203" s="542"/>
      <c r="E203" s="3"/>
      <c r="F203" s="3"/>
    </row>
    <row r="204">
      <c r="A204" s="3"/>
      <c r="B204" s="7" t="s">
        <v>1131</v>
      </c>
      <c r="C204" s="3" t="str">
        <f t="shared" ref="C204:C206" si="7">"=&gt;"</f>
        <v>=&gt;</v>
      </c>
      <c r="D204" s="7" t="s">
        <v>839</v>
      </c>
      <c r="E204" s="3"/>
      <c r="F204" s="3"/>
      <c r="H204" s="679" t="s">
        <v>1013</v>
      </c>
      <c r="J204" s="537"/>
      <c r="K204" s="537"/>
      <c r="L204" s="537"/>
    </row>
    <row r="205">
      <c r="A205" s="3"/>
      <c r="B205" s="7" t="s">
        <v>1132</v>
      </c>
      <c r="C205" s="3" t="str">
        <f t="shared" si="7"/>
        <v>=&gt;</v>
      </c>
      <c r="D205" s="7" t="s">
        <v>1054</v>
      </c>
      <c r="E205" s="3"/>
      <c r="F205" s="3"/>
      <c r="H205" s="537"/>
      <c r="I205" s="524" t="s">
        <v>1013</v>
      </c>
      <c r="J205" s="3" t="str">
        <f t="shared" ref="J205:J210" si="8">"=&gt;"</f>
        <v>=&gt;</v>
      </c>
      <c r="K205" s="543" t="s">
        <v>1018</v>
      </c>
      <c r="L205" s="524" t="s">
        <v>1013</v>
      </c>
      <c r="M205" s="100"/>
    </row>
    <row r="206">
      <c r="A206" s="3"/>
      <c r="B206" s="7" t="s">
        <v>1133</v>
      </c>
      <c r="C206" s="3" t="str">
        <f t="shared" si="7"/>
        <v>=&gt;</v>
      </c>
      <c r="D206" s="7" t="s">
        <v>1035</v>
      </c>
      <c r="E206" s="3"/>
      <c r="F206" s="3"/>
      <c r="H206" s="537"/>
      <c r="I206" s="524" t="s">
        <v>1013</v>
      </c>
      <c r="J206" s="3" t="str">
        <f t="shared" si="8"/>
        <v>=&gt;</v>
      </c>
      <c r="K206" s="654" t="s">
        <v>1019</v>
      </c>
      <c r="L206" s="3" t="s">
        <v>6</v>
      </c>
      <c r="M206" s="524" t="s">
        <v>1013</v>
      </c>
    </row>
    <row r="207">
      <c r="A207" s="3"/>
      <c r="B207" s="3"/>
      <c r="C207" s="3"/>
      <c r="D207" s="542"/>
      <c r="E207" s="3"/>
      <c r="F207" s="3"/>
      <c r="H207" s="537"/>
      <c r="I207" s="524" t="s">
        <v>1013</v>
      </c>
      <c r="J207" s="3" t="str">
        <f t="shared" si="8"/>
        <v>=&gt;</v>
      </c>
      <c r="K207" s="549" t="s">
        <v>1020</v>
      </c>
      <c r="L207" s="524" t="s">
        <v>1013</v>
      </c>
      <c r="M207" s="537"/>
    </row>
    <row r="208">
      <c r="A208" s="3"/>
      <c r="B208" s="3"/>
      <c r="C208" s="3"/>
      <c r="D208" s="542"/>
      <c r="E208" s="3"/>
      <c r="F208" s="3"/>
      <c r="H208" s="537"/>
      <c r="I208" s="524" t="s">
        <v>1013</v>
      </c>
      <c r="J208" s="3" t="str">
        <f t="shared" si="8"/>
        <v>=&gt;</v>
      </c>
      <c r="K208" s="569" t="s">
        <v>1021</v>
      </c>
      <c r="L208" s="524" t="s">
        <v>1013</v>
      </c>
      <c r="M208" s="537"/>
    </row>
    <row r="209">
      <c r="A209" s="3"/>
      <c r="B209" s="3"/>
      <c r="C209" s="3"/>
      <c r="D209" s="542"/>
      <c r="E209" s="3"/>
      <c r="F209" s="3"/>
      <c r="H209" s="537"/>
      <c r="I209" s="524" t="s">
        <v>1013</v>
      </c>
      <c r="J209" s="3" t="str">
        <f t="shared" si="8"/>
        <v>=&gt;</v>
      </c>
      <c r="K209" s="7" t="s">
        <v>1022</v>
      </c>
      <c r="L209" s="524" t="s">
        <v>1013</v>
      </c>
      <c r="M209" s="100"/>
    </row>
    <row r="210">
      <c r="A210" s="3"/>
      <c r="B210" s="7" t="s">
        <v>1131</v>
      </c>
      <c r="C210" s="3" t="str">
        <f t="shared" ref="C210:C212" si="9">"=&gt;"</f>
        <v>=&gt;</v>
      </c>
      <c r="D210" s="7" t="s">
        <v>839</v>
      </c>
      <c r="E210" s="3" t="str">
        <f t="shared" ref="E210:E212" si="10">"=&gt;"</f>
        <v>=&gt;</v>
      </c>
      <c r="F210" s="679" t="s">
        <v>1013</v>
      </c>
      <c r="H210" s="537"/>
      <c r="I210" s="524" t="s">
        <v>1013</v>
      </c>
      <c r="J210" s="3" t="str">
        <f t="shared" si="8"/>
        <v>=&gt;</v>
      </c>
      <c r="K210" s="3" t="s">
        <v>8</v>
      </c>
      <c r="L210" s="100"/>
      <c r="M210" s="100"/>
    </row>
    <row r="211">
      <c r="A211" s="3"/>
      <c r="B211" s="7" t="s">
        <v>1132</v>
      </c>
      <c r="C211" s="3" t="str">
        <f t="shared" si="9"/>
        <v>=&gt;</v>
      </c>
      <c r="D211" s="7" t="s">
        <v>1054</v>
      </c>
      <c r="E211" s="3" t="str">
        <f t="shared" si="10"/>
        <v>=&gt;</v>
      </c>
      <c r="F211" s="679" t="s">
        <v>1057</v>
      </c>
      <c r="H211" s="537"/>
      <c r="I211" s="537"/>
      <c r="J211" s="537"/>
      <c r="K211" s="537"/>
      <c r="L211" s="537"/>
    </row>
    <row r="212">
      <c r="A212" s="3"/>
      <c r="B212" s="7" t="s">
        <v>1133</v>
      </c>
      <c r="C212" s="3" t="str">
        <f t="shared" si="9"/>
        <v>=&gt;</v>
      </c>
      <c r="D212" s="7" t="s">
        <v>1035</v>
      </c>
      <c r="E212" s="3" t="str">
        <f t="shared" si="10"/>
        <v>=&gt;</v>
      </c>
      <c r="F212" s="679" t="s">
        <v>1040</v>
      </c>
      <c r="H212" s="679" t="s">
        <v>1057</v>
      </c>
      <c r="J212" s="537"/>
      <c r="K212" s="537"/>
      <c r="L212" s="537"/>
    </row>
    <row r="213">
      <c r="A213" s="3"/>
      <c r="B213" s="537"/>
      <c r="C213" s="537"/>
      <c r="D213" s="537"/>
      <c r="E213" s="537"/>
      <c r="F213" s="665" t="s">
        <v>1140</v>
      </c>
      <c r="H213" s="3"/>
      <c r="I213" s="679" t="s">
        <v>1057</v>
      </c>
      <c r="J213" s="3" t="str">
        <f t="shared" ref="J213:J218" si="11">"=&gt;"</f>
        <v>=&gt;</v>
      </c>
      <c r="K213" s="543" t="s">
        <v>1018</v>
      </c>
      <c r="L213" s="524" t="s">
        <v>1013</v>
      </c>
      <c r="M213" s="100"/>
    </row>
    <row r="214">
      <c r="A214" s="3"/>
      <c r="B214" s="665" t="s">
        <v>1140</v>
      </c>
      <c r="C214" s="665" t="s">
        <v>165</v>
      </c>
      <c r="D214" s="665" t="s">
        <v>165</v>
      </c>
      <c r="E214" s="665" t="s">
        <v>165</v>
      </c>
      <c r="F214" s="665" t="s">
        <v>165</v>
      </c>
      <c r="H214" s="3"/>
      <c r="I214" s="679" t="s">
        <v>1057</v>
      </c>
      <c r="J214" s="3" t="str">
        <f t="shared" si="11"/>
        <v>=&gt;</v>
      </c>
      <c r="K214" s="654" t="s">
        <v>1019</v>
      </c>
      <c r="L214" s="3" t="s">
        <v>6</v>
      </c>
      <c r="M214" s="524" t="s">
        <v>1013</v>
      </c>
    </row>
    <row r="215">
      <c r="A215" s="3"/>
      <c r="B215" s="665" t="s">
        <v>1140</v>
      </c>
      <c r="E215" s="537"/>
      <c r="H215" s="3"/>
      <c r="I215" s="679" t="s">
        <v>1057</v>
      </c>
      <c r="J215" s="3" t="str">
        <f t="shared" si="11"/>
        <v>=&gt;</v>
      </c>
      <c r="K215" s="549" t="s">
        <v>1020</v>
      </c>
      <c r="L215" s="524" t="s">
        <v>1013</v>
      </c>
      <c r="M215" s="537"/>
    </row>
    <row r="216">
      <c r="A216" s="3"/>
      <c r="B216" s="679" t="s">
        <v>1013</v>
      </c>
      <c r="C216" s="3" t="str">
        <f t="shared" ref="C216:C218" si="12">"=&gt;"</f>
        <v>=&gt;</v>
      </c>
      <c r="D216" s="7" t="s">
        <v>1022</v>
      </c>
      <c r="E216" s="537"/>
      <c r="H216" s="3"/>
      <c r="I216" s="679" t="s">
        <v>1057</v>
      </c>
      <c r="J216" s="3" t="str">
        <f t="shared" si="11"/>
        <v>=&gt;</v>
      </c>
      <c r="K216" s="569" t="s">
        <v>1021</v>
      </c>
      <c r="L216" s="524" t="s">
        <v>1013</v>
      </c>
      <c r="M216" s="537"/>
    </row>
    <row r="217">
      <c r="A217" s="3"/>
      <c r="B217" s="679" t="s">
        <v>1057</v>
      </c>
      <c r="C217" s="3" t="str">
        <f t="shared" si="12"/>
        <v>=&gt;</v>
      </c>
      <c r="D217" s="7" t="s">
        <v>1062</v>
      </c>
      <c r="E217" s="537"/>
      <c r="H217" s="3"/>
      <c r="I217" s="679" t="s">
        <v>1057</v>
      </c>
      <c r="J217" s="3" t="str">
        <f t="shared" si="11"/>
        <v>=&gt;</v>
      </c>
      <c r="K217" s="591" t="s">
        <v>1062</v>
      </c>
      <c r="L217" s="524" t="s">
        <v>1013</v>
      </c>
      <c r="M217" s="100"/>
    </row>
    <row r="218">
      <c r="A218" s="3"/>
      <c r="B218" s="679" t="s">
        <v>1040</v>
      </c>
      <c r="C218" s="3" t="str">
        <f t="shared" si="12"/>
        <v>=&gt;</v>
      </c>
      <c r="D218" s="3" t="s">
        <v>1043</v>
      </c>
      <c r="E218" s="7" t="s">
        <v>1022</v>
      </c>
      <c r="H218" s="3"/>
      <c r="I218" s="679" t="s">
        <v>1057</v>
      </c>
      <c r="J218" s="3" t="str">
        <f t="shared" si="11"/>
        <v>=&gt;</v>
      </c>
      <c r="K218" s="3" t="s">
        <v>8</v>
      </c>
      <c r="L218" s="100"/>
      <c r="M218" s="100"/>
    </row>
    <row r="219">
      <c r="A219" s="3"/>
      <c r="B219" s="3"/>
      <c r="C219" s="3"/>
      <c r="D219" s="542"/>
      <c r="E219" s="3"/>
      <c r="F219" s="3"/>
      <c r="H219" s="537"/>
      <c r="I219" s="537"/>
      <c r="J219" s="537"/>
      <c r="K219" s="537"/>
      <c r="L219" s="537"/>
    </row>
    <row r="220">
      <c r="A220" s="3"/>
      <c r="B220" s="3"/>
      <c r="C220" s="3"/>
      <c r="D220" s="542"/>
      <c r="E220" s="3"/>
      <c r="F220" s="3"/>
      <c r="H220" s="679" t="s">
        <v>1040</v>
      </c>
      <c r="I220" s="537"/>
      <c r="J220" s="537"/>
      <c r="K220" s="537"/>
      <c r="L220" s="537"/>
    </row>
    <row r="221">
      <c r="A221" s="3"/>
      <c r="B221" s="679" t="s">
        <v>1013</v>
      </c>
      <c r="C221" s="3" t="str">
        <f>"=&gt;"</f>
        <v>=&gt;</v>
      </c>
      <c r="D221" s="549" t="s">
        <v>1020</v>
      </c>
      <c r="E221" s="3"/>
      <c r="F221" s="3"/>
      <c r="H221" s="537"/>
      <c r="I221" s="679" t="s">
        <v>1040</v>
      </c>
      <c r="J221" s="3" t="str">
        <f t="shared" ref="J221:J227" si="13">"=&gt;"</f>
        <v>=&gt;</v>
      </c>
      <c r="K221" s="543" t="s">
        <v>1018</v>
      </c>
      <c r="L221" s="524" t="s">
        <v>1013</v>
      </c>
      <c r="M221" s="100"/>
    </row>
    <row r="222">
      <c r="A222" s="3"/>
      <c r="D222" s="3"/>
      <c r="E222" s="3"/>
      <c r="F222" s="3"/>
      <c r="H222" s="537"/>
      <c r="I222" s="679" t="s">
        <v>1040</v>
      </c>
      <c r="J222" s="3" t="str">
        <f t="shared" si="13"/>
        <v>=&gt;</v>
      </c>
      <c r="K222" s="654" t="s">
        <v>1019</v>
      </c>
      <c r="L222" s="3" t="s">
        <v>6</v>
      </c>
      <c r="M222" s="524" t="s">
        <v>1013</v>
      </c>
    </row>
    <row r="223">
      <c r="A223" s="3"/>
      <c r="B223" s="679" t="s">
        <v>1057</v>
      </c>
      <c r="C223" s="3" t="str">
        <f>"=&gt;"</f>
        <v>=&gt;</v>
      </c>
      <c r="D223" s="549" t="s">
        <v>1020</v>
      </c>
      <c r="E223" s="3" t="str">
        <f>"=&gt;"</f>
        <v>=&gt;</v>
      </c>
      <c r="F223" s="686" t="s">
        <v>1061</v>
      </c>
      <c r="G223" s="7" t="s">
        <v>1054</v>
      </c>
      <c r="H223" s="537"/>
      <c r="I223" s="679" t="s">
        <v>1040</v>
      </c>
      <c r="J223" s="3" t="str">
        <f t="shared" si="13"/>
        <v>=&gt;</v>
      </c>
      <c r="K223" s="549" t="s">
        <v>1020</v>
      </c>
      <c r="L223" s="524" t="s">
        <v>1013</v>
      </c>
      <c r="M223" s="537"/>
    </row>
    <row r="224">
      <c r="A224" s="3"/>
      <c r="D224" s="3"/>
      <c r="E224" s="3"/>
      <c r="F224" s="7"/>
      <c r="G224" s="7"/>
      <c r="H224" s="537"/>
      <c r="I224" s="679" t="s">
        <v>1040</v>
      </c>
      <c r="J224" s="3" t="str">
        <f t="shared" si="13"/>
        <v>=&gt;</v>
      </c>
      <c r="K224" s="569" t="s">
        <v>1021</v>
      </c>
      <c r="L224" s="524" t="s">
        <v>1013</v>
      </c>
      <c r="M224" s="537"/>
    </row>
    <row r="225">
      <c r="A225" s="3"/>
      <c r="B225" s="679" t="s">
        <v>1040</v>
      </c>
      <c r="C225" s="3" t="str">
        <f>"=&gt;"</f>
        <v>=&gt;</v>
      </c>
      <c r="D225" s="549" t="s">
        <v>1020</v>
      </c>
      <c r="E225" s="3" t="str">
        <f>"=&gt;"</f>
        <v>=&gt;</v>
      </c>
      <c r="F225" s="686" t="s">
        <v>1042</v>
      </c>
      <c r="G225" s="679" t="s">
        <v>1040</v>
      </c>
      <c r="H225" s="537"/>
      <c r="I225" s="679" t="s">
        <v>1040</v>
      </c>
      <c r="J225" s="3" t="str">
        <f t="shared" si="13"/>
        <v>=&gt;</v>
      </c>
      <c r="K225" s="593" t="s">
        <v>1043</v>
      </c>
      <c r="L225" s="524" t="s">
        <v>1013</v>
      </c>
      <c r="M225" s="100"/>
    </row>
    <row r="226">
      <c r="A226" s="3"/>
      <c r="D226" s="3"/>
      <c r="H226" s="537"/>
      <c r="I226" s="679" t="s">
        <v>1040</v>
      </c>
      <c r="J226" s="3" t="str">
        <f t="shared" si="13"/>
        <v>=&gt;</v>
      </c>
      <c r="K226" s="594" t="s">
        <v>1022</v>
      </c>
      <c r="L226" s="524" t="s">
        <v>1013</v>
      </c>
      <c r="M226" s="100"/>
    </row>
    <row r="227">
      <c r="A227" s="3"/>
      <c r="B227" s="3"/>
      <c r="C227" s="3"/>
      <c r="D227" s="542"/>
      <c r="E227" s="3"/>
      <c r="F227" s="3"/>
      <c r="H227" s="537"/>
      <c r="I227" s="679" t="s">
        <v>1040</v>
      </c>
      <c r="J227" s="3" t="str">
        <f t="shared" si="13"/>
        <v>=&gt;</v>
      </c>
      <c r="K227" s="3" t="s">
        <v>8</v>
      </c>
      <c r="L227" s="100"/>
    </row>
    <row r="228">
      <c r="A228" s="3"/>
      <c r="B228" s="3"/>
      <c r="C228" s="3"/>
      <c r="D228" s="542"/>
      <c r="E228" s="3"/>
      <c r="F228" s="3"/>
      <c r="G228" s="537"/>
      <c r="H228" s="537"/>
      <c r="I228" s="537"/>
      <c r="J228" s="537"/>
      <c r="K228" s="537"/>
    </row>
    <row r="229">
      <c r="A229" s="3"/>
      <c r="B229" s="3"/>
      <c r="C229" s="3"/>
      <c r="D229" s="542"/>
      <c r="E229" s="3"/>
      <c r="F229" s="3"/>
      <c r="G229" s="537"/>
      <c r="H229" s="537"/>
      <c r="I229" s="537"/>
      <c r="J229" s="537"/>
      <c r="K229" s="537"/>
    </row>
    <row r="230">
      <c r="A230" s="3"/>
      <c r="B230" s="3"/>
      <c r="C230" s="3"/>
      <c r="D230" s="542"/>
      <c r="E230" s="3"/>
      <c r="F230" s="3"/>
      <c r="G230" s="537"/>
      <c r="H230" s="537"/>
      <c r="I230" s="537"/>
      <c r="J230" s="537"/>
      <c r="K230" s="537"/>
    </row>
    <row r="231">
      <c r="A231" s="3"/>
      <c r="B231" s="3"/>
      <c r="C231" s="3"/>
      <c r="D231" s="542"/>
      <c r="E231" s="3"/>
      <c r="F231" s="3"/>
      <c r="G231" s="537"/>
      <c r="H231" s="537"/>
      <c r="I231" s="537"/>
      <c r="J231" s="537"/>
      <c r="K231" s="537"/>
    </row>
    <row r="232">
      <c r="A232" s="3"/>
      <c r="B232" s="3" t="s">
        <v>839</v>
      </c>
      <c r="C232" s="3"/>
      <c r="D232" s="7" t="s">
        <v>17</v>
      </c>
      <c r="E232" s="7" t="s">
        <v>1012</v>
      </c>
      <c r="F232" s="7" t="s">
        <v>1013</v>
      </c>
      <c r="G232" s="7" t="s">
        <v>19</v>
      </c>
      <c r="H232" s="537"/>
      <c r="I232" s="537"/>
      <c r="J232" s="537"/>
      <c r="K232" s="537"/>
    </row>
    <row r="233">
      <c r="A233" s="3"/>
      <c r="B233" s="3" t="s">
        <v>1054</v>
      </c>
      <c r="C233" s="3"/>
      <c r="D233" s="7" t="s">
        <v>17</v>
      </c>
      <c r="E233" s="7" t="s">
        <v>1056</v>
      </c>
      <c r="F233" s="679" t="s">
        <v>1057</v>
      </c>
      <c r="G233" s="7" t="s">
        <v>19</v>
      </c>
      <c r="H233" s="537"/>
      <c r="I233" s="537"/>
      <c r="J233" s="537"/>
      <c r="K233" s="537"/>
    </row>
    <row r="234">
      <c r="A234" s="3"/>
      <c r="B234" s="3" t="s">
        <v>1035</v>
      </c>
      <c r="C234" s="3"/>
      <c r="D234" s="7" t="s">
        <v>17</v>
      </c>
      <c r="E234" s="7" t="s">
        <v>1046</v>
      </c>
      <c r="F234" s="679" t="s">
        <v>1040</v>
      </c>
      <c r="G234" s="7" t="s">
        <v>19</v>
      </c>
      <c r="H234" s="537"/>
      <c r="I234" s="537"/>
      <c r="J234" s="537"/>
      <c r="K234" s="537"/>
    </row>
    <row r="235">
      <c r="A235" s="3"/>
      <c r="B235" s="3"/>
      <c r="C235" s="3"/>
      <c r="D235" s="542"/>
      <c r="E235" s="3"/>
      <c r="F235" s="3"/>
      <c r="G235" s="537"/>
      <c r="H235" s="537"/>
      <c r="I235" s="537"/>
      <c r="J235" s="537"/>
      <c r="K235" s="537"/>
    </row>
    <row r="236">
      <c r="A236" s="339" t="s">
        <v>1141</v>
      </c>
      <c r="B236" s="3" t="s">
        <v>839</v>
      </c>
      <c r="C236" s="3"/>
      <c r="D236" s="7" t="s">
        <v>17</v>
      </c>
      <c r="E236" s="7" t="s">
        <v>1012</v>
      </c>
      <c r="F236" s="7" t="s">
        <v>1013</v>
      </c>
      <c r="G236" s="7" t="s">
        <v>19</v>
      </c>
      <c r="K236" s="537"/>
    </row>
    <row r="237">
      <c r="A237" s="3"/>
      <c r="B237" s="523" t="s">
        <v>1012</v>
      </c>
      <c r="C237" s="3" t="str">
        <f t="shared" ref="C237:C253" si="14">"=&gt;"</f>
        <v>=&gt;</v>
      </c>
      <c r="D237" s="652" t="s">
        <v>1128</v>
      </c>
      <c r="E237" s="523" t="s">
        <v>1012</v>
      </c>
      <c r="G237" s="537"/>
      <c r="H237" s="537"/>
      <c r="I237" s="537"/>
      <c r="J237" s="537"/>
      <c r="K237" s="537"/>
    </row>
    <row r="238">
      <c r="A238" s="3"/>
      <c r="B238" s="523" t="s">
        <v>1012</v>
      </c>
      <c r="C238" s="3" t="str">
        <f t="shared" si="14"/>
        <v>=&gt;</v>
      </c>
      <c r="D238" s="3" t="s">
        <v>14</v>
      </c>
      <c r="E238" s="530" t="s">
        <v>1014</v>
      </c>
      <c r="G238" s="537"/>
      <c r="H238" s="537"/>
      <c r="I238" s="537"/>
      <c r="J238" s="537"/>
      <c r="K238" s="537"/>
    </row>
    <row r="239">
      <c r="A239" s="3"/>
      <c r="B239" s="523" t="s">
        <v>1012</v>
      </c>
      <c r="C239" s="3" t="str">
        <f t="shared" si="14"/>
        <v>=&gt;</v>
      </c>
      <c r="D239" s="3" t="s">
        <v>8</v>
      </c>
      <c r="E239" s="537"/>
      <c r="G239" s="537"/>
      <c r="H239" s="537"/>
      <c r="I239" s="537"/>
      <c r="J239" s="537"/>
      <c r="K239" s="537"/>
    </row>
    <row r="240">
      <c r="A240" s="3"/>
      <c r="B240" s="530" t="s">
        <v>1014</v>
      </c>
      <c r="C240" s="3" t="str">
        <f t="shared" si="14"/>
        <v>=&gt;</v>
      </c>
      <c r="D240" s="3" t="s">
        <v>850</v>
      </c>
      <c r="E240" s="513" t="s">
        <v>1004</v>
      </c>
      <c r="F240" s="3" t="s">
        <v>6</v>
      </c>
      <c r="G240" s="523" t="s">
        <v>1012</v>
      </c>
      <c r="H240" s="100"/>
      <c r="I240" s="537"/>
      <c r="J240" s="537"/>
      <c r="K240" s="537"/>
    </row>
    <row r="241">
      <c r="A241" s="3"/>
      <c r="B241" s="530" t="s">
        <v>1014</v>
      </c>
      <c r="C241" s="3" t="str">
        <f t="shared" si="14"/>
        <v>=&gt;</v>
      </c>
      <c r="D241" s="3" t="s">
        <v>30</v>
      </c>
      <c r="E241" s="531" t="s">
        <v>1015</v>
      </c>
      <c r="F241" s="100"/>
      <c r="G241" s="100"/>
      <c r="H241" s="100"/>
      <c r="I241" s="537"/>
      <c r="J241" s="537"/>
      <c r="K241" s="537"/>
    </row>
    <row r="242">
      <c r="A242" s="3"/>
      <c r="B242" s="530" t="s">
        <v>1014</v>
      </c>
      <c r="C242" s="3" t="str">
        <f t="shared" si="14"/>
        <v>=&gt;</v>
      </c>
      <c r="D242" s="424" t="s">
        <v>930</v>
      </c>
      <c r="E242" s="532" t="s">
        <v>1016</v>
      </c>
      <c r="F242" s="395" t="s">
        <v>28</v>
      </c>
      <c r="G242" s="3" t="s">
        <v>6</v>
      </c>
      <c r="H242" s="524" t="s">
        <v>1013</v>
      </c>
      <c r="I242" s="537"/>
      <c r="J242" s="537"/>
      <c r="K242" s="537"/>
    </row>
    <row r="243">
      <c r="A243" s="3"/>
      <c r="B243" s="530" t="s">
        <v>1014</v>
      </c>
      <c r="C243" s="3" t="str">
        <f t="shared" si="14"/>
        <v>=&gt;</v>
      </c>
      <c r="D243" s="532" t="s">
        <v>1016</v>
      </c>
      <c r="E243" s="395" t="s">
        <v>28</v>
      </c>
      <c r="F243" s="3" t="s">
        <v>6</v>
      </c>
      <c r="G243" s="524" t="s">
        <v>1013</v>
      </c>
      <c r="H243" s="100"/>
      <c r="I243" s="537"/>
      <c r="J243" s="537"/>
      <c r="K243" s="537"/>
    </row>
    <row r="244">
      <c r="A244" s="3"/>
      <c r="B244" s="530" t="s">
        <v>1014</v>
      </c>
      <c r="C244" s="3" t="str">
        <f t="shared" si="14"/>
        <v>=&gt;</v>
      </c>
      <c r="D244" s="533" t="s">
        <v>1017</v>
      </c>
      <c r="E244" s="8" t="s">
        <v>6</v>
      </c>
      <c r="F244" s="524" t="s">
        <v>1013</v>
      </c>
      <c r="G244" s="100"/>
      <c r="H244" s="100"/>
      <c r="I244" s="537"/>
      <c r="J244" s="537"/>
      <c r="K244" s="537"/>
    </row>
    <row r="245">
      <c r="A245" s="3"/>
      <c r="B245" s="531" t="s">
        <v>1015</v>
      </c>
      <c r="C245" s="3" t="str">
        <f t="shared" si="14"/>
        <v>=&gt;</v>
      </c>
      <c r="D245" s="8" t="s">
        <v>32</v>
      </c>
      <c r="E245" s="464" t="s">
        <v>964</v>
      </c>
      <c r="F245" s="3" t="s">
        <v>850</v>
      </c>
      <c r="G245" s="513" t="s">
        <v>1004</v>
      </c>
      <c r="H245" s="3" t="s">
        <v>6</v>
      </c>
      <c r="I245" s="523" t="s">
        <v>1012</v>
      </c>
      <c r="J245" s="537"/>
      <c r="K245" s="537"/>
    </row>
    <row r="246">
      <c r="A246" s="3"/>
      <c r="B246" s="531" t="s">
        <v>1015</v>
      </c>
      <c r="C246" s="3" t="str">
        <f t="shared" si="14"/>
        <v>=&gt;</v>
      </c>
      <c r="D246" s="603" t="s">
        <v>1085</v>
      </c>
      <c r="E246" s="8" t="s">
        <v>32</v>
      </c>
      <c r="F246" s="535" t="s">
        <v>894</v>
      </c>
      <c r="G246" s="532" t="s">
        <v>1016</v>
      </c>
      <c r="H246" s="395" t="s">
        <v>28</v>
      </c>
      <c r="I246" s="3" t="s">
        <v>6</v>
      </c>
      <c r="J246" s="524" t="s">
        <v>1013</v>
      </c>
      <c r="K246" s="537"/>
    </row>
    <row r="247">
      <c r="A247" s="3"/>
      <c r="B247" s="543" t="s">
        <v>1018</v>
      </c>
      <c r="C247" s="3" t="str">
        <f t="shared" si="14"/>
        <v>=&gt;</v>
      </c>
      <c r="D247" s="3" t="s">
        <v>14</v>
      </c>
      <c r="E247" s="544" t="s">
        <v>1023</v>
      </c>
      <c r="F247" s="524" t="s">
        <v>1013</v>
      </c>
      <c r="G247" s="100"/>
      <c r="H247" s="100"/>
      <c r="I247" s="537"/>
      <c r="J247" s="537"/>
      <c r="K247" s="537"/>
    </row>
    <row r="248">
      <c r="A248" s="3"/>
      <c r="B248" s="524" t="s">
        <v>1013</v>
      </c>
      <c r="C248" s="3" t="str">
        <f t="shared" si="14"/>
        <v>=&gt;</v>
      </c>
      <c r="D248" s="536" t="s">
        <v>1018</v>
      </c>
      <c r="E248" s="524" t="s">
        <v>1013</v>
      </c>
      <c r="F248" s="100"/>
      <c r="G248" s="537"/>
      <c r="H248" s="537"/>
      <c r="I248" s="537"/>
      <c r="J248" s="537"/>
      <c r="K248" s="537"/>
    </row>
    <row r="249">
      <c r="A249" s="3"/>
      <c r="B249" s="524" t="s">
        <v>1013</v>
      </c>
      <c r="C249" s="3" t="str">
        <f t="shared" si="14"/>
        <v>=&gt;</v>
      </c>
      <c r="D249" s="538" t="s">
        <v>1019</v>
      </c>
      <c r="E249" s="3" t="s">
        <v>6</v>
      </c>
      <c r="F249" s="524" t="s">
        <v>1013</v>
      </c>
      <c r="G249" s="537"/>
      <c r="H249" s="537"/>
      <c r="I249" s="537"/>
      <c r="J249" s="537"/>
      <c r="K249" s="537"/>
    </row>
    <row r="250">
      <c r="A250" s="3"/>
      <c r="B250" s="524" t="s">
        <v>1013</v>
      </c>
      <c r="C250" s="3" t="str">
        <f t="shared" si="14"/>
        <v>=&gt;</v>
      </c>
      <c r="D250" s="539" t="s">
        <v>1020</v>
      </c>
      <c r="E250" s="524" t="s">
        <v>1013</v>
      </c>
      <c r="F250" s="537"/>
      <c r="G250" s="537"/>
      <c r="H250" s="537"/>
      <c r="I250" s="537"/>
      <c r="J250" s="537"/>
      <c r="K250" s="537"/>
    </row>
    <row r="251">
      <c r="A251" s="3"/>
      <c r="B251" s="524" t="s">
        <v>1013</v>
      </c>
      <c r="C251" s="3" t="str">
        <f t="shared" si="14"/>
        <v>=&gt;</v>
      </c>
      <c r="D251" s="540" t="s">
        <v>1021</v>
      </c>
      <c r="E251" s="524" t="s">
        <v>1013</v>
      </c>
      <c r="F251" s="537"/>
      <c r="G251" s="537"/>
      <c r="H251" s="537"/>
      <c r="I251" s="537"/>
      <c r="J251" s="537"/>
      <c r="K251" s="537"/>
    </row>
    <row r="252">
      <c r="A252" s="3"/>
      <c r="B252" s="524" t="s">
        <v>1013</v>
      </c>
      <c r="C252" s="3" t="str">
        <f t="shared" si="14"/>
        <v>=&gt;</v>
      </c>
      <c r="D252" s="542" t="s">
        <v>1022</v>
      </c>
      <c r="E252" s="524" t="s">
        <v>1013</v>
      </c>
      <c r="F252" s="100"/>
      <c r="G252" s="537"/>
      <c r="H252" s="537"/>
      <c r="I252" s="537"/>
      <c r="J252" s="537"/>
      <c r="K252" s="537"/>
    </row>
    <row r="253">
      <c r="A253" s="3"/>
      <c r="B253" s="524" t="s">
        <v>1013</v>
      </c>
      <c r="C253" s="3" t="str">
        <f t="shared" si="14"/>
        <v>=&gt;</v>
      </c>
      <c r="D253" s="542" t="s">
        <v>8</v>
      </c>
      <c r="E253" s="100"/>
      <c r="F253" s="100"/>
      <c r="G253" s="537"/>
      <c r="H253" s="537"/>
      <c r="I253" s="537"/>
      <c r="J253" s="537"/>
      <c r="K253" s="537"/>
    </row>
    <row r="254">
      <c r="A254" s="7" t="s">
        <v>1141</v>
      </c>
      <c r="B254" s="3" t="s">
        <v>1054</v>
      </c>
      <c r="C254" s="3"/>
      <c r="D254" s="7" t="s">
        <v>17</v>
      </c>
      <c r="E254" s="7" t="s">
        <v>1056</v>
      </c>
      <c r="F254" s="679" t="s">
        <v>1057</v>
      </c>
      <c r="G254" s="537"/>
      <c r="H254" s="537"/>
      <c r="I254" s="537"/>
      <c r="J254" s="537"/>
      <c r="K254" s="537"/>
    </row>
    <row r="255">
      <c r="A255" s="3"/>
      <c r="B255" s="7" t="s">
        <v>1056</v>
      </c>
      <c r="C255" s="3" t="str">
        <f t="shared" ref="C255:C271" si="15">"=&gt;"</f>
        <v>=&gt;</v>
      </c>
      <c r="D255" s="652" t="s">
        <v>1128</v>
      </c>
      <c r="E255" s="7" t="s">
        <v>1056</v>
      </c>
      <c r="H255" s="537"/>
      <c r="I255" s="537"/>
      <c r="J255" s="537"/>
      <c r="K255" s="537"/>
    </row>
    <row r="256">
      <c r="A256" s="3"/>
      <c r="B256" s="7" t="s">
        <v>1056</v>
      </c>
      <c r="C256" s="3" t="str">
        <f t="shared" si="15"/>
        <v>=&gt;</v>
      </c>
      <c r="D256" s="3" t="s">
        <v>14</v>
      </c>
      <c r="E256" s="679" t="s">
        <v>1058</v>
      </c>
      <c r="H256" s="537"/>
      <c r="I256" s="537"/>
      <c r="J256" s="537"/>
      <c r="K256" s="537"/>
    </row>
    <row r="257">
      <c r="A257" s="3"/>
      <c r="B257" s="7" t="s">
        <v>1056</v>
      </c>
      <c r="C257" s="3" t="str">
        <f t="shared" si="15"/>
        <v>=&gt;</v>
      </c>
      <c r="D257" s="3" t="s">
        <v>8</v>
      </c>
      <c r="E257" s="537"/>
      <c r="G257" s="537"/>
      <c r="H257" s="537"/>
      <c r="I257" s="537"/>
      <c r="J257" s="537"/>
      <c r="K257" s="537"/>
    </row>
    <row r="258">
      <c r="A258" s="3"/>
      <c r="B258" s="679" t="s">
        <v>1058</v>
      </c>
      <c r="C258" s="3" t="str">
        <f t="shared" si="15"/>
        <v>=&gt;</v>
      </c>
      <c r="D258" s="3" t="s">
        <v>850</v>
      </c>
      <c r="E258" s="513" t="s">
        <v>1004</v>
      </c>
      <c r="F258" s="3" t="s">
        <v>6</v>
      </c>
      <c r="G258" s="7" t="s">
        <v>1056</v>
      </c>
      <c r="H258" s="100"/>
      <c r="I258" s="537"/>
      <c r="J258" s="537"/>
      <c r="K258" s="537"/>
    </row>
    <row r="259">
      <c r="A259" s="3"/>
      <c r="B259" s="679" t="s">
        <v>1058</v>
      </c>
      <c r="C259" s="3" t="str">
        <f t="shared" si="15"/>
        <v>=&gt;</v>
      </c>
      <c r="D259" s="3" t="s">
        <v>30</v>
      </c>
      <c r="E259" s="679" t="s">
        <v>1059</v>
      </c>
      <c r="F259" s="100"/>
      <c r="G259" s="100"/>
      <c r="H259" s="100"/>
      <c r="I259" s="537"/>
      <c r="J259" s="537"/>
      <c r="K259" s="537"/>
    </row>
    <row r="260">
      <c r="A260" s="3"/>
      <c r="B260" s="679" t="s">
        <v>1058</v>
      </c>
      <c r="C260" s="3" t="str">
        <f t="shared" si="15"/>
        <v>=&gt;</v>
      </c>
      <c r="D260" s="424" t="s">
        <v>930</v>
      </c>
      <c r="E260" s="532" t="s">
        <v>1016</v>
      </c>
      <c r="F260" s="395" t="s">
        <v>28</v>
      </c>
      <c r="G260" s="3" t="s">
        <v>6</v>
      </c>
      <c r="H260" s="679" t="s">
        <v>1057</v>
      </c>
      <c r="I260" s="537"/>
      <c r="J260" s="537"/>
      <c r="K260" s="537"/>
    </row>
    <row r="261">
      <c r="A261" s="3"/>
      <c r="B261" s="679" t="s">
        <v>1058</v>
      </c>
      <c r="C261" s="3" t="str">
        <f t="shared" si="15"/>
        <v>=&gt;</v>
      </c>
      <c r="D261" s="532" t="s">
        <v>1016</v>
      </c>
      <c r="E261" s="395" t="s">
        <v>28</v>
      </c>
      <c r="F261" s="3" t="s">
        <v>6</v>
      </c>
      <c r="G261" s="679" t="s">
        <v>1057</v>
      </c>
      <c r="H261" s="100"/>
      <c r="I261" s="537"/>
      <c r="J261" s="537"/>
      <c r="K261" s="537"/>
    </row>
    <row r="262">
      <c r="A262" s="3"/>
      <c r="B262" s="679" t="s">
        <v>1058</v>
      </c>
      <c r="C262" s="3" t="str">
        <f t="shared" si="15"/>
        <v>=&gt;</v>
      </c>
      <c r="D262" s="533" t="s">
        <v>1017</v>
      </c>
      <c r="E262" s="8" t="s">
        <v>6</v>
      </c>
      <c r="F262" s="679" t="s">
        <v>1057</v>
      </c>
      <c r="G262" s="100"/>
      <c r="H262" s="100"/>
      <c r="I262" s="537"/>
      <c r="J262" s="537"/>
      <c r="K262" s="537"/>
    </row>
    <row r="263">
      <c r="A263" s="3"/>
      <c r="B263" s="679" t="s">
        <v>1059</v>
      </c>
      <c r="C263" s="3" t="str">
        <f t="shared" si="15"/>
        <v>=&gt;</v>
      </c>
      <c r="D263" s="8" t="s">
        <v>32</v>
      </c>
      <c r="E263" s="464" t="s">
        <v>964</v>
      </c>
      <c r="F263" s="3" t="s">
        <v>850</v>
      </c>
      <c r="G263" s="513" t="s">
        <v>1004</v>
      </c>
      <c r="H263" s="3" t="s">
        <v>6</v>
      </c>
      <c r="I263" s="7" t="s">
        <v>1056</v>
      </c>
      <c r="J263" s="537"/>
      <c r="K263" s="537"/>
    </row>
    <row r="264">
      <c r="A264" s="3"/>
      <c r="B264" s="679" t="s">
        <v>1059</v>
      </c>
      <c r="C264" s="3" t="str">
        <f t="shared" si="15"/>
        <v>=&gt;</v>
      </c>
      <c r="D264" s="603" t="s">
        <v>1085</v>
      </c>
      <c r="E264" s="8" t="s">
        <v>32</v>
      </c>
      <c r="F264" s="535" t="s">
        <v>894</v>
      </c>
      <c r="G264" s="532" t="s">
        <v>1016</v>
      </c>
      <c r="H264" s="395" t="s">
        <v>28</v>
      </c>
      <c r="I264" s="3" t="s">
        <v>6</v>
      </c>
      <c r="J264" s="679" t="s">
        <v>1057</v>
      </c>
      <c r="K264" s="537"/>
    </row>
    <row r="265">
      <c r="A265" s="3"/>
      <c r="B265" s="7" t="s">
        <v>1060</v>
      </c>
      <c r="C265" s="3" t="str">
        <f t="shared" si="15"/>
        <v>=&gt;</v>
      </c>
      <c r="D265" s="3" t="s">
        <v>14</v>
      </c>
      <c r="E265" s="544" t="s">
        <v>1023</v>
      </c>
      <c r="F265" s="679" t="s">
        <v>1057</v>
      </c>
      <c r="G265" s="100"/>
      <c r="H265" s="100"/>
      <c r="I265" s="537"/>
      <c r="J265" s="537"/>
      <c r="K265" s="537"/>
    </row>
    <row r="266">
      <c r="A266" s="3"/>
      <c r="B266" s="9" t="s">
        <v>1057</v>
      </c>
      <c r="C266" s="3" t="str">
        <f t="shared" si="15"/>
        <v>=&gt;</v>
      </c>
      <c r="D266" s="536" t="s">
        <v>1018</v>
      </c>
      <c r="E266" s="9" t="s">
        <v>1057</v>
      </c>
      <c r="F266" s="100"/>
      <c r="G266" s="537"/>
      <c r="H266" s="537"/>
      <c r="I266" s="537"/>
      <c r="J266" s="537"/>
      <c r="K266" s="537"/>
    </row>
    <row r="267">
      <c r="A267" s="3"/>
      <c r="B267" s="9" t="s">
        <v>1057</v>
      </c>
      <c r="C267" s="3" t="str">
        <f t="shared" si="15"/>
        <v>=&gt;</v>
      </c>
      <c r="D267" s="538" t="s">
        <v>1019</v>
      </c>
      <c r="E267" s="3" t="s">
        <v>6</v>
      </c>
      <c r="F267" s="9" t="s">
        <v>1057</v>
      </c>
      <c r="G267" s="537"/>
      <c r="H267" s="537"/>
      <c r="I267" s="537"/>
      <c r="J267" s="537"/>
      <c r="K267" s="537"/>
    </row>
    <row r="268">
      <c r="A268" s="3"/>
      <c r="B268" s="9" t="s">
        <v>1057</v>
      </c>
      <c r="C268" s="3" t="str">
        <f t="shared" si="15"/>
        <v>=&gt;</v>
      </c>
      <c r="D268" s="539" t="s">
        <v>1020</v>
      </c>
      <c r="E268" s="9" t="s">
        <v>1057</v>
      </c>
      <c r="F268" s="537"/>
      <c r="G268" s="537"/>
      <c r="H268" s="537"/>
      <c r="I268" s="537"/>
      <c r="J268" s="537"/>
      <c r="K268" s="537"/>
    </row>
    <row r="269">
      <c r="A269" s="3"/>
      <c r="B269" s="9" t="s">
        <v>1057</v>
      </c>
      <c r="C269" s="3" t="str">
        <f t="shared" si="15"/>
        <v>=&gt;</v>
      </c>
      <c r="D269" s="540" t="s">
        <v>1021</v>
      </c>
      <c r="E269" s="9" t="s">
        <v>1057</v>
      </c>
      <c r="F269" s="537"/>
      <c r="G269" s="537"/>
      <c r="H269" s="537"/>
      <c r="I269" s="537"/>
      <c r="J269" s="537"/>
      <c r="K269" s="537"/>
    </row>
    <row r="270">
      <c r="A270" s="3"/>
      <c r="B270" s="9" t="s">
        <v>1057</v>
      </c>
      <c r="C270" s="3" t="str">
        <f t="shared" si="15"/>
        <v>=&gt;</v>
      </c>
      <c r="D270" s="583" t="s">
        <v>1062</v>
      </c>
      <c r="E270" s="9" t="s">
        <v>1057</v>
      </c>
      <c r="F270" s="100"/>
      <c r="G270" s="537"/>
      <c r="H270" s="537"/>
      <c r="I270" s="537"/>
      <c r="J270" s="537"/>
      <c r="K270" s="537"/>
    </row>
    <row r="271">
      <c r="A271" s="3"/>
      <c r="B271" s="9" t="s">
        <v>1057</v>
      </c>
      <c r="C271" s="3" t="str">
        <f t="shared" si="15"/>
        <v>=&gt;</v>
      </c>
      <c r="D271" s="542" t="s">
        <v>8</v>
      </c>
      <c r="E271" s="100"/>
      <c r="F271" s="100"/>
      <c r="G271" s="537"/>
      <c r="H271" s="537"/>
      <c r="I271" s="537"/>
      <c r="J271" s="537"/>
      <c r="K271" s="537"/>
    </row>
    <row r="272">
      <c r="A272" s="7" t="s">
        <v>1141</v>
      </c>
      <c r="B272" s="3" t="s">
        <v>1035</v>
      </c>
      <c r="C272" s="537"/>
      <c r="D272" s="3" t="s">
        <v>17</v>
      </c>
      <c r="E272" s="3" t="s">
        <v>1046</v>
      </c>
      <c r="F272" s="9" t="s">
        <v>1040</v>
      </c>
      <c r="G272" s="537"/>
      <c r="H272" s="537"/>
      <c r="I272" s="537"/>
      <c r="J272" s="537"/>
      <c r="K272" s="537"/>
    </row>
    <row r="273">
      <c r="A273" s="3"/>
      <c r="B273" s="7" t="s">
        <v>1046</v>
      </c>
      <c r="C273" s="3" t="str">
        <f t="shared" ref="C273:C298" si="16">"=&gt;"</f>
        <v>=&gt;</v>
      </c>
      <c r="D273" s="652" t="s">
        <v>1128</v>
      </c>
      <c r="E273" s="7" t="s">
        <v>1046</v>
      </c>
      <c r="G273" s="537"/>
      <c r="H273" s="537"/>
      <c r="I273" s="537"/>
      <c r="J273" s="537"/>
      <c r="K273" s="537"/>
    </row>
    <row r="274">
      <c r="A274" s="3"/>
      <c r="B274" s="7" t="s">
        <v>1046</v>
      </c>
      <c r="C274" s="3" t="str">
        <f t="shared" si="16"/>
        <v>=&gt;</v>
      </c>
      <c r="D274" s="3" t="s">
        <v>14</v>
      </c>
      <c r="E274" s="679" t="s">
        <v>1047</v>
      </c>
      <c r="G274" s="537"/>
      <c r="H274" s="537"/>
      <c r="I274" s="537"/>
      <c r="J274" s="537"/>
      <c r="K274" s="537"/>
    </row>
    <row r="275">
      <c r="A275" s="3"/>
      <c r="B275" s="7" t="s">
        <v>1046</v>
      </c>
      <c r="C275" s="3" t="str">
        <f t="shared" si="16"/>
        <v>=&gt;</v>
      </c>
      <c r="D275" s="3" t="s">
        <v>8</v>
      </c>
      <c r="E275" s="537"/>
      <c r="G275" s="537"/>
      <c r="H275" s="537"/>
      <c r="I275" s="537"/>
      <c r="J275" s="537"/>
      <c r="K275" s="537"/>
    </row>
    <row r="276">
      <c r="A276" s="3"/>
      <c r="B276" s="679" t="s">
        <v>1047</v>
      </c>
      <c r="C276" s="3" t="str">
        <f t="shared" si="16"/>
        <v>=&gt;</v>
      </c>
      <c r="D276" s="3" t="s">
        <v>850</v>
      </c>
      <c r="E276" s="513" t="s">
        <v>1004</v>
      </c>
      <c r="F276" s="3" t="s">
        <v>6</v>
      </c>
      <c r="G276" s="7" t="s">
        <v>1046</v>
      </c>
      <c r="H276" s="100"/>
      <c r="I276" s="537"/>
      <c r="J276" s="537"/>
      <c r="K276" s="537"/>
    </row>
    <row r="277">
      <c r="A277" s="3"/>
      <c r="B277" s="679" t="s">
        <v>1047</v>
      </c>
      <c r="C277" s="3" t="str">
        <f t="shared" si="16"/>
        <v>=&gt;</v>
      </c>
      <c r="D277" s="3" t="s">
        <v>30</v>
      </c>
      <c r="E277" s="21" t="s">
        <v>1048</v>
      </c>
      <c r="G277" s="100"/>
      <c r="H277" s="100"/>
      <c r="I277" s="537"/>
      <c r="J277" s="537"/>
      <c r="K277" s="537"/>
    </row>
    <row r="278">
      <c r="A278" s="3"/>
      <c r="B278" s="679" t="s">
        <v>1047</v>
      </c>
      <c r="C278" s="3" t="str">
        <f t="shared" si="16"/>
        <v>=&gt;</v>
      </c>
      <c r="D278" s="424" t="s">
        <v>930</v>
      </c>
      <c r="E278" s="532" t="s">
        <v>1016</v>
      </c>
      <c r="F278" s="395" t="s">
        <v>28</v>
      </c>
      <c r="G278" s="3" t="s">
        <v>6</v>
      </c>
      <c r="H278" s="9" t="s">
        <v>1040</v>
      </c>
      <c r="I278" s="537"/>
      <c r="J278" s="537"/>
      <c r="K278" s="537"/>
    </row>
    <row r="279">
      <c r="A279" s="3"/>
      <c r="B279" s="679" t="s">
        <v>1047</v>
      </c>
      <c r="C279" s="3" t="str">
        <f t="shared" si="16"/>
        <v>=&gt;</v>
      </c>
      <c r="D279" s="532" t="s">
        <v>1016</v>
      </c>
      <c r="E279" s="395" t="s">
        <v>28</v>
      </c>
      <c r="F279" s="3" t="s">
        <v>6</v>
      </c>
      <c r="G279" s="9" t="s">
        <v>1040</v>
      </c>
      <c r="H279" s="100"/>
      <c r="I279" s="537"/>
      <c r="J279" s="537"/>
      <c r="K279" s="537"/>
    </row>
    <row r="280">
      <c r="A280" s="3"/>
      <c r="B280" s="679" t="s">
        <v>1047</v>
      </c>
      <c r="C280" s="3" t="str">
        <f t="shared" si="16"/>
        <v>=&gt;</v>
      </c>
      <c r="D280" s="533" t="s">
        <v>1017</v>
      </c>
      <c r="E280" s="8" t="s">
        <v>6</v>
      </c>
      <c r="F280" s="9" t="s">
        <v>1040</v>
      </c>
      <c r="G280" s="100"/>
      <c r="H280" s="100"/>
      <c r="I280" s="537"/>
      <c r="J280" s="537"/>
      <c r="K280" s="537"/>
    </row>
    <row r="281">
      <c r="A281" s="3"/>
      <c r="B281" s="21" t="s">
        <v>1048</v>
      </c>
      <c r="C281" s="3" t="str">
        <f t="shared" si="16"/>
        <v>=&gt;</v>
      </c>
      <c r="D281" s="8" t="s">
        <v>32</v>
      </c>
      <c r="E281" s="464" t="s">
        <v>964</v>
      </c>
      <c r="F281" s="3" t="s">
        <v>850</v>
      </c>
      <c r="G281" s="513" t="s">
        <v>1004</v>
      </c>
      <c r="H281" s="3" t="s">
        <v>6</v>
      </c>
      <c r="I281" s="7" t="s">
        <v>1046</v>
      </c>
      <c r="J281" s="537"/>
      <c r="K281" s="537"/>
    </row>
    <row r="282">
      <c r="A282" s="3"/>
      <c r="B282" s="21" t="s">
        <v>1048</v>
      </c>
      <c r="C282" s="3" t="str">
        <f t="shared" si="16"/>
        <v>=&gt;</v>
      </c>
      <c r="D282" s="603" t="s">
        <v>1085</v>
      </c>
      <c r="E282" s="8" t="s">
        <v>32</v>
      </c>
      <c r="F282" s="535" t="s">
        <v>894</v>
      </c>
      <c r="G282" s="532" t="s">
        <v>1016</v>
      </c>
      <c r="H282" s="395" t="s">
        <v>28</v>
      </c>
      <c r="I282" s="3" t="s">
        <v>6</v>
      </c>
      <c r="J282" s="9" t="s">
        <v>1040</v>
      </c>
      <c r="K282" s="537"/>
    </row>
    <row r="283">
      <c r="A283" s="3"/>
      <c r="B283" s="21" t="s">
        <v>1041</v>
      </c>
      <c r="C283" s="3" t="str">
        <f t="shared" si="16"/>
        <v>=&gt;</v>
      </c>
      <c r="D283" s="3" t="s">
        <v>14</v>
      </c>
      <c r="E283" s="544" t="s">
        <v>1023</v>
      </c>
      <c r="F283" s="9" t="s">
        <v>1040</v>
      </c>
      <c r="G283" s="100"/>
      <c r="H283" s="100"/>
      <c r="I283" s="537"/>
      <c r="J283" s="537"/>
      <c r="K283" s="537"/>
    </row>
    <row r="284">
      <c r="A284" s="3"/>
      <c r="B284" s="9" t="s">
        <v>1040</v>
      </c>
      <c r="C284" s="3" t="str">
        <f t="shared" si="16"/>
        <v>=&gt;</v>
      </c>
      <c r="D284" s="536" t="s">
        <v>1018</v>
      </c>
      <c r="E284" s="9" t="s">
        <v>1040</v>
      </c>
      <c r="F284" s="100"/>
      <c r="G284" s="537"/>
      <c r="H284" s="537"/>
      <c r="I284" s="537"/>
      <c r="J284" s="537"/>
      <c r="K284" s="537"/>
    </row>
    <row r="285">
      <c r="A285" s="3"/>
      <c r="B285" s="9" t="s">
        <v>1040</v>
      </c>
      <c r="C285" s="3" t="str">
        <f t="shared" si="16"/>
        <v>=&gt;</v>
      </c>
      <c r="D285" s="538" t="s">
        <v>1019</v>
      </c>
      <c r="E285" s="3" t="s">
        <v>6</v>
      </c>
      <c r="F285" s="9" t="s">
        <v>1040</v>
      </c>
      <c r="G285" s="537"/>
      <c r="H285" s="537"/>
      <c r="I285" s="537"/>
      <c r="J285" s="537"/>
      <c r="K285" s="537"/>
    </row>
    <row r="286">
      <c r="A286" s="3"/>
      <c r="B286" s="9" t="s">
        <v>1040</v>
      </c>
      <c r="C286" s="3" t="str">
        <f t="shared" si="16"/>
        <v>=&gt;</v>
      </c>
      <c r="D286" s="539" t="s">
        <v>1020</v>
      </c>
      <c r="E286" s="9" t="s">
        <v>1040</v>
      </c>
      <c r="F286" s="537"/>
      <c r="G286" s="537"/>
      <c r="H286" s="537"/>
      <c r="I286" s="537"/>
      <c r="J286" s="537"/>
      <c r="K286" s="537"/>
    </row>
    <row r="287">
      <c r="A287" s="3"/>
      <c r="B287" s="9" t="s">
        <v>1040</v>
      </c>
      <c r="C287" s="3" t="str">
        <f t="shared" si="16"/>
        <v>=&gt;</v>
      </c>
      <c r="D287" s="540" t="s">
        <v>1021</v>
      </c>
      <c r="E287" s="9" t="s">
        <v>1040</v>
      </c>
      <c r="G287" s="537"/>
      <c r="H287" s="537"/>
      <c r="I287" s="537"/>
      <c r="J287" s="537"/>
      <c r="K287" s="537"/>
    </row>
    <row r="288">
      <c r="A288" s="3"/>
      <c r="B288" s="9" t="s">
        <v>1040</v>
      </c>
      <c r="C288" s="3" t="str">
        <f t="shared" si="16"/>
        <v>=&gt;</v>
      </c>
      <c r="D288" s="562" t="s">
        <v>1043</v>
      </c>
      <c r="E288" s="9" t="s">
        <v>1040</v>
      </c>
      <c r="F288" s="100"/>
      <c r="G288" s="537"/>
      <c r="H288" s="537"/>
      <c r="I288" s="537"/>
      <c r="J288" s="537"/>
      <c r="K288" s="537"/>
    </row>
    <row r="289">
      <c r="A289" s="3"/>
      <c r="B289" s="9" t="s">
        <v>1040</v>
      </c>
      <c r="C289" s="3" t="str">
        <f t="shared" si="16"/>
        <v>=&gt;</v>
      </c>
      <c r="D289" s="541" t="s">
        <v>1022</v>
      </c>
      <c r="E289" s="9" t="s">
        <v>1040</v>
      </c>
      <c r="F289" s="100"/>
      <c r="G289" s="537"/>
      <c r="H289" s="537"/>
      <c r="I289" s="537"/>
      <c r="J289" s="537"/>
      <c r="K289" s="537"/>
    </row>
    <row r="290">
      <c r="A290" s="3"/>
      <c r="B290" s="9" t="s">
        <v>1040</v>
      </c>
      <c r="C290" s="3" t="str">
        <f t="shared" si="16"/>
        <v>=&gt;</v>
      </c>
      <c r="D290" s="542" t="s">
        <v>8</v>
      </c>
      <c r="E290" s="100"/>
      <c r="F290" s="101"/>
      <c r="G290" s="537"/>
      <c r="H290" s="537"/>
      <c r="I290" s="537"/>
      <c r="J290" s="537"/>
      <c r="K290" s="537"/>
    </row>
    <row r="291">
      <c r="A291" s="3"/>
      <c r="B291" s="540" t="s">
        <v>1021</v>
      </c>
      <c r="C291" s="3" t="str">
        <f t="shared" si="16"/>
        <v>=&gt;</v>
      </c>
      <c r="D291" s="570" t="s">
        <v>1049</v>
      </c>
      <c r="E291" s="537"/>
      <c r="F291" s="537"/>
      <c r="G291" s="537"/>
      <c r="H291" s="537"/>
      <c r="I291" s="537"/>
      <c r="J291" s="537"/>
      <c r="K291" s="537"/>
    </row>
    <row r="292">
      <c r="A292" s="3"/>
      <c r="B292" s="569" t="s">
        <v>1021</v>
      </c>
      <c r="C292" s="3" t="str">
        <f t="shared" si="16"/>
        <v>=&gt;</v>
      </c>
      <c r="D292" s="571" t="s">
        <v>1050</v>
      </c>
      <c r="E292" s="537"/>
      <c r="F292" s="537"/>
      <c r="G292" s="537"/>
      <c r="H292" s="537"/>
      <c r="I292" s="537"/>
      <c r="J292" s="537"/>
      <c r="K292" s="537"/>
    </row>
    <row r="293">
      <c r="A293" s="3"/>
      <c r="B293" s="569" t="s">
        <v>1021</v>
      </c>
      <c r="C293" s="3" t="str">
        <f t="shared" si="16"/>
        <v>=&gt;</v>
      </c>
      <c r="D293" s="572" t="s">
        <v>1051</v>
      </c>
      <c r="E293" s="537"/>
      <c r="F293" s="537"/>
      <c r="G293" s="537"/>
      <c r="H293" s="537"/>
      <c r="I293" s="537"/>
      <c r="J293" s="537"/>
      <c r="K293" s="537"/>
    </row>
    <row r="294">
      <c r="A294" s="3"/>
      <c r="B294" s="570" t="s">
        <v>1049</v>
      </c>
      <c r="C294" s="3" t="str">
        <f t="shared" si="16"/>
        <v>=&gt;</v>
      </c>
      <c r="D294" s="542" t="s">
        <v>1052</v>
      </c>
      <c r="E294" s="3" t="s">
        <v>62</v>
      </c>
      <c r="F294" s="573" t="s">
        <v>1053</v>
      </c>
      <c r="G294" s="574" t="s">
        <v>189</v>
      </c>
      <c r="H294" s="603" t="s">
        <v>1085</v>
      </c>
      <c r="I294" s="3" t="s">
        <v>64</v>
      </c>
      <c r="J294" s="3" t="s">
        <v>1054</v>
      </c>
      <c r="K294" s="537"/>
    </row>
    <row r="295">
      <c r="A295" s="3"/>
      <c r="B295" s="573" t="s">
        <v>1053</v>
      </c>
      <c r="C295" s="3" t="str">
        <f t="shared" si="16"/>
        <v>=&gt;</v>
      </c>
      <c r="D295" s="542" t="s">
        <v>14</v>
      </c>
      <c r="E295" s="601" t="s">
        <v>1083</v>
      </c>
      <c r="F295" s="3" t="s">
        <v>6</v>
      </c>
      <c r="G295" s="537"/>
      <c r="H295" s="537"/>
      <c r="I295" s="537"/>
      <c r="J295" s="537"/>
      <c r="K295" s="537"/>
    </row>
    <row r="296">
      <c r="A296" s="3"/>
      <c r="B296" s="574" t="s">
        <v>189</v>
      </c>
      <c r="C296" s="3" t="str">
        <f t="shared" si="16"/>
        <v>=&gt;</v>
      </c>
      <c r="D296" s="542" t="s">
        <v>14</v>
      </c>
      <c r="E296" s="545" t="s">
        <v>1024</v>
      </c>
      <c r="F296" s="537"/>
      <c r="G296" s="537"/>
      <c r="H296" s="537"/>
      <c r="I296" s="537"/>
      <c r="J296" s="537"/>
      <c r="K296" s="537"/>
    </row>
    <row r="297">
      <c r="A297" s="3"/>
      <c r="B297" s="571" t="s">
        <v>1050</v>
      </c>
      <c r="C297" s="3" t="str">
        <f t="shared" si="16"/>
        <v>=&gt;</v>
      </c>
      <c r="D297" s="542" t="s">
        <v>1075</v>
      </c>
      <c r="E297" s="3" t="s">
        <v>62</v>
      </c>
      <c r="F297" s="603" t="s">
        <v>1085</v>
      </c>
      <c r="G297" s="3" t="s">
        <v>64</v>
      </c>
      <c r="H297" s="3" t="s">
        <v>1054</v>
      </c>
      <c r="I297" s="537"/>
      <c r="J297" s="537"/>
      <c r="K297" s="537"/>
    </row>
    <row r="298">
      <c r="A298" s="3"/>
      <c r="B298" s="572" t="s">
        <v>1051</v>
      </c>
      <c r="C298" s="3" t="str">
        <f t="shared" si="16"/>
        <v>=&gt;</v>
      </c>
      <c r="D298" s="542" t="s">
        <v>1076</v>
      </c>
      <c r="E298" s="3" t="s">
        <v>1054</v>
      </c>
      <c r="F298" s="3" t="s">
        <v>1075</v>
      </c>
      <c r="G298" s="3" t="s">
        <v>62</v>
      </c>
      <c r="H298" s="603" t="s">
        <v>1085</v>
      </c>
      <c r="I298" s="3" t="s">
        <v>64</v>
      </c>
      <c r="J298" s="3" t="s">
        <v>6</v>
      </c>
      <c r="K298" s="537"/>
    </row>
    <row r="299">
      <c r="A299" s="3"/>
      <c r="B299" s="3"/>
      <c r="C299" s="3"/>
      <c r="D299" s="542"/>
      <c r="E299" s="3"/>
      <c r="F299" s="3"/>
      <c r="G299" s="537"/>
      <c r="H299" s="537"/>
      <c r="I299" s="537"/>
      <c r="J299" s="537"/>
      <c r="K299" s="537"/>
    </row>
    <row r="300">
      <c r="A300" s="3"/>
      <c r="B300" s="3"/>
      <c r="C300" s="3"/>
      <c r="D300" s="542"/>
      <c r="E300" s="3"/>
      <c r="F300" s="3"/>
      <c r="G300" s="537"/>
      <c r="H300" s="537"/>
      <c r="I300" s="537"/>
      <c r="J300" s="537"/>
      <c r="K300" s="537"/>
    </row>
    <row r="301">
      <c r="A301" s="3"/>
      <c r="B301" s="3"/>
      <c r="C301" s="3"/>
      <c r="D301" s="542"/>
      <c r="E301" s="3"/>
      <c r="F301" s="3"/>
      <c r="G301" s="537"/>
      <c r="H301" s="537"/>
      <c r="I301" s="537"/>
      <c r="J301" s="537"/>
      <c r="K301" s="537"/>
    </row>
    <row r="302">
      <c r="A302" s="3"/>
      <c r="B302" s="3"/>
      <c r="C302" s="3"/>
      <c r="D302" s="542"/>
      <c r="E302" s="3"/>
      <c r="F302" s="3"/>
      <c r="G302" s="537"/>
      <c r="H302" s="537"/>
      <c r="I302" s="537"/>
      <c r="J302" s="537"/>
      <c r="K302" s="537"/>
    </row>
    <row r="303">
      <c r="A303" s="3"/>
      <c r="B303" s="3"/>
      <c r="C303" s="3"/>
      <c r="D303" s="542"/>
      <c r="E303" s="3"/>
      <c r="F303" s="3"/>
      <c r="G303" s="537"/>
      <c r="H303" s="537"/>
      <c r="I303" s="537"/>
      <c r="J303" s="537"/>
      <c r="K303" s="537"/>
    </row>
    <row r="304">
      <c r="A304" s="3"/>
      <c r="B304" s="3"/>
      <c r="C304" s="3"/>
      <c r="D304" s="542"/>
      <c r="E304" s="3"/>
      <c r="F304" s="3"/>
      <c r="G304" s="537"/>
      <c r="H304" s="537"/>
      <c r="I304" s="537"/>
      <c r="J304" s="537"/>
      <c r="K304" s="537"/>
    </row>
    <row r="305">
      <c r="A305" s="3"/>
      <c r="B305" s="3"/>
      <c r="C305" s="3"/>
      <c r="D305" s="542"/>
      <c r="E305" s="3"/>
      <c r="F305" s="3"/>
      <c r="G305" s="537"/>
      <c r="H305" s="537"/>
      <c r="I305" s="537"/>
      <c r="J305" s="537"/>
      <c r="K305" s="537"/>
    </row>
    <row r="306">
      <c r="A306" s="3"/>
      <c r="B306" s="3"/>
      <c r="C306" s="3"/>
      <c r="D306" s="542"/>
      <c r="E306" s="3"/>
      <c r="F306" s="3"/>
      <c r="G306" s="537"/>
      <c r="H306" s="537"/>
      <c r="I306" s="537"/>
      <c r="J306" s="537"/>
      <c r="K306" s="537"/>
    </row>
    <row r="307">
      <c r="A307" s="3"/>
      <c r="B307" s="3"/>
      <c r="C307" s="3"/>
      <c r="D307" s="542"/>
      <c r="E307" s="3"/>
      <c r="F307" s="3"/>
      <c r="G307" s="537"/>
      <c r="H307" s="537"/>
      <c r="I307" s="537"/>
      <c r="J307" s="537"/>
      <c r="K307" s="537"/>
    </row>
    <row r="308">
      <c r="A308" s="3"/>
      <c r="B308" s="3"/>
      <c r="C308" s="3"/>
      <c r="D308" s="542"/>
      <c r="E308" s="3"/>
      <c r="F308" s="3"/>
      <c r="G308" s="537"/>
      <c r="H308" s="537"/>
      <c r="I308" s="537"/>
      <c r="J308" s="537"/>
      <c r="K308" s="537"/>
    </row>
    <row r="309">
      <c r="A309" s="3"/>
      <c r="B309" s="3"/>
      <c r="C309" s="3"/>
      <c r="D309" s="542"/>
      <c r="E309" s="3"/>
      <c r="F309" s="3"/>
      <c r="G309" s="537"/>
      <c r="H309" s="537"/>
      <c r="I309" s="537"/>
      <c r="J309" s="537"/>
      <c r="K309" s="537"/>
    </row>
    <row r="310">
      <c r="A310" s="3"/>
      <c r="B310" s="3"/>
      <c r="C310" s="3"/>
      <c r="D310" s="542"/>
      <c r="E310" s="3"/>
      <c r="F310" s="3"/>
      <c r="G310" s="537"/>
      <c r="H310" s="537"/>
      <c r="I310" s="537"/>
      <c r="J310" s="537"/>
      <c r="K310" s="537"/>
    </row>
    <row r="311">
      <c r="A311" s="3"/>
      <c r="B311" s="3"/>
      <c r="C311" s="3"/>
      <c r="D311" s="542"/>
      <c r="E311" s="3"/>
      <c r="F311" s="3"/>
      <c r="G311" s="537"/>
      <c r="H311" s="537"/>
      <c r="I311" s="537"/>
      <c r="J311" s="537"/>
      <c r="K311" s="537"/>
    </row>
    <row r="312">
      <c r="A312" s="3"/>
      <c r="B312" s="3"/>
      <c r="C312" s="3"/>
      <c r="D312" s="542"/>
      <c r="E312" s="3"/>
      <c r="F312" s="3"/>
      <c r="G312" s="537"/>
      <c r="H312" s="537"/>
      <c r="I312" s="537"/>
      <c r="J312" s="537"/>
      <c r="K312" s="537"/>
    </row>
    <row r="313">
      <c r="A313" s="3"/>
      <c r="B313" s="3"/>
      <c r="C313" s="3"/>
      <c r="D313" s="542"/>
      <c r="E313" s="3"/>
      <c r="F313" s="3"/>
      <c r="G313" s="537"/>
      <c r="H313" s="537"/>
      <c r="I313" s="537"/>
      <c r="J313" s="537"/>
      <c r="K313" s="537"/>
    </row>
    <row r="314">
      <c r="A314" s="3"/>
      <c r="B314" s="3"/>
      <c r="C314" s="3"/>
      <c r="D314" s="542"/>
      <c r="E314" s="3"/>
      <c r="F314" s="3"/>
      <c r="G314" s="537"/>
      <c r="H314" s="537"/>
      <c r="I314" s="537"/>
      <c r="J314" s="537"/>
      <c r="K314" s="537"/>
    </row>
    <row r="315">
      <c r="A315" s="3"/>
      <c r="B315" s="3"/>
      <c r="C315" s="3"/>
      <c r="D315" s="542"/>
      <c r="E315" s="3"/>
      <c r="F315" s="3"/>
      <c r="G315" s="537"/>
      <c r="H315" s="537"/>
      <c r="I315" s="537"/>
      <c r="J315" s="537"/>
      <c r="K315" s="537"/>
    </row>
    <row r="316">
      <c r="A316" s="3"/>
      <c r="B316" s="3"/>
      <c r="C316" s="3"/>
      <c r="D316" s="542"/>
      <c r="E316" s="3"/>
      <c r="F316" s="3"/>
      <c r="G316" s="537"/>
      <c r="H316" s="537"/>
      <c r="I316" s="537"/>
      <c r="J316" s="537"/>
      <c r="K316" s="537"/>
    </row>
    <row r="317">
      <c r="A317" s="3"/>
      <c r="B317" s="3"/>
      <c r="C317" s="3"/>
      <c r="D317" s="542"/>
      <c r="E317" s="3"/>
      <c r="F317" s="3"/>
      <c r="G317" s="537"/>
      <c r="H317" s="537"/>
      <c r="I317" s="537"/>
      <c r="J317" s="537"/>
      <c r="K317" s="537"/>
    </row>
    <row r="318">
      <c r="A318" s="3"/>
      <c r="B318" s="3"/>
      <c r="C318" s="3"/>
      <c r="D318" s="542"/>
      <c r="E318" s="3"/>
      <c r="F318" s="3"/>
      <c r="G318" s="537"/>
      <c r="H318" s="537"/>
      <c r="I318" s="537"/>
      <c r="J318" s="537"/>
      <c r="K318" s="537"/>
    </row>
    <row r="319">
      <c r="A319" s="3"/>
      <c r="B319" s="3"/>
      <c r="C319" s="3"/>
      <c r="D319" s="542"/>
      <c r="E319" s="3"/>
      <c r="F319" s="3"/>
      <c r="G319" s="537"/>
      <c r="H319" s="537"/>
      <c r="I319" s="537"/>
      <c r="J319" s="537"/>
      <c r="K319" s="537"/>
    </row>
    <row r="320">
      <c r="A320" s="3"/>
      <c r="B320" s="3"/>
      <c r="C320" s="3"/>
      <c r="D320" s="542"/>
      <c r="E320" s="3"/>
      <c r="F320" s="3"/>
      <c r="G320" s="537"/>
      <c r="H320" s="537"/>
      <c r="I320" s="537"/>
      <c r="J320" s="537"/>
      <c r="K320" s="537"/>
    </row>
    <row r="321">
      <c r="A321" s="3"/>
      <c r="B321" s="3"/>
      <c r="C321" s="3"/>
      <c r="D321" s="542"/>
      <c r="E321" s="3"/>
      <c r="F321" s="3"/>
      <c r="G321" s="537"/>
      <c r="H321" s="537"/>
      <c r="I321" s="537"/>
      <c r="J321" s="537"/>
      <c r="K321" s="537"/>
    </row>
    <row r="322">
      <c r="A322" s="3"/>
      <c r="B322" s="3"/>
      <c r="C322" s="3"/>
      <c r="D322" s="542"/>
      <c r="E322" s="3"/>
      <c r="F322" s="3"/>
      <c r="G322" s="537"/>
      <c r="H322" s="537"/>
      <c r="I322" s="537"/>
      <c r="J322" s="537"/>
      <c r="K322" s="53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0"/>
    <col customWidth="1" min="2" max="2" width="18.63"/>
    <col customWidth="1" min="3" max="3" width="3.0"/>
    <col customWidth="1" min="4" max="4" width="22.63"/>
  </cols>
  <sheetData>
    <row r="1">
      <c r="A1" s="687">
        <f t="shared" ref="A1:A59" si="1">ROW()</f>
        <v>1</v>
      </c>
      <c r="B1" s="688" t="s">
        <v>0</v>
      </c>
      <c r="C1" s="687" t="str">
        <f t="shared" ref="C1:C8" si="2">"=&gt;"</f>
        <v>=&gt;</v>
      </c>
      <c r="D1" s="689" t="s">
        <v>1142</v>
      </c>
      <c r="E1" s="690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  <c r="Y1" s="691"/>
      <c r="Z1" s="691"/>
      <c r="AA1" s="691"/>
    </row>
    <row r="2">
      <c r="A2" s="687">
        <f t="shared" si="1"/>
        <v>2</v>
      </c>
      <c r="B2" s="692" t="s">
        <v>836</v>
      </c>
      <c r="C2" s="687" t="str">
        <f t="shared" si="2"/>
        <v>=&gt;</v>
      </c>
      <c r="D2" s="663" t="s">
        <v>1143</v>
      </c>
      <c r="E2" s="690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691"/>
      <c r="Q2" s="691"/>
      <c r="R2" s="691"/>
      <c r="S2" s="691"/>
      <c r="T2" s="691"/>
      <c r="U2" s="691"/>
      <c r="V2" s="691"/>
      <c r="W2" s="691"/>
      <c r="X2" s="691"/>
      <c r="Y2" s="691"/>
      <c r="Z2" s="691"/>
      <c r="AA2" s="691"/>
    </row>
    <row r="3">
      <c r="A3" s="687">
        <f t="shared" si="1"/>
        <v>3</v>
      </c>
      <c r="B3" s="693" t="s">
        <v>1078</v>
      </c>
      <c r="C3" s="687" t="str">
        <f t="shared" si="2"/>
        <v>=&gt;</v>
      </c>
      <c r="D3" s="694" t="s">
        <v>1144</v>
      </c>
      <c r="E3" s="690"/>
      <c r="F3" s="691"/>
      <c r="G3" s="691"/>
      <c r="H3" s="691"/>
      <c r="I3" s="691"/>
      <c r="J3" s="691"/>
      <c r="K3" s="691"/>
      <c r="L3" s="691"/>
      <c r="M3" s="691"/>
      <c r="N3" s="691"/>
      <c r="O3" s="691"/>
      <c r="P3" s="691"/>
      <c r="Q3" s="691"/>
      <c r="R3" s="691"/>
      <c r="S3" s="691"/>
      <c r="T3" s="691"/>
      <c r="U3" s="691"/>
      <c r="V3" s="691"/>
      <c r="W3" s="691"/>
      <c r="X3" s="691"/>
      <c r="Y3" s="691"/>
      <c r="Z3" s="691"/>
      <c r="AA3" s="691"/>
    </row>
    <row r="4">
      <c r="A4" s="687">
        <f t="shared" si="1"/>
        <v>4</v>
      </c>
      <c r="B4" s="695" t="s">
        <v>1081</v>
      </c>
      <c r="C4" s="687" t="str">
        <f t="shared" si="2"/>
        <v>=&gt;</v>
      </c>
      <c r="D4" s="663" t="s">
        <v>1145</v>
      </c>
      <c r="E4" s="690"/>
      <c r="F4" s="691"/>
      <c r="G4" s="691"/>
      <c r="H4" s="691"/>
      <c r="I4" s="691"/>
      <c r="J4" s="691"/>
      <c r="K4" s="691"/>
      <c r="L4" s="691"/>
      <c r="M4" s="691"/>
      <c r="N4" s="691"/>
      <c r="O4" s="691"/>
      <c r="P4" s="691"/>
      <c r="Q4" s="691"/>
      <c r="R4" s="691"/>
      <c r="S4" s="691"/>
      <c r="T4" s="691"/>
      <c r="U4" s="691"/>
      <c r="V4" s="691"/>
      <c r="W4" s="691"/>
      <c r="X4" s="691"/>
      <c r="Y4" s="691"/>
      <c r="Z4" s="691"/>
      <c r="AA4" s="691"/>
    </row>
    <row r="5">
      <c r="A5" s="687">
        <f t="shared" si="1"/>
        <v>5</v>
      </c>
      <c r="B5" s="696" t="s">
        <v>1082</v>
      </c>
      <c r="C5" s="687" t="str">
        <f t="shared" si="2"/>
        <v>=&gt;</v>
      </c>
      <c r="D5" s="663" t="s">
        <v>453</v>
      </c>
      <c r="E5" s="690"/>
      <c r="F5" s="691"/>
      <c r="G5" s="691"/>
      <c r="H5" s="691"/>
      <c r="I5" s="691"/>
      <c r="J5" s="691"/>
      <c r="K5" s="691"/>
      <c r="L5" s="691"/>
      <c r="M5" s="691"/>
      <c r="N5" s="691"/>
      <c r="O5" s="691"/>
      <c r="P5" s="691"/>
      <c r="Q5" s="691"/>
      <c r="R5" s="691"/>
      <c r="S5" s="691"/>
      <c r="T5" s="691"/>
      <c r="U5" s="691"/>
      <c r="V5" s="691"/>
      <c r="W5" s="691"/>
      <c r="X5" s="691"/>
      <c r="Y5" s="691"/>
      <c r="Z5" s="691"/>
      <c r="AA5" s="691"/>
    </row>
    <row r="6">
      <c r="A6" s="687">
        <f t="shared" si="1"/>
        <v>6</v>
      </c>
      <c r="B6" s="697" t="s">
        <v>1083</v>
      </c>
      <c r="C6" s="15" t="str">
        <f t="shared" si="2"/>
        <v>=&gt;</v>
      </c>
      <c r="D6" s="663" t="s">
        <v>1146</v>
      </c>
      <c r="E6" s="690"/>
      <c r="F6" s="691"/>
      <c r="G6" s="691"/>
      <c r="H6" s="691"/>
      <c r="I6" s="691"/>
      <c r="J6" s="691"/>
      <c r="K6" s="691"/>
      <c r="L6" s="691"/>
      <c r="M6" s="691"/>
      <c r="N6" s="691"/>
      <c r="O6" s="691"/>
      <c r="P6" s="691"/>
      <c r="Q6" s="691"/>
      <c r="R6" s="691"/>
      <c r="S6" s="691"/>
      <c r="T6" s="691"/>
      <c r="U6" s="691"/>
      <c r="V6" s="691"/>
      <c r="W6" s="691"/>
      <c r="X6" s="691"/>
      <c r="Y6" s="691"/>
      <c r="Z6" s="691"/>
      <c r="AA6" s="691"/>
    </row>
    <row r="7">
      <c r="A7" s="687">
        <f t="shared" si="1"/>
        <v>7</v>
      </c>
      <c r="B7" s="698" t="s">
        <v>1084</v>
      </c>
      <c r="C7" s="687" t="str">
        <f t="shared" si="2"/>
        <v>=&gt;</v>
      </c>
      <c r="D7" s="663" t="s">
        <v>1147</v>
      </c>
      <c r="E7" s="690"/>
      <c r="F7" s="691"/>
      <c r="G7" s="691"/>
      <c r="H7" s="691"/>
      <c r="I7" s="691"/>
      <c r="J7" s="691"/>
      <c r="K7" s="691"/>
      <c r="L7" s="691"/>
      <c r="M7" s="691"/>
      <c r="N7" s="691"/>
      <c r="O7" s="691"/>
      <c r="P7" s="691"/>
      <c r="Q7" s="691"/>
      <c r="R7" s="691"/>
      <c r="S7" s="691"/>
      <c r="T7" s="691"/>
      <c r="U7" s="691"/>
      <c r="V7" s="691"/>
      <c r="W7" s="691"/>
      <c r="X7" s="691"/>
      <c r="Y7" s="691"/>
      <c r="Z7" s="691"/>
      <c r="AA7" s="691"/>
    </row>
    <row r="8">
      <c r="A8" s="687">
        <f t="shared" si="1"/>
        <v>8</v>
      </c>
      <c r="B8" s="699" t="s">
        <v>1085</v>
      </c>
      <c r="C8" s="687" t="str">
        <f t="shared" si="2"/>
        <v>=&gt;</v>
      </c>
      <c r="D8" s="694" t="s">
        <v>1148</v>
      </c>
      <c r="E8" s="690"/>
      <c r="F8" s="691"/>
      <c r="G8" s="691"/>
      <c r="H8" s="691"/>
      <c r="I8" s="691"/>
      <c r="J8" s="691"/>
      <c r="K8" s="691"/>
      <c r="L8" s="691"/>
      <c r="M8" s="691"/>
      <c r="N8" s="691"/>
      <c r="O8" s="691"/>
      <c r="P8" s="691"/>
      <c r="Q8" s="691"/>
      <c r="R8" s="691"/>
      <c r="S8" s="691"/>
      <c r="T8" s="691"/>
      <c r="U8" s="691"/>
      <c r="V8" s="691"/>
      <c r="W8" s="691"/>
      <c r="X8" s="691"/>
      <c r="Y8" s="691"/>
      <c r="Z8" s="691"/>
      <c r="AA8" s="691"/>
    </row>
    <row r="9">
      <c r="A9" s="687">
        <f t="shared" si="1"/>
        <v>9</v>
      </c>
      <c r="B9" s="700" t="s">
        <v>1086</v>
      </c>
      <c r="C9" s="687" t="s">
        <v>199</v>
      </c>
      <c r="D9" s="694" t="s">
        <v>1149</v>
      </c>
      <c r="E9" s="690"/>
      <c r="F9" s="691"/>
      <c r="G9" s="691"/>
      <c r="H9" s="691"/>
      <c r="I9" s="691"/>
      <c r="J9" s="691"/>
      <c r="K9" s="691"/>
      <c r="L9" s="691"/>
      <c r="M9" s="691"/>
      <c r="N9" s="691"/>
      <c r="O9" s="691"/>
      <c r="P9" s="691"/>
      <c r="Q9" s="691"/>
      <c r="R9" s="691"/>
      <c r="S9" s="691"/>
      <c r="T9" s="691"/>
      <c r="U9" s="691"/>
      <c r="V9" s="691"/>
      <c r="W9" s="691"/>
      <c r="X9" s="691"/>
      <c r="Y9" s="691"/>
      <c r="Z9" s="691"/>
      <c r="AA9" s="691"/>
    </row>
    <row r="10">
      <c r="A10" s="687">
        <f t="shared" si="1"/>
        <v>10</v>
      </c>
      <c r="B10" s="701" t="s">
        <v>154</v>
      </c>
      <c r="C10" s="687" t="str">
        <f t="shared" ref="C10:C52" si="3">"=&gt;"</f>
        <v>=&gt;</v>
      </c>
      <c r="D10" s="694" t="s">
        <v>1150</v>
      </c>
      <c r="E10" s="690"/>
      <c r="F10" s="691"/>
      <c r="G10" s="691"/>
      <c r="H10" s="691"/>
      <c r="I10" s="691"/>
      <c r="J10" s="691"/>
      <c r="K10" s="691"/>
      <c r="L10" s="691"/>
      <c r="M10" s="691"/>
      <c r="N10" s="691"/>
      <c r="O10" s="691"/>
      <c r="P10" s="691"/>
      <c r="Q10" s="691"/>
      <c r="R10" s="691"/>
      <c r="S10" s="691"/>
      <c r="T10" s="691"/>
      <c r="U10" s="691"/>
      <c r="V10" s="691"/>
      <c r="W10" s="691"/>
      <c r="X10" s="691"/>
      <c r="Y10" s="691"/>
      <c r="Z10" s="691"/>
      <c r="AA10" s="691"/>
    </row>
    <row r="11">
      <c r="A11" s="687">
        <f t="shared" si="1"/>
        <v>11</v>
      </c>
      <c r="B11" s="702" t="s">
        <v>155</v>
      </c>
      <c r="C11" s="687" t="str">
        <f t="shared" si="3"/>
        <v>=&gt;</v>
      </c>
      <c r="D11" s="663" t="s">
        <v>1151</v>
      </c>
      <c r="E11" s="690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  <c r="R11" s="691"/>
      <c r="S11" s="691"/>
      <c r="T11" s="691"/>
      <c r="U11" s="691"/>
      <c r="V11" s="691"/>
      <c r="W11" s="691"/>
      <c r="X11" s="691"/>
      <c r="Y11" s="691"/>
      <c r="Z11" s="691"/>
      <c r="AA11" s="691"/>
    </row>
    <row r="12">
      <c r="A12" s="687">
        <f t="shared" si="1"/>
        <v>12</v>
      </c>
      <c r="B12" s="703" t="s">
        <v>1087</v>
      </c>
      <c r="C12" s="687" t="str">
        <f t="shared" si="3"/>
        <v>=&gt;</v>
      </c>
      <c r="D12" s="694" t="s">
        <v>1152</v>
      </c>
      <c r="E12" s="690"/>
      <c r="F12" s="691"/>
      <c r="G12" s="691"/>
      <c r="H12" s="691"/>
      <c r="I12" s="691"/>
      <c r="J12" s="691"/>
      <c r="K12" s="691"/>
      <c r="L12" s="691"/>
      <c r="M12" s="691"/>
      <c r="N12" s="691"/>
      <c r="O12" s="691"/>
      <c r="P12" s="691"/>
      <c r="Q12" s="691"/>
      <c r="R12" s="691"/>
      <c r="S12" s="691"/>
      <c r="T12" s="691"/>
      <c r="U12" s="691"/>
      <c r="V12" s="691"/>
      <c r="W12" s="691"/>
      <c r="X12" s="691"/>
      <c r="Y12" s="691"/>
      <c r="Z12" s="691"/>
      <c r="AA12" s="691"/>
    </row>
    <row r="13">
      <c r="A13" s="687">
        <f t="shared" si="1"/>
        <v>13</v>
      </c>
      <c r="B13" s="704" t="s">
        <v>157</v>
      </c>
      <c r="C13" s="687" t="str">
        <f t="shared" si="3"/>
        <v>=&gt;</v>
      </c>
      <c r="D13" s="663" t="s">
        <v>1153</v>
      </c>
      <c r="E13" s="690"/>
      <c r="F13" s="691"/>
      <c r="G13" s="691"/>
      <c r="H13" s="691"/>
      <c r="I13" s="691"/>
      <c r="J13" s="691"/>
      <c r="K13" s="691"/>
      <c r="L13" s="691"/>
      <c r="M13" s="691"/>
      <c r="N13" s="691"/>
      <c r="O13" s="691"/>
      <c r="P13" s="691"/>
      <c r="Q13" s="691"/>
      <c r="R13" s="691"/>
      <c r="S13" s="691"/>
      <c r="T13" s="691"/>
      <c r="U13" s="691"/>
      <c r="V13" s="691"/>
      <c r="W13" s="691"/>
      <c r="X13" s="691"/>
      <c r="Y13" s="691"/>
      <c r="Z13" s="691"/>
      <c r="AA13" s="691"/>
    </row>
    <row r="14">
      <c r="A14" s="687">
        <f t="shared" si="1"/>
        <v>14</v>
      </c>
      <c r="B14" s="705" t="s">
        <v>110</v>
      </c>
      <c r="C14" s="687" t="str">
        <f t="shared" si="3"/>
        <v>=&gt;</v>
      </c>
      <c r="D14" s="694" t="s">
        <v>1154</v>
      </c>
      <c r="E14" s="690"/>
      <c r="F14" s="691"/>
      <c r="G14" s="691"/>
      <c r="H14" s="691"/>
      <c r="I14" s="691"/>
      <c r="J14" s="691"/>
      <c r="K14" s="691"/>
      <c r="L14" s="691"/>
      <c r="M14" s="691"/>
      <c r="N14" s="691"/>
      <c r="O14" s="691"/>
      <c r="P14" s="691"/>
      <c r="Q14" s="691"/>
      <c r="R14" s="691"/>
      <c r="S14" s="691"/>
      <c r="T14" s="691"/>
      <c r="U14" s="691"/>
      <c r="V14" s="691"/>
      <c r="W14" s="691"/>
      <c r="X14" s="691"/>
      <c r="Y14" s="691"/>
      <c r="Z14" s="691"/>
      <c r="AA14" s="691"/>
    </row>
    <row r="15">
      <c r="A15" s="687">
        <f t="shared" si="1"/>
        <v>15</v>
      </c>
      <c r="B15" s="706" t="s">
        <v>1088</v>
      </c>
      <c r="C15" s="687" t="str">
        <f t="shared" si="3"/>
        <v>=&gt;</v>
      </c>
      <c r="D15" s="663" t="s">
        <v>1155</v>
      </c>
      <c r="E15" s="690"/>
      <c r="F15" s="691"/>
      <c r="G15" s="691"/>
      <c r="H15" s="691"/>
      <c r="I15" s="691"/>
      <c r="J15" s="691"/>
      <c r="K15" s="691"/>
      <c r="L15" s="691"/>
      <c r="M15" s="691"/>
      <c r="N15" s="691"/>
      <c r="O15" s="691"/>
      <c r="P15" s="691"/>
      <c r="Q15" s="691"/>
      <c r="R15" s="691"/>
      <c r="S15" s="691"/>
      <c r="T15" s="691"/>
      <c r="U15" s="691"/>
      <c r="V15" s="691"/>
      <c r="W15" s="691"/>
      <c r="X15" s="691"/>
      <c r="Y15" s="691"/>
      <c r="Z15" s="691"/>
      <c r="AA15" s="691"/>
    </row>
    <row r="16">
      <c r="A16" s="687">
        <f t="shared" si="1"/>
        <v>16</v>
      </c>
      <c r="B16" s="707" t="s">
        <v>1089</v>
      </c>
      <c r="C16" s="687" t="str">
        <f t="shared" si="3"/>
        <v>=&gt;</v>
      </c>
      <c r="D16" s="694" t="s">
        <v>1156</v>
      </c>
      <c r="E16" s="690"/>
      <c r="F16" s="691"/>
      <c r="G16" s="691"/>
      <c r="H16" s="691"/>
      <c r="I16" s="691"/>
      <c r="J16" s="691"/>
      <c r="K16" s="691"/>
      <c r="L16" s="691"/>
      <c r="M16" s="691"/>
      <c r="N16" s="691"/>
      <c r="O16" s="691"/>
      <c r="P16" s="691"/>
      <c r="Q16" s="691"/>
      <c r="R16" s="691"/>
      <c r="S16" s="691"/>
      <c r="T16" s="691"/>
      <c r="U16" s="691"/>
      <c r="V16" s="691"/>
      <c r="W16" s="691"/>
      <c r="X16" s="691"/>
      <c r="Y16" s="691"/>
      <c r="Z16" s="691"/>
      <c r="AA16" s="691"/>
    </row>
    <row r="17">
      <c r="A17" s="687">
        <f t="shared" si="1"/>
        <v>17</v>
      </c>
      <c r="B17" s="708" t="s">
        <v>1090</v>
      </c>
      <c r="C17" s="687" t="str">
        <f t="shared" si="3"/>
        <v>=&gt;</v>
      </c>
      <c r="D17" s="663" t="s">
        <v>1157</v>
      </c>
      <c r="E17" s="690"/>
      <c r="F17" s="691"/>
      <c r="G17" s="691"/>
      <c r="H17" s="691"/>
      <c r="I17" s="691"/>
      <c r="J17" s="691"/>
      <c r="K17" s="691"/>
      <c r="L17" s="691"/>
      <c r="M17" s="691"/>
      <c r="N17" s="691"/>
      <c r="O17" s="691"/>
      <c r="P17" s="691"/>
      <c r="Q17" s="691"/>
      <c r="R17" s="691"/>
      <c r="S17" s="691"/>
      <c r="T17" s="691"/>
      <c r="U17" s="691"/>
      <c r="V17" s="691"/>
      <c r="W17" s="691"/>
      <c r="X17" s="691"/>
      <c r="Y17" s="691"/>
      <c r="Z17" s="691"/>
      <c r="AA17" s="691"/>
    </row>
    <row r="18">
      <c r="A18" s="687">
        <f t="shared" si="1"/>
        <v>18</v>
      </c>
      <c r="B18" s="709" t="s">
        <v>1091</v>
      </c>
      <c r="C18" s="687" t="str">
        <f t="shared" si="3"/>
        <v>=&gt;</v>
      </c>
      <c r="D18" s="694" t="s">
        <v>1158</v>
      </c>
      <c r="E18" s="690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1"/>
      <c r="Q18" s="691"/>
      <c r="R18" s="691"/>
      <c r="S18" s="691"/>
      <c r="T18" s="691"/>
      <c r="U18" s="691"/>
      <c r="V18" s="691"/>
      <c r="W18" s="691"/>
      <c r="X18" s="691"/>
      <c r="Y18" s="691"/>
      <c r="Z18" s="691"/>
      <c r="AA18" s="691"/>
    </row>
    <row r="19">
      <c r="A19" s="687">
        <f t="shared" si="1"/>
        <v>19</v>
      </c>
      <c r="B19" s="710" t="s">
        <v>1092</v>
      </c>
      <c r="C19" s="687" t="str">
        <f t="shared" si="3"/>
        <v>=&gt;</v>
      </c>
      <c r="D19" s="663" t="s">
        <v>1159</v>
      </c>
      <c r="E19" s="690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691"/>
    </row>
    <row r="20">
      <c r="A20" s="687">
        <f t="shared" si="1"/>
        <v>20</v>
      </c>
      <c r="B20" s="711" t="s">
        <v>1093</v>
      </c>
      <c r="C20" s="687" t="str">
        <f t="shared" si="3"/>
        <v>=&gt;</v>
      </c>
      <c r="D20" s="694" t="s">
        <v>1160</v>
      </c>
      <c r="E20" s="690"/>
      <c r="F20" s="691"/>
      <c r="G20" s="691"/>
      <c r="H20" s="691"/>
      <c r="I20" s="691"/>
      <c r="J20" s="691"/>
      <c r="K20" s="691"/>
      <c r="L20" s="691"/>
      <c r="M20" s="691"/>
      <c r="N20" s="691"/>
      <c r="O20" s="691"/>
      <c r="P20" s="691"/>
      <c r="Q20" s="691"/>
      <c r="R20" s="691"/>
      <c r="S20" s="691"/>
      <c r="T20" s="691"/>
      <c r="U20" s="691"/>
      <c r="V20" s="691"/>
      <c r="W20" s="691"/>
      <c r="X20" s="691"/>
      <c r="Y20" s="691"/>
      <c r="Z20" s="691"/>
      <c r="AA20" s="691"/>
    </row>
    <row r="21">
      <c r="A21" s="687">
        <f t="shared" si="1"/>
        <v>21</v>
      </c>
      <c r="B21" s="712" t="s">
        <v>1094</v>
      </c>
      <c r="C21" s="687" t="str">
        <f t="shared" si="3"/>
        <v>=&gt;</v>
      </c>
      <c r="D21" s="663" t="s">
        <v>1161</v>
      </c>
      <c r="E21" s="690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91"/>
    </row>
    <row r="22">
      <c r="A22" s="687">
        <f t="shared" si="1"/>
        <v>22</v>
      </c>
      <c r="B22" s="713" t="s">
        <v>1095</v>
      </c>
      <c r="C22" s="687" t="str">
        <f t="shared" si="3"/>
        <v>=&gt;</v>
      </c>
      <c r="D22" s="694" t="s">
        <v>1162</v>
      </c>
      <c r="E22" s="690"/>
      <c r="F22" s="691"/>
      <c r="G22" s="691"/>
      <c r="H22" s="691"/>
      <c r="I22" s="691"/>
      <c r="J22" s="691"/>
      <c r="K22" s="691"/>
      <c r="L22" s="691"/>
      <c r="M22" s="691"/>
      <c r="N22" s="691"/>
      <c r="O22" s="691"/>
      <c r="P22" s="691"/>
      <c r="Q22" s="691"/>
      <c r="R22" s="691"/>
      <c r="S22" s="691"/>
      <c r="T22" s="691"/>
      <c r="U22" s="691"/>
      <c r="V22" s="691"/>
      <c r="W22" s="691"/>
      <c r="X22" s="691"/>
      <c r="Y22" s="691"/>
      <c r="Z22" s="691"/>
      <c r="AA22" s="691"/>
    </row>
    <row r="23">
      <c r="A23" s="687">
        <f t="shared" si="1"/>
        <v>23</v>
      </c>
      <c r="B23" s="714" t="s">
        <v>1098</v>
      </c>
      <c r="C23" s="687" t="str">
        <f t="shared" si="3"/>
        <v>=&gt;</v>
      </c>
      <c r="D23" s="663" t="s">
        <v>1163</v>
      </c>
      <c r="E23" s="690"/>
      <c r="F23" s="691"/>
      <c r="G23" s="691"/>
      <c r="H23" s="691"/>
      <c r="I23" s="691"/>
      <c r="J23" s="691"/>
      <c r="K23" s="691"/>
      <c r="L23" s="691"/>
      <c r="M23" s="691"/>
      <c r="N23" s="691"/>
      <c r="O23" s="691"/>
      <c r="P23" s="691"/>
      <c r="Q23" s="691"/>
      <c r="R23" s="691"/>
      <c r="S23" s="691"/>
      <c r="T23" s="691"/>
      <c r="U23" s="691"/>
      <c r="V23" s="691"/>
      <c r="W23" s="691"/>
      <c r="X23" s="691"/>
      <c r="Y23" s="691"/>
      <c r="Z23" s="691"/>
      <c r="AA23" s="691"/>
    </row>
    <row r="24">
      <c r="A24" s="687">
        <f t="shared" si="1"/>
        <v>24</v>
      </c>
      <c r="B24" s="715" t="s">
        <v>1026</v>
      </c>
      <c r="C24" s="687" t="str">
        <f t="shared" si="3"/>
        <v>=&gt;</v>
      </c>
      <c r="D24" s="663" t="s">
        <v>1164</v>
      </c>
      <c r="E24" s="690"/>
      <c r="F24" s="691"/>
      <c r="G24" s="691"/>
      <c r="H24" s="691"/>
      <c r="I24" s="691"/>
      <c r="J24" s="691"/>
      <c r="K24" s="691"/>
      <c r="L24" s="691"/>
      <c r="M24" s="691"/>
      <c r="N24" s="691"/>
      <c r="O24" s="691"/>
      <c r="P24" s="691"/>
      <c r="Q24" s="691"/>
      <c r="R24" s="691"/>
      <c r="S24" s="691"/>
      <c r="T24" s="691"/>
      <c r="U24" s="691"/>
      <c r="V24" s="691"/>
      <c r="W24" s="691"/>
      <c r="X24" s="691"/>
      <c r="Y24" s="691"/>
      <c r="Z24" s="691"/>
      <c r="AA24" s="691"/>
    </row>
    <row r="25">
      <c r="A25" s="687">
        <f t="shared" si="1"/>
        <v>25</v>
      </c>
      <c r="B25" s="716" t="s">
        <v>1025</v>
      </c>
      <c r="C25" s="687" t="str">
        <f t="shared" si="3"/>
        <v>=&gt;</v>
      </c>
      <c r="D25" s="663" t="s">
        <v>600</v>
      </c>
      <c r="E25" s="690"/>
      <c r="F25" s="691"/>
      <c r="G25" s="691"/>
      <c r="H25" s="691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Y25" s="691"/>
      <c r="Z25" s="691"/>
      <c r="AA25" s="691"/>
    </row>
    <row r="26">
      <c r="A26" s="687">
        <f t="shared" si="1"/>
        <v>26</v>
      </c>
      <c r="B26" s="717" t="s">
        <v>895</v>
      </c>
      <c r="C26" s="687" t="str">
        <f t="shared" si="3"/>
        <v>=&gt;</v>
      </c>
      <c r="D26" s="694" t="s">
        <v>1165</v>
      </c>
      <c r="E26" s="690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91"/>
    </row>
    <row r="27">
      <c r="A27" s="687">
        <f t="shared" si="1"/>
        <v>27</v>
      </c>
      <c r="B27" s="718" t="s">
        <v>28</v>
      </c>
      <c r="C27" s="687" t="str">
        <f t="shared" si="3"/>
        <v>=&gt;</v>
      </c>
      <c r="D27" s="694" t="s">
        <v>1166</v>
      </c>
      <c r="E27" s="690"/>
      <c r="F27" s="691"/>
      <c r="G27" s="691"/>
      <c r="H27" s="691"/>
      <c r="I27" s="691"/>
      <c r="J27" s="691"/>
      <c r="K27" s="691"/>
      <c r="L27" s="691"/>
      <c r="M27" s="691"/>
      <c r="N27" s="691"/>
      <c r="O27" s="691"/>
      <c r="P27" s="691"/>
      <c r="Q27" s="691"/>
      <c r="R27" s="691"/>
      <c r="S27" s="691"/>
      <c r="T27" s="691"/>
      <c r="U27" s="691"/>
      <c r="V27" s="691"/>
      <c r="W27" s="691"/>
      <c r="X27" s="691"/>
      <c r="Y27" s="691"/>
      <c r="Z27" s="691"/>
      <c r="AA27" s="691"/>
    </row>
    <row r="28">
      <c r="A28" s="687">
        <f t="shared" si="1"/>
        <v>28</v>
      </c>
      <c r="B28" s="719" t="s">
        <v>896</v>
      </c>
      <c r="C28" s="687" t="str">
        <f t="shared" si="3"/>
        <v>=&gt;</v>
      </c>
      <c r="D28" s="663" t="s">
        <v>1147</v>
      </c>
      <c r="E28" s="690"/>
      <c r="F28" s="691"/>
      <c r="G28" s="691"/>
      <c r="H28" s="691"/>
      <c r="I28" s="691"/>
      <c r="J28" s="691"/>
      <c r="K28" s="691"/>
      <c r="L28" s="691"/>
      <c r="M28" s="691"/>
      <c r="N28" s="691"/>
      <c r="O28" s="691"/>
      <c r="P28" s="691"/>
      <c r="Q28" s="691"/>
      <c r="R28" s="691"/>
      <c r="S28" s="691"/>
      <c r="T28" s="691"/>
      <c r="U28" s="691"/>
      <c r="V28" s="691"/>
      <c r="W28" s="691"/>
      <c r="X28" s="691"/>
      <c r="Y28" s="691"/>
      <c r="Z28" s="691"/>
      <c r="AA28" s="691"/>
    </row>
    <row r="29">
      <c r="A29" s="687">
        <f t="shared" si="1"/>
        <v>29</v>
      </c>
      <c r="B29" s="720" t="s">
        <v>1079</v>
      </c>
      <c r="C29" s="687" t="str">
        <f t="shared" si="3"/>
        <v>=&gt;</v>
      </c>
      <c r="D29" s="694" t="s">
        <v>1167</v>
      </c>
      <c r="E29" s="690"/>
      <c r="F29" s="691"/>
      <c r="G29" s="691"/>
      <c r="H29" s="691"/>
      <c r="I29" s="691"/>
      <c r="J29" s="691"/>
      <c r="K29" s="691"/>
      <c r="L29" s="691"/>
      <c r="M29" s="691"/>
      <c r="N29" s="691"/>
      <c r="O29" s="691"/>
      <c r="P29" s="691"/>
      <c r="Q29" s="691"/>
      <c r="R29" s="691"/>
      <c r="S29" s="691"/>
      <c r="T29" s="691"/>
      <c r="U29" s="691"/>
      <c r="V29" s="691"/>
      <c r="W29" s="691"/>
      <c r="X29" s="691"/>
      <c r="Y29" s="691"/>
      <c r="Z29" s="691"/>
      <c r="AA29" s="691"/>
    </row>
    <row r="30">
      <c r="A30" s="687">
        <f t="shared" si="1"/>
        <v>30</v>
      </c>
      <c r="B30" s="721" t="s">
        <v>962</v>
      </c>
      <c r="C30" s="687" t="str">
        <f t="shared" si="3"/>
        <v>=&gt;</v>
      </c>
      <c r="D30" s="663" t="s">
        <v>472</v>
      </c>
      <c r="E30" s="690"/>
      <c r="F30" s="691"/>
      <c r="G30" s="691"/>
      <c r="H30" s="691"/>
      <c r="I30" s="691"/>
      <c r="J30" s="691"/>
      <c r="K30" s="691"/>
      <c r="L30" s="691"/>
      <c r="M30" s="691"/>
      <c r="N30" s="691"/>
      <c r="O30" s="691"/>
      <c r="P30" s="691"/>
      <c r="Q30" s="691"/>
      <c r="R30" s="691"/>
      <c r="S30" s="691"/>
      <c r="T30" s="691"/>
      <c r="U30" s="691"/>
      <c r="V30" s="691"/>
      <c r="W30" s="691"/>
      <c r="X30" s="691"/>
      <c r="Y30" s="691"/>
      <c r="Z30" s="691"/>
      <c r="AA30" s="691"/>
    </row>
    <row r="31">
      <c r="A31" s="687">
        <f t="shared" si="1"/>
        <v>31</v>
      </c>
      <c r="B31" s="722" t="s">
        <v>963</v>
      </c>
      <c r="C31" s="687" t="str">
        <f t="shared" si="3"/>
        <v>=&gt;</v>
      </c>
      <c r="D31" s="663" t="s">
        <v>453</v>
      </c>
      <c r="E31" s="690"/>
      <c r="F31" s="691"/>
      <c r="G31" s="691"/>
      <c r="H31" s="691"/>
      <c r="I31" s="691"/>
      <c r="J31" s="691"/>
      <c r="K31" s="691"/>
      <c r="L31" s="691"/>
      <c r="M31" s="691"/>
      <c r="N31" s="691"/>
      <c r="O31" s="691"/>
      <c r="P31" s="691"/>
      <c r="Q31" s="691"/>
      <c r="R31" s="691"/>
      <c r="S31" s="691"/>
      <c r="T31" s="691"/>
      <c r="U31" s="691"/>
      <c r="V31" s="691"/>
      <c r="W31" s="691"/>
      <c r="X31" s="691"/>
      <c r="Y31" s="691"/>
      <c r="Z31" s="691"/>
      <c r="AA31" s="691"/>
    </row>
    <row r="32">
      <c r="A32" s="687">
        <f t="shared" si="1"/>
        <v>32</v>
      </c>
      <c r="B32" s="723" t="s">
        <v>1101</v>
      </c>
      <c r="C32" s="687" t="str">
        <f t="shared" si="3"/>
        <v>=&gt;</v>
      </c>
      <c r="D32" s="663" t="s">
        <v>1146</v>
      </c>
      <c r="E32" s="690"/>
      <c r="F32" s="691"/>
      <c r="G32" s="691"/>
      <c r="H32" s="691"/>
      <c r="I32" s="691"/>
      <c r="J32" s="691"/>
      <c r="K32" s="691"/>
      <c r="L32" s="691"/>
      <c r="M32" s="691"/>
      <c r="N32" s="691"/>
      <c r="O32" s="691"/>
      <c r="P32" s="691"/>
      <c r="Q32" s="691"/>
      <c r="R32" s="691"/>
      <c r="S32" s="691"/>
      <c r="T32" s="691"/>
      <c r="U32" s="691"/>
      <c r="V32" s="691"/>
      <c r="W32" s="691"/>
      <c r="X32" s="691"/>
      <c r="Y32" s="691"/>
      <c r="Z32" s="691"/>
      <c r="AA32" s="691"/>
    </row>
    <row r="33">
      <c r="A33" s="687">
        <f t="shared" si="1"/>
        <v>33</v>
      </c>
      <c r="B33" s="724" t="s">
        <v>966</v>
      </c>
      <c r="C33" s="687" t="str">
        <f t="shared" si="3"/>
        <v>=&gt;</v>
      </c>
      <c r="D33" s="663" t="s">
        <v>1147</v>
      </c>
      <c r="E33" s="690"/>
      <c r="F33" s="691"/>
      <c r="G33" s="691"/>
      <c r="H33" s="691"/>
      <c r="I33" s="691"/>
      <c r="J33" s="691"/>
      <c r="K33" s="691"/>
      <c r="L33" s="691"/>
      <c r="M33" s="691"/>
      <c r="N33" s="691"/>
      <c r="O33" s="691"/>
      <c r="P33" s="691"/>
      <c r="Q33" s="691"/>
      <c r="R33" s="691"/>
      <c r="S33" s="691"/>
      <c r="T33" s="691"/>
      <c r="U33" s="691"/>
      <c r="V33" s="691"/>
      <c r="W33" s="691"/>
      <c r="X33" s="691"/>
      <c r="Y33" s="691"/>
      <c r="Z33" s="691"/>
      <c r="AA33" s="691"/>
    </row>
    <row r="34">
      <c r="A34" s="687">
        <f t="shared" si="1"/>
        <v>34</v>
      </c>
      <c r="B34" s="725" t="s">
        <v>964</v>
      </c>
      <c r="C34" s="687" t="str">
        <f t="shared" si="3"/>
        <v>=&gt;</v>
      </c>
      <c r="D34" s="694" t="s">
        <v>1168</v>
      </c>
      <c r="E34" s="690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91"/>
    </row>
    <row r="35">
      <c r="A35" s="687">
        <f t="shared" si="1"/>
        <v>35</v>
      </c>
      <c r="B35" s="726" t="s">
        <v>1102</v>
      </c>
      <c r="C35" s="687" t="str">
        <f t="shared" si="3"/>
        <v>=&gt;</v>
      </c>
      <c r="D35" s="694" t="s">
        <v>1169</v>
      </c>
      <c r="E35" s="690"/>
      <c r="F35" s="691"/>
      <c r="G35" s="691"/>
      <c r="H35" s="691"/>
      <c r="I35" s="691"/>
      <c r="J35" s="691"/>
      <c r="K35" s="691"/>
      <c r="L35" s="691"/>
      <c r="M35" s="691"/>
      <c r="N35" s="691"/>
      <c r="O35" s="691"/>
      <c r="P35" s="691"/>
      <c r="Q35" s="691"/>
      <c r="R35" s="691"/>
      <c r="S35" s="691"/>
      <c r="T35" s="691"/>
      <c r="U35" s="691"/>
      <c r="V35" s="691"/>
      <c r="W35" s="691"/>
      <c r="X35" s="691"/>
      <c r="Y35" s="691"/>
      <c r="Z35" s="691"/>
      <c r="AA35" s="691"/>
    </row>
    <row r="36">
      <c r="A36" s="687">
        <f t="shared" si="1"/>
        <v>36</v>
      </c>
      <c r="B36" s="727" t="s">
        <v>1099</v>
      </c>
      <c r="C36" s="687" t="str">
        <f t="shared" si="3"/>
        <v>=&gt;</v>
      </c>
      <c r="D36" s="663" t="s">
        <v>472</v>
      </c>
      <c r="E36" s="690"/>
      <c r="F36" s="691"/>
      <c r="G36" s="691"/>
      <c r="H36" s="691"/>
      <c r="I36" s="691"/>
      <c r="J36" s="691"/>
      <c r="K36" s="691"/>
      <c r="L36" s="691"/>
      <c r="M36" s="691"/>
      <c r="N36" s="691"/>
      <c r="O36" s="691"/>
      <c r="P36" s="691"/>
      <c r="Q36" s="691"/>
      <c r="R36" s="691"/>
      <c r="S36" s="691"/>
      <c r="T36" s="691"/>
      <c r="U36" s="691"/>
      <c r="V36" s="691"/>
      <c r="W36" s="691"/>
      <c r="X36" s="691"/>
      <c r="Y36" s="691"/>
      <c r="Z36" s="691"/>
      <c r="AA36" s="691"/>
    </row>
    <row r="37">
      <c r="A37" s="687">
        <f t="shared" si="1"/>
        <v>37</v>
      </c>
      <c r="B37" s="728" t="s">
        <v>894</v>
      </c>
      <c r="C37" s="687" t="str">
        <f t="shared" si="3"/>
        <v>=&gt;</v>
      </c>
      <c r="D37" s="694" t="s">
        <v>1170</v>
      </c>
      <c r="E37" s="690"/>
      <c r="F37" s="691"/>
      <c r="G37" s="691"/>
      <c r="H37" s="691"/>
      <c r="I37" s="691"/>
      <c r="J37" s="691"/>
      <c r="K37" s="691"/>
      <c r="L37" s="691"/>
      <c r="M37" s="691"/>
      <c r="N37" s="691"/>
      <c r="O37" s="691"/>
      <c r="P37" s="691"/>
      <c r="Q37" s="691"/>
      <c r="R37" s="691"/>
      <c r="S37" s="691"/>
      <c r="T37" s="691"/>
      <c r="U37" s="691"/>
      <c r="V37" s="691"/>
      <c r="W37" s="691"/>
      <c r="X37" s="691"/>
      <c r="Y37" s="691"/>
      <c r="Z37" s="691"/>
      <c r="AA37" s="691"/>
    </row>
    <row r="38">
      <c r="A38" s="687">
        <f t="shared" si="1"/>
        <v>38</v>
      </c>
      <c r="B38" s="729" t="s">
        <v>1103</v>
      </c>
      <c r="C38" s="687" t="str">
        <f t="shared" si="3"/>
        <v>=&gt;</v>
      </c>
      <c r="D38" s="694" t="s">
        <v>1165</v>
      </c>
      <c r="E38" s="690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691"/>
    </row>
    <row r="39">
      <c r="A39" s="687">
        <f t="shared" si="1"/>
        <v>39</v>
      </c>
      <c r="B39" s="730" t="s">
        <v>901</v>
      </c>
      <c r="C39" s="687" t="str">
        <f t="shared" si="3"/>
        <v>=&gt;</v>
      </c>
      <c r="D39" s="663" t="s">
        <v>1147</v>
      </c>
      <c r="E39" s="690"/>
      <c r="F39" s="691"/>
      <c r="G39" s="691"/>
      <c r="H39" s="691"/>
      <c r="I39" s="691"/>
      <c r="J39" s="691"/>
      <c r="K39" s="691"/>
      <c r="L39" s="691"/>
      <c r="M39" s="691"/>
      <c r="N39" s="691"/>
      <c r="O39" s="691"/>
      <c r="P39" s="691"/>
      <c r="Q39" s="691"/>
      <c r="R39" s="691"/>
      <c r="S39" s="691"/>
      <c r="T39" s="691"/>
      <c r="U39" s="691"/>
      <c r="V39" s="691"/>
      <c r="W39" s="691"/>
      <c r="X39" s="691"/>
      <c r="Y39" s="691"/>
      <c r="Z39" s="691"/>
      <c r="AA39" s="691"/>
    </row>
    <row r="40">
      <c r="A40" s="687">
        <f t="shared" si="1"/>
        <v>40</v>
      </c>
      <c r="B40" s="731" t="s">
        <v>1097</v>
      </c>
      <c r="C40" s="687" t="str">
        <f t="shared" si="3"/>
        <v>=&gt;</v>
      </c>
      <c r="D40" s="663" t="s">
        <v>1171</v>
      </c>
      <c r="E40" s="690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91"/>
    </row>
    <row r="41">
      <c r="A41" s="687">
        <f t="shared" si="1"/>
        <v>41</v>
      </c>
      <c r="B41" s="732" t="s">
        <v>892</v>
      </c>
      <c r="C41" s="687" t="str">
        <f t="shared" si="3"/>
        <v>=&gt;</v>
      </c>
      <c r="D41" s="663" t="s">
        <v>472</v>
      </c>
      <c r="E41" s="690"/>
      <c r="F41" s="691"/>
      <c r="G41" s="691"/>
      <c r="H41" s="691"/>
      <c r="I41" s="691"/>
      <c r="J41" s="691"/>
      <c r="K41" s="691"/>
      <c r="L41" s="691"/>
      <c r="M41" s="691"/>
      <c r="N41" s="691"/>
      <c r="O41" s="691"/>
      <c r="P41" s="691"/>
      <c r="Q41" s="691"/>
      <c r="R41" s="691"/>
      <c r="S41" s="691"/>
      <c r="T41" s="691"/>
      <c r="U41" s="691"/>
      <c r="V41" s="691"/>
      <c r="W41" s="691"/>
      <c r="X41" s="691"/>
      <c r="Y41" s="691"/>
      <c r="Z41" s="691"/>
      <c r="AA41" s="691"/>
    </row>
    <row r="42">
      <c r="A42" s="687">
        <f t="shared" si="1"/>
        <v>42</v>
      </c>
      <c r="B42" s="733" t="s">
        <v>1104</v>
      </c>
      <c r="C42" s="687" t="str">
        <f t="shared" si="3"/>
        <v>=&gt;</v>
      </c>
      <c r="D42" s="694" t="s">
        <v>1168</v>
      </c>
      <c r="E42" s="690"/>
      <c r="F42" s="691"/>
      <c r="G42" s="691"/>
      <c r="H42" s="691"/>
      <c r="I42" s="691"/>
      <c r="J42" s="691"/>
      <c r="K42" s="691"/>
      <c r="L42" s="691"/>
      <c r="M42" s="691"/>
      <c r="N42" s="691"/>
      <c r="O42" s="691"/>
      <c r="P42" s="691"/>
      <c r="Q42" s="691"/>
      <c r="R42" s="691"/>
      <c r="S42" s="691"/>
      <c r="T42" s="691"/>
      <c r="U42" s="691"/>
      <c r="V42" s="691"/>
      <c r="W42" s="691"/>
      <c r="X42" s="691"/>
      <c r="Y42" s="691"/>
      <c r="Z42" s="691"/>
      <c r="AA42" s="691"/>
    </row>
    <row r="43">
      <c r="A43" s="687">
        <f t="shared" si="1"/>
        <v>43</v>
      </c>
      <c r="B43" s="734" t="s">
        <v>848</v>
      </c>
      <c r="C43" s="687" t="str">
        <f t="shared" si="3"/>
        <v>=&gt;</v>
      </c>
      <c r="D43" s="663" t="s">
        <v>1172</v>
      </c>
      <c r="E43" s="690"/>
      <c r="F43" s="691"/>
      <c r="G43" s="691"/>
      <c r="H43" s="691"/>
      <c r="I43" s="691"/>
      <c r="J43" s="691"/>
      <c r="K43" s="691"/>
      <c r="L43" s="691"/>
      <c r="M43" s="691"/>
      <c r="N43" s="691"/>
      <c r="O43" s="691"/>
      <c r="P43" s="691"/>
      <c r="Q43" s="691"/>
      <c r="R43" s="691"/>
      <c r="S43" s="691"/>
      <c r="T43" s="691"/>
      <c r="U43" s="691"/>
      <c r="V43" s="691"/>
      <c r="W43" s="691"/>
      <c r="X43" s="691"/>
      <c r="Y43" s="691"/>
      <c r="Z43" s="691"/>
      <c r="AA43" s="691"/>
    </row>
    <row r="44">
      <c r="A44" s="687">
        <f t="shared" si="1"/>
        <v>44</v>
      </c>
      <c r="B44" s="735" t="s">
        <v>1000</v>
      </c>
      <c r="C44" s="687" t="str">
        <f t="shared" si="3"/>
        <v>=&gt;</v>
      </c>
      <c r="D44" s="694" t="s">
        <v>1167</v>
      </c>
      <c r="E44" s="690"/>
      <c r="F44" s="691"/>
      <c r="G44" s="691"/>
      <c r="H44" s="691"/>
      <c r="I44" s="691"/>
      <c r="J44" s="691"/>
      <c r="K44" s="691"/>
      <c r="L44" s="691"/>
      <c r="M44" s="691"/>
      <c r="N44" s="691"/>
      <c r="O44" s="691"/>
      <c r="P44" s="691"/>
      <c r="Q44" s="691"/>
      <c r="R44" s="691"/>
      <c r="S44" s="691"/>
      <c r="T44" s="691"/>
      <c r="U44" s="691"/>
      <c r="V44" s="691"/>
      <c r="W44" s="691"/>
      <c r="X44" s="691"/>
      <c r="Y44" s="691"/>
      <c r="Z44" s="691"/>
      <c r="AA44" s="691"/>
    </row>
    <row r="45">
      <c r="A45" s="687">
        <f t="shared" si="1"/>
        <v>45</v>
      </c>
      <c r="B45" s="736" t="s">
        <v>1002</v>
      </c>
      <c r="C45" s="687" t="str">
        <f t="shared" si="3"/>
        <v>=&gt;</v>
      </c>
      <c r="D45" s="694" t="s">
        <v>1173</v>
      </c>
      <c r="E45" s="690"/>
      <c r="F45" s="691"/>
      <c r="G45" s="691"/>
      <c r="H45" s="691"/>
      <c r="I45" s="691"/>
      <c r="J45" s="691"/>
      <c r="K45" s="691"/>
      <c r="L45" s="691"/>
      <c r="M45" s="691"/>
      <c r="N45" s="691"/>
      <c r="O45" s="691"/>
      <c r="P45" s="691"/>
      <c r="Q45" s="691"/>
      <c r="R45" s="691"/>
      <c r="S45" s="691"/>
      <c r="T45" s="691"/>
      <c r="U45" s="691"/>
      <c r="V45" s="691"/>
      <c r="W45" s="691"/>
      <c r="X45" s="691"/>
      <c r="Y45" s="691"/>
      <c r="Z45" s="691"/>
      <c r="AA45" s="691"/>
    </row>
    <row r="46">
      <c r="A46" s="687">
        <f t="shared" si="1"/>
        <v>46</v>
      </c>
      <c r="B46" s="737" t="s">
        <v>1080</v>
      </c>
      <c r="C46" s="687" t="str">
        <f t="shared" si="3"/>
        <v>=&gt;</v>
      </c>
      <c r="D46" s="663" t="s">
        <v>453</v>
      </c>
      <c r="E46" s="690"/>
      <c r="F46" s="691"/>
      <c r="G46" s="691"/>
      <c r="H46" s="691"/>
      <c r="I46" s="691"/>
      <c r="J46" s="691"/>
      <c r="K46" s="691"/>
      <c r="L46" s="691"/>
      <c r="M46" s="691"/>
      <c r="N46" s="691"/>
      <c r="O46" s="691"/>
      <c r="P46" s="691"/>
      <c r="Q46" s="691"/>
      <c r="R46" s="691"/>
      <c r="S46" s="691"/>
      <c r="T46" s="691"/>
      <c r="U46" s="691"/>
      <c r="V46" s="691"/>
      <c r="W46" s="691"/>
      <c r="X46" s="691"/>
      <c r="Y46" s="691"/>
      <c r="Z46" s="691"/>
      <c r="AA46" s="691"/>
    </row>
    <row r="47">
      <c r="A47" s="687">
        <f t="shared" si="1"/>
        <v>47</v>
      </c>
      <c r="B47" s="738" t="s">
        <v>1004</v>
      </c>
      <c r="C47" s="687" t="str">
        <f t="shared" si="3"/>
        <v>=&gt;</v>
      </c>
      <c r="D47" s="663" t="s">
        <v>453</v>
      </c>
      <c r="E47" s="690"/>
      <c r="F47" s="691"/>
      <c r="G47" s="691"/>
      <c r="H47" s="691"/>
      <c r="I47" s="691"/>
      <c r="J47" s="691"/>
      <c r="K47" s="691"/>
      <c r="L47" s="691"/>
      <c r="M47" s="691"/>
      <c r="N47" s="691"/>
      <c r="O47" s="691"/>
      <c r="P47" s="691"/>
      <c r="Q47" s="691"/>
      <c r="R47" s="691"/>
      <c r="S47" s="691"/>
      <c r="T47" s="691"/>
      <c r="U47" s="691"/>
      <c r="V47" s="691"/>
      <c r="W47" s="691"/>
      <c r="X47" s="691"/>
      <c r="Y47" s="691"/>
      <c r="Z47" s="691"/>
      <c r="AA47" s="691"/>
    </row>
    <row r="48">
      <c r="A48" s="687">
        <f t="shared" si="1"/>
        <v>48</v>
      </c>
      <c r="B48" s="739" t="s">
        <v>1105</v>
      </c>
      <c r="C48" s="687" t="str">
        <f t="shared" si="3"/>
        <v>=&gt;</v>
      </c>
      <c r="D48" s="663" t="s">
        <v>1146</v>
      </c>
      <c r="E48" s="690"/>
      <c r="F48" s="691"/>
      <c r="G48" s="691"/>
      <c r="H48" s="691"/>
      <c r="I48" s="691"/>
      <c r="J48" s="691"/>
      <c r="K48" s="691"/>
      <c r="L48" s="691"/>
      <c r="M48" s="691"/>
      <c r="N48" s="691"/>
      <c r="O48" s="691"/>
      <c r="P48" s="691"/>
      <c r="Q48" s="691"/>
      <c r="R48" s="691"/>
      <c r="S48" s="691"/>
      <c r="T48" s="691"/>
      <c r="U48" s="691"/>
      <c r="V48" s="691"/>
      <c r="W48" s="691"/>
      <c r="X48" s="691"/>
      <c r="Y48" s="691"/>
      <c r="Z48" s="691"/>
      <c r="AA48" s="691"/>
    </row>
    <row r="49">
      <c r="A49" s="687">
        <f t="shared" si="1"/>
        <v>49</v>
      </c>
      <c r="B49" s="740" t="s">
        <v>1006</v>
      </c>
      <c r="C49" s="687" t="str">
        <f t="shared" si="3"/>
        <v>=&gt;</v>
      </c>
      <c r="D49" s="663" t="s">
        <v>1147</v>
      </c>
      <c r="E49" s="690"/>
      <c r="F49" s="691"/>
      <c r="G49" s="691"/>
      <c r="H49" s="691"/>
      <c r="I49" s="691"/>
      <c r="J49" s="691"/>
      <c r="K49" s="691"/>
      <c r="L49" s="691"/>
      <c r="M49" s="691"/>
      <c r="N49" s="691"/>
      <c r="O49" s="691"/>
      <c r="P49" s="691"/>
      <c r="Q49" s="691"/>
      <c r="R49" s="691"/>
      <c r="S49" s="691"/>
      <c r="T49" s="691"/>
      <c r="U49" s="691"/>
      <c r="V49" s="691"/>
      <c r="W49" s="691"/>
      <c r="X49" s="691"/>
      <c r="Y49" s="691"/>
      <c r="Z49" s="691"/>
      <c r="AA49" s="691"/>
    </row>
    <row r="50">
      <c r="A50" s="687">
        <f t="shared" si="1"/>
        <v>50</v>
      </c>
      <c r="B50" s="741" t="s">
        <v>1106</v>
      </c>
      <c r="C50" s="687" t="str">
        <f t="shared" si="3"/>
        <v>=&gt;</v>
      </c>
      <c r="D50" s="694" t="s">
        <v>1174</v>
      </c>
      <c r="E50" s="690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91"/>
    </row>
    <row r="51">
      <c r="A51" s="687">
        <f t="shared" si="1"/>
        <v>51</v>
      </c>
      <c r="B51" s="742" t="s">
        <v>1100</v>
      </c>
      <c r="C51" s="687" t="str">
        <f t="shared" si="3"/>
        <v>=&gt;</v>
      </c>
      <c r="D51" s="663" t="s">
        <v>472</v>
      </c>
      <c r="E51" s="690"/>
      <c r="F51" s="691"/>
      <c r="G51" s="691"/>
      <c r="H51" s="691"/>
      <c r="I51" s="691"/>
      <c r="J51" s="691"/>
      <c r="K51" s="691"/>
      <c r="L51" s="691"/>
      <c r="M51" s="691"/>
      <c r="N51" s="691"/>
      <c r="O51" s="691"/>
      <c r="P51" s="691"/>
      <c r="Q51" s="691"/>
      <c r="R51" s="691"/>
      <c r="S51" s="691"/>
      <c r="T51" s="691"/>
      <c r="U51" s="691"/>
      <c r="V51" s="691"/>
      <c r="W51" s="691"/>
      <c r="X51" s="691"/>
      <c r="Y51" s="691"/>
      <c r="Z51" s="691"/>
      <c r="AA51" s="691"/>
    </row>
    <row r="52">
      <c r="A52" s="687">
        <f t="shared" si="1"/>
        <v>52</v>
      </c>
      <c r="B52" s="743" t="s">
        <v>929</v>
      </c>
      <c r="C52" s="687" t="str">
        <f t="shared" si="3"/>
        <v>=&gt;</v>
      </c>
      <c r="D52" s="694" t="s">
        <v>1175</v>
      </c>
      <c r="E52" s="690"/>
      <c r="F52" s="691"/>
      <c r="G52" s="691"/>
      <c r="H52" s="691"/>
      <c r="I52" s="691"/>
      <c r="J52" s="691"/>
      <c r="K52" s="691"/>
      <c r="L52" s="691"/>
      <c r="M52" s="691"/>
      <c r="N52" s="691"/>
      <c r="O52" s="691"/>
      <c r="P52" s="691"/>
      <c r="Q52" s="691"/>
      <c r="R52" s="691"/>
      <c r="S52" s="691"/>
      <c r="T52" s="691"/>
      <c r="U52" s="691"/>
      <c r="V52" s="691"/>
      <c r="W52" s="691"/>
      <c r="X52" s="691"/>
      <c r="Y52" s="691"/>
      <c r="Z52" s="691"/>
      <c r="AA52" s="691"/>
    </row>
    <row r="53">
      <c r="A53" s="687">
        <f t="shared" si="1"/>
        <v>53</v>
      </c>
      <c r="B53" s="744" t="s">
        <v>1096</v>
      </c>
      <c r="C53" s="687" t="s">
        <v>199</v>
      </c>
      <c r="D53" s="694" t="s">
        <v>1176</v>
      </c>
      <c r="E53" s="690"/>
      <c r="F53" s="691"/>
      <c r="G53" s="691"/>
      <c r="H53" s="691"/>
      <c r="I53" s="691"/>
      <c r="J53" s="691"/>
      <c r="K53" s="691"/>
      <c r="L53" s="691"/>
      <c r="M53" s="691"/>
      <c r="N53" s="691"/>
      <c r="O53" s="691"/>
      <c r="P53" s="691"/>
      <c r="Q53" s="691"/>
      <c r="R53" s="691"/>
      <c r="S53" s="691"/>
      <c r="T53" s="691"/>
      <c r="U53" s="691"/>
      <c r="V53" s="691"/>
      <c r="W53" s="691"/>
      <c r="X53" s="691"/>
      <c r="Y53" s="691"/>
      <c r="Z53" s="691"/>
      <c r="AA53" s="691"/>
    </row>
    <row r="54">
      <c r="A54" s="687">
        <f t="shared" si="1"/>
        <v>54</v>
      </c>
      <c r="B54" s="745" t="s">
        <v>1107</v>
      </c>
      <c r="C54" s="687" t="s">
        <v>199</v>
      </c>
      <c r="D54" s="663" t="s">
        <v>453</v>
      </c>
      <c r="E54" s="690"/>
      <c r="F54" s="691"/>
      <c r="G54" s="691"/>
      <c r="H54" s="691"/>
      <c r="I54" s="691"/>
      <c r="J54" s="691"/>
      <c r="K54" s="691"/>
      <c r="L54" s="691"/>
      <c r="M54" s="691"/>
      <c r="N54" s="691"/>
      <c r="O54" s="691"/>
      <c r="P54" s="691"/>
      <c r="Q54" s="691"/>
      <c r="R54" s="691"/>
      <c r="S54" s="691"/>
      <c r="T54" s="691"/>
      <c r="U54" s="691"/>
      <c r="V54" s="691"/>
      <c r="W54" s="691"/>
      <c r="X54" s="691"/>
      <c r="Y54" s="691"/>
      <c r="Z54" s="691"/>
      <c r="AA54" s="691"/>
    </row>
    <row r="55">
      <c r="A55" s="687">
        <f t="shared" si="1"/>
        <v>55</v>
      </c>
      <c r="B55" s="746" t="s">
        <v>837</v>
      </c>
      <c r="C55" s="687" t="str">
        <f t="shared" ref="C55:C56" si="4">"=&gt;"</f>
        <v>=&gt;</v>
      </c>
      <c r="D55" s="663" t="s">
        <v>1177</v>
      </c>
      <c r="E55" s="690"/>
      <c r="F55" s="691"/>
      <c r="G55" s="691"/>
      <c r="H55" s="691"/>
      <c r="I55" s="691"/>
      <c r="J55" s="691"/>
      <c r="K55" s="691"/>
      <c r="L55" s="691"/>
      <c r="M55" s="691"/>
      <c r="N55" s="691"/>
      <c r="O55" s="691"/>
      <c r="P55" s="691"/>
      <c r="Q55" s="691"/>
      <c r="R55" s="691"/>
      <c r="S55" s="691"/>
      <c r="T55" s="691"/>
      <c r="U55" s="691"/>
      <c r="V55" s="691"/>
      <c r="W55" s="691"/>
      <c r="X55" s="691"/>
      <c r="Y55" s="691"/>
      <c r="Z55" s="691"/>
      <c r="AA55" s="691"/>
    </row>
    <row r="56">
      <c r="A56" s="687">
        <f t="shared" si="1"/>
        <v>56</v>
      </c>
      <c r="B56" s="747" t="s">
        <v>1108</v>
      </c>
      <c r="C56" s="687" t="str">
        <f t="shared" si="4"/>
        <v>=&gt;</v>
      </c>
      <c r="D56" s="694" t="s">
        <v>1178</v>
      </c>
      <c r="E56" s="690"/>
      <c r="F56" s="691"/>
      <c r="G56" s="691"/>
      <c r="H56" s="691"/>
      <c r="I56" s="691"/>
      <c r="J56" s="691"/>
      <c r="K56" s="691"/>
      <c r="L56" s="691"/>
      <c r="M56" s="691"/>
      <c r="N56" s="691"/>
      <c r="O56" s="691"/>
      <c r="P56" s="691"/>
      <c r="Q56" s="691"/>
      <c r="R56" s="691"/>
      <c r="S56" s="691"/>
      <c r="T56" s="691"/>
      <c r="U56" s="691"/>
      <c r="V56" s="691"/>
      <c r="W56" s="691"/>
      <c r="X56" s="691"/>
      <c r="Y56" s="691"/>
      <c r="Z56" s="691"/>
      <c r="AA56" s="691"/>
    </row>
    <row r="57">
      <c r="A57" s="687">
        <f t="shared" si="1"/>
        <v>57</v>
      </c>
      <c r="B57" s="748" t="s">
        <v>1109</v>
      </c>
      <c r="C57" s="687" t="s">
        <v>199</v>
      </c>
      <c r="D57" s="663" t="s">
        <v>514</v>
      </c>
      <c r="E57" s="690"/>
      <c r="F57" s="691"/>
      <c r="G57" s="691"/>
      <c r="H57" s="691"/>
      <c r="I57" s="691"/>
      <c r="J57" s="691"/>
      <c r="K57" s="691"/>
      <c r="L57" s="691"/>
      <c r="M57" s="691"/>
      <c r="N57" s="691"/>
      <c r="O57" s="691"/>
      <c r="P57" s="691"/>
      <c r="Q57" s="691"/>
      <c r="R57" s="691"/>
      <c r="S57" s="691"/>
      <c r="T57" s="691"/>
      <c r="U57" s="691"/>
      <c r="V57" s="691"/>
      <c r="W57" s="691"/>
      <c r="X57" s="691"/>
      <c r="Y57" s="691"/>
      <c r="Z57" s="691"/>
      <c r="AA57" s="691"/>
    </row>
    <row r="58">
      <c r="A58" s="687">
        <f t="shared" si="1"/>
        <v>58</v>
      </c>
      <c r="B58" s="749" t="s">
        <v>1010</v>
      </c>
      <c r="C58" s="687" t="s">
        <v>199</v>
      </c>
      <c r="D58" s="694" t="s">
        <v>1179</v>
      </c>
      <c r="E58" s="690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91"/>
    </row>
    <row r="59">
      <c r="A59" s="687">
        <f t="shared" si="1"/>
        <v>59</v>
      </c>
      <c r="B59" s="750" t="s">
        <v>1110</v>
      </c>
      <c r="C59" s="687" t="s">
        <v>199</v>
      </c>
      <c r="D59" s="663" t="s">
        <v>1145</v>
      </c>
      <c r="E59" s="690"/>
      <c r="F59" s="691"/>
      <c r="G59" s="691"/>
      <c r="H59" s="691"/>
      <c r="I59" s="691"/>
      <c r="J59" s="691"/>
      <c r="K59" s="691"/>
      <c r="L59" s="691"/>
      <c r="M59" s="691"/>
      <c r="N59" s="691"/>
      <c r="O59" s="691"/>
      <c r="P59" s="691"/>
      <c r="Q59" s="691"/>
      <c r="R59" s="691"/>
      <c r="S59" s="691"/>
      <c r="T59" s="691"/>
      <c r="U59" s="691"/>
      <c r="V59" s="691"/>
      <c r="W59" s="691"/>
      <c r="X59" s="691"/>
      <c r="Y59" s="691"/>
      <c r="Z59" s="691"/>
      <c r="AA59" s="691"/>
    </row>
    <row r="60">
      <c r="A60" s="687">
        <v>136.0</v>
      </c>
      <c r="B60" s="751" t="s">
        <v>1111</v>
      </c>
      <c r="C60" s="687" t="s">
        <v>199</v>
      </c>
      <c r="D60" s="694" t="s">
        <v>1167</v>
      </c>
      <c r="E60" s="690"/>
      <c r="F60" s="691"/>
      <c r="G60" s="691"/>
      <c r="H60" s="691"/>
      <c r="I60" s="691"/>
      <c r="J60" s="691"/>
      <c r="K60" s="691"/>
      <c r="L60" s="691"/>
      <c r="M60" s="691"/>
      <c r="N60" s="691"/>
      <c r="O60" s="691"/>
      <c r="P60" s="691"/>
      <c r="Q60" s="691"/>
      <c r="R60" s="691"/>
      <c r="S60" s="691"/>
      <c r="T60" s="691"/>
      <c r="U60" s="691"/>
      <c r="V60" s="691"/>
      <c r="W60" s="691"/>
      <c r="X60" s="691"/>
      <c r="Y60" s="691"/>
      <c r="Z60" s="691"/>
      <c r="AA60" s="691"/>
    </row>
    <row r="61">
      <c r="A61" s="687">
        <f t="shared" ref="A61:A85" si="5">ROW()</f>
        <v>61</v>
      </c>
      <c r="B61" s="752" t="s">
        <v>1112</v>
      </c>
      <c r="C61" s="687" t="s">
        <v>199</v>
      </c>
      <c r="D61" s="663" t="s">
        <v>453</v>
      </c>
      <c r="E61" s="690"/>
      <c r="F61" s="691"/>
      <c r="G61" s="691"/>
      <c r="H61" s="691"/>
      <c r="I61" s="691"/>
      <c r="J61" s="691"/>
      <c r="K61" s="691"/>
      <c r="L61" s="691"/>
      <c r="M61" s="691"/>
      <c r="N61" s="691"/>
      <c r="O61" s="691"/>
      <c r="P61" s="691"/>
      <c r="Q61" s="691"/>
      <c r="R61" s="691"/>
      <c r="S61" s="691"/>
      <c r="T61" s="691"/>
      <c r="U61" s="691"/>
      <c r="V61" s="691"/>
      <c r="W61" s="691"/>
      <c r="X61" s="691"/>
      <c r="Y61" s="691"/>
      <c r="Z61" s="691"/>
      <c r="AA61" s="691"/>
    </row>
    <row r="62">
      <c r="A62" s="687">
        <f t="shared" si="5"/>
        <v>62</v>
      </c>
      <c r="B62" s="753" t="s">
        <v>1011</v>
      </c>
      <c r="C62" s="687" t="str">
        <f t="shared" ref="C62:C85" si="6">"=&gt;"</f>
        <v>=&gt;</v>
      </c>
      <c r="D62" s="663" t="s">
        <v>1147</v>
      </c>
      <c r="E62" s="690"/>
      <c r="F62" s="691"/>
      <c r="G62" s="691"/>
      <c r="H62" s="691"/>
      <c r="I62" s="691"/>
      <c r="J62" s="691"/>
      <c r="K62" s="691"/>
      <c r="L62" s="691"/>
      <c r="M62" s="691"/>
      <c r="N62" s="691"/>
      <c r="O62" s="691"/>
      <c r="P62" s="691"/>
      <c r="Q62" s="691"/>
      <c r="R62" s="691"/>
      <c r="S62" s="691"/>
      <c r="T62" s="691"/>
      <c r="U62" s="691"/>
      <c r="V62" s="691"/>
      <c r="W62" s="691"/>
      <c r="X62" s="691"/>
      <c r="Y62" s="691"/>
      <c r="Z62" s="691"/>
      <c r="AA62" s="691"/>
    </row>
    <row r="63">
      <c r="A63" s="687">
        <f t="shared" si="5"/>
        <v>63</v>
      </c>
      <c r="B63" s="754" t="s">
        <v>1012</v>
      </c>
      <c r="C63" s="687" t="str">
        <f t="shared" si="6"/>
        <v>=&gt;</v>
      </c>
      <c r="D63" s="694" t="s">
        <v>1178</v>
      </c>
      <c r="E63" s="690"/>
      <c r="F63" s="691"/>
      <c r="G63" s="691"/>
      <c r="H63" s="691"/>
      <c r="I63" s="691"/>
      <c r="J63" s="691"/>
      <c r="K63" s="691"/>
      <c r="L63" s="691"/>
      <c r="M63" s="691"/>
      <c r="N63" s="691"/>
      <c r="O63" s="691"/>
      <c r="P63" s="691"/>
      <c r="Q63" s="691"/>
      <c r="R63" s="691"/>
      <c r="S63" s="691"/>
      <c r="T63" s="691"/>
      <c r="U63" s="691"/>
      <c r="V63" s="691"/>
      <c r="W63" s="691"/>
      <c r="X63" s="691"/>
      <c r="Y63" s="691"/>
      <c r="Z63" s="691"/>
      <c r="AA63" s="691"/>
    </row>
    <row r="64">
      <c r="A64" s="687">
        <f t="shared" si="5"/>
        <v>64</v>
      </c>
      <c r="B64" s="755" t="s">
        <v>1013</v>
      </c>
      <c r="C64" s="687" t="str">
        <f t="shared" si="6"/>
        <v>=&gt;</v>
      </c>
      <c r="D64" s="663" t="s">
        <v>1180</v>
      </c>
      <c r="E64" s="690"/>
      <c r="F64" s="691"/>
      <c r="G64" s="691"/>
      <c r="H64" s="691"/>
      <c r="I64" s="691"/>
      <c r="J64" s="691"/>
      <c r="K64" s="691"/>
      <c r="L64" s="691"/>
      <c r="M64" s="691"/>
      <c r="N64" s="691"/>
      <c r="O64" s="691"/>
      <c r="P64" s="691"/>
      <c r="Q64" s="691"/>
      <c r="R64" s="691"/>
      <c r="S64" s="691"/>
      <c r="T64" s="691"/>
      <c r="U64" s="691"/>
      <c r="V64" s="691"/>
      <c r="W64" s="691"/>
      <c r="X64" s="691"/>
      <c r="Y64" s="691"/>
      <c r="Z64" s="691"/>
      <c r="AA64" s="691"/>
    </row>
    <row r="65">
      <c r="A65" s="687">
        <f t="shared" si="5"/>
        <v>65</v>
      </c>
      <c r="B65" s="756" t="s">
        <v>1024</v>
      </c>
      <c r="C65" s="687" t="str">
        <f t="shared" si="6"/>
        <v>=&gt;</v>
      </c>
      <c r="D65" s="663" t="s">
        <v>453</v>
      </c>
      <c r="E65" s="690"/>
      <c r="F65" s="691"/>
      <c r="G65" s="691"/>
      <c r="H65" s="691"/>
      <c r="I65" s="691"/>
      <c r="J65" s="691"/>
      <c r="K65" s="691"/>
      <c r="L65" s="691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W65" s="691"/>
      <c r="X65" s="691"/>
      <c r="Y65" s="691"/>
      <c r="Z65" s="691"/>
      <c r="AA65" s="691"/>
    </row>
    <row r="66">
      <c r="A66" s="687">
        <f t="shared" si="5"/>
        <v>66</v>
      </c>
      <c r="B66" s="757" t="s">
        <v>1016</v>
      </c>
      <c r="C66" s="687" t="str">
        <f t="shared" si="6"/>
        <v>=&gt;</v>
      </c>
      <c r="D66" s="663" t="s">
        <v>606</v>
      </c>
      <c r="E66" s="690"/>
      <c r="F66" s="691"/>
      <c r="G66" s="691"/>
      <c r="H66" s="691"/>
      <c r="I66" s="691"/>
      <c r="J66" s="691"/>
      <c r="K66" s="691"/>
      <c r="L66" s="691"/>
      <c r="M66" s="691"/>
      <c r="N66" s="691"/>
      <c r="O66" s="691"/>
      <c r="P66" s="691"/>
      <c r="Q66" s="691"/>
      <c r="R66" s="691"/>
      <c r="S66" s="691"/>
      <c r="T66" s="691"/>
      <c r="U66" s="691"/>
      <c r="V66" s="691"/>
      <c r="W66" s="691"/>
      <c r="X66" s="691"/>
      <c r="Y66" s="691"/>
      <c r="Z66" s="691"/>
      <c r="AA66" s="691"/>
    </row>
    <row r="67">
      <c r="A67" s="687">
        <f t="shared" si="5"/>
        <v>67</v>
      </c>
      <c r="B67" s="758" t="s">
        <v>1113</v>
      </c>
      <c r="C67" s="687" t="str">
        <f t="shared" si="6"/>
        <v>=&gt;</v>
      </c>
      <c r="D67" s="694" t="s">
        <v>1163</v>
      </c>
      <c r="E67" s="690"/>
      <c r="F67" s="691"/>
      <c r="G67" s="691"/>
      <c r="H67" s="691"/>
      <c r="I67" s="691"/>
      <c r="J67" s="691"/>
      <c r="K67" s="691"/>
      <c r="L67" s="691"/>
      <c r="M67" s="691"/>
      <c r="N67" s="691"/>
      <c r="O67" s="691"/>
      <c r="P67" s="691"/>
      <c r="Q67" s="691"/>
      <c r="R67" s="691"/>
      <c r="S67" s="691"/>
      <c r="T67" s="691"/>
      <c r="U67" s="691"/>
      <c r="V67" s="691"/>
      <c r="W67" s="691"/>
      <c r="X67" s="691"/>
      <c r="Y67" s="691"/>
      <c r="Z67" s="691"/>
      <c r="AA67" s="691"/>
    </row>
    <row r="68">
      <c r="A68" s="687">
        <f t="shared" si="5"/>
        <v>68</v>
      </c>
      <c r="B68" s="759" t="s">
        <v>1020</v>
      </c>
      <c r="C68" s="687" t="str">
        <f t="shared" si="6"/>
        <v>=&gt;</v>
      </c>
      <c r="D68" s="663" t="s">
        <v>1181</v>
      </c>
      <c r="E68" s="690"/>
      <c r="F68" s="691"/>
      <c r="G68" s="691"/>
      <c r="H68" s="691"/>
      <c r="I68" s="691"/>
      <c r="J68" s="691"/>
      <c r="K68" s="691"/>
      <c r="L68" s="691"/>
      <c r="M68" s="691"/>
      <c r="N68" s="691"/>
      <c r="O68" s="691"/>
      <c r="P68" s="691"/>
      <c r="Q68" s="691"/>
      <c r="R68" s="691"/>
      <c r="S68" s="691"/>
      <c r="T68" s="691"/>
      <c r="U68" s="691"/>
      <c r="V68" s="691"/>
      <c r="W68" s="691"/>
      <c r="X68" s="691"/>
      <c r="Y68" s="691"/>
      <c r="Z68" s="691"/>
      <c r="AA68" s="691"/>
    </row>
    <row r="69">
      <c r="A69" s="687">
        <f t="shared" si="5"/>
        <v>69</v>
      </c>
      <c r="B69" s="760" t="s">
        <v>1021</v>
      </c>
      <c r="C69" s="687" t="str">
        <f t="shared" si="6"/>
        <v>=&gt;</v>
      </c>
      <c r="D69" s="663" t="s">
        <v>1182</v>
      </c>
      <c r="E69" s="690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91"/>
    </row>
    <row r="70">
      <c r="A70" s="687">
        <f t="shared" si="5"/>
        <v>70</v>
      </c>
      <c r="B70" s="761" t="s">
        <v>1062</v>
      </c>
      <c r="C70" s="687" t="str">
        <f t="shared" si="6"/>
        <v>=&gt;</v>
      </c>
      <c r="D70" s="663" t="s">
        <v>1183</v>
      </c>
      <c r="E70" s="690"/>
      <c r="F70" s="691"/>
      <c r="G70" s="691"/>
      <c r="H70" s="691"/>
      <c r="I70" s="691"/>
      <c r="J70" s="691"/>
      <c r="K70" s="691"/>
      <c r="L70" s="691"/>
      <c r="M70" s="691"/>
      <c r="N70" s="691"/>
      <c r="O70" s="691"/>
      <c r="P70" s="691"/>
      <c r="Q70" s="691"/>
      <c r="R70" s="691"/>
      <c r="S70" s="691"/>
      <c r="T70" s="691"/>
      <c r="U70" s="691"/>
      <c r="V70" s="691"/>
      <c r="W70" s="691"/>
      <c r="X70" s="691"/>
      <c r="Y70" s="691"/>
      <c r="Z70" s="691"/>
      <c r="AA70" s="691"/>
    </row>
    <row r="71">
      <c r="A71" s="687">
        <f t="shared" si="5"/>
        <v>71</v>
      </c>
      <c r="B71" s="762" t="s">
        <v>1071</v>
      </c>
      <c r="C71" s="687" t="str">
        <f t="shared" si="6"/>
        <v>=&gt;</v>
      </c>
      <c r="D71" s="663" t="s">
        <v>1184</v>
      </c>
      <c r="E71" s="690"/>
      <c r="F71" s="691"/>
      <c r="G71" s="691"/>
      <c r="H71" s="691"/>
      <c r="I71" s="691"/>
      <c r="J71" s="691"/>
      <c r="K71" s="691"/>
      <c r="L71" s="691"/>
      <c r="M71" s="691"/>
      <c r="N71" s="691"/>
      <c r="O71" s="691"/>
      <c r="P71" s="691"/>
      <c r="Q71" s="691"/>
      <c r="R71" s="691"/>
      <c r="S71" s="691"/>
      <c r="T71" s="691"/>
      <c r="U71" s="691"/>
      <c r="V71" s="691"/>
      <c r="W71" s="691"/>
      <c r="X71" s="691"/>
      <c r="Y71" s="691"/>
      <c r="Z71" s="691"/>
      <c r="AA71" s="691"/>
    </row>
    <row r="72">
      <c r="A72" s="687">
        <f t="shared" si="5"/>
        <v>72</v>
      </c>
      <c r="B72" s="763" t="s">
        <v>1043</v>
      </c>
      <c r="C72" s="687" t="str">
        <f t="shared" si="6"/>
        <v>=&gt;</v>
      </c>
      <c r="D72" s="663" t="s">
        <v>1185</v>
      </c>
      <c r="E72" s="690"/>
      <c r="F72" s="691"/>
      <c r="G72" s="691"/>
      <c r="H72" s="691"/>
      <c r="I72" s="691"/>
      <c r="J72" s="691"/>
      <c r="K72" s="691"/>
      <c r="L72" s="691"/>
      <c r="M72" s="691"/>
      <c r="N72" s="691"/>
      <c r="O72" s="691"/>
      <c r="P72" s="691"/>
      <c r="Q72" s="691"/>
      <c r="R72" s="691"/>
      <c r="S72" s="691"/>
      <c r="T72" s="691"/>
      <c r="U72" s="691"/>
      <c r="V72" s="691"/>
      <c r="W72" s="691"/>
      <c r="X72" s="691"/>
      <c r="Y72" s="691"/>
      <c r="Z72" s="691"/>
      <c r="AA72" s="691"/>
    </row>
    <row r="73">
      <c r="A73" s="687">
        <f t="shared" si="5"/>
        <v>73</v>
      </c>
      <c r="B73" s="764" t="s">
        <v>1022</v>
      </c>
      <c r="C73" s="687" t="str">
        <f t="shared" si="6"/>
        <v>=&gt;</v>
      </c>
      <c r="D73" s="663" t="s">
        <v>1186</v>
      </c>
      <c r="E73" s="690"/>
      <c r="F73" s="691"/>
      <c r="G73" s="691"/>
      <c r="H73" s="691"/>
      <c r="I73" s="691"/>
      <c r="J73" s="691"/>
      <c r="K73" s="691"/>
      <c r="L73" s="691"/>
      <c r="M73" s="691"/>
      <c r="N73" s="691"/>
      <c r="O73" s="691"/>
      <c r="P73" s="691"/>
      <c r="Q73" s="691"/>
      <c r="R73" s="691"/>
      <c r="S73" s="691"/>
      <c r="T73" s="691"/>
      <c r="U73" s="691"/>
      <c r="V73" s="691"/>
      <c r="W73" s="691"/>
      <c r="X73" s="691"/>
      <c r="Y73" s="691"/>
      <c r="Z73" s="691"/>
      <c r="AA73" s="691"/>
    </row>
    <row r="74">
      <c r="A74" s="687">
        <f t="shared" si="5"/>
        <v>74</v>
      </c>
      <c r="B74" s="765" t="s">
        <v>1027</v>
      </c>
      <c r="C74" s="687" t="str">
        <f t="shared" si="6"/>
        <v>=&gt;</v>
      </c>
      <c r="D74" s="663" t="s">
        <v>1187</v>
      </c>
      <c r="E74" s="690"/>
      <c r="F74" s="691"/>
      <c r="G74" s="691"/>
      <c r="H74" s="691"/>
      <c r="I74" s="691"/>
      <c r="J74" s="691"/>
      <c r="K74" s="691"/>
      <c r="L74" s="691"/>
      <c r="M74" s="691"/>
      <c r="N74" s="691"/>
      <c r="O74" s="691"/>
      <c r="P74" s="691"/>
      <c r="Q74" s="691"/>
      <c r="R74" s="691"/>
      <c r="S74" s="691"/>
      <c r="T74" s="691"/>
      <c r="U74" s="691"/>
      <c r="V74" s="691"/>
      <c r="W74" s="691"/>
      <c r="X74" s="691"/>
      <c r="Y74" s="691"/>
      <c r="Z74" s="691"/>
      <c r="AA74" s="691"/>
    </row>
    <row r="75">
      <c r="A75" s="687">
        <f t="shared" si="5"/>
        <v>75</v>
      </c>
      <c r="B75" s="766" t="s">
        <v>1114</v>
      </c>
      <c r="C75" s="687" t="str">
        <f t="shared" si="6"/>
        <v>=&gt;</v>
      </c>
      <c r="D75" s="663" t="s">
        <v>514</v>
      </c>
      <c r="E75" s="690"/>
      <c r="F75" s="691"/>
      <c r="G75" s="691"/>
      <c r="H75" s="691"/>
      <c r="I75" s="691"/>
      <c r="J75" s="691"/>
      <c r="K75" s="691"/>
      <c r="L75" s="691"/>
      <c r="M75" s="691"/>
      <c r="N75" s="691"/>
      <c r="O75" s="691"/>
      <c r="P75" s="691"/>
      <c r="Q75" s="691"/>
      <c r="R75" s="691"/>
      <c r="S75" s="691"/>
      <c r="T75" s="691"/>
      <c r="U75" s="691"/>
      <c r="V75" s="691"/>
      <c r="W75" s="691"/>
      <c r="X75" s="691"/>
      <c r="Y75" s="691"/>
      <c r="Z75" s="691"/>
      <c r="AA75" s="691"/>
    </row>
    <row r="76">
      <c r="A76" s="687">
        <f t="shared" si="5"/>
        <v>76</v>
      </c>
      <c r="B76" s="767" t="s">
        <v>1030</v>
      </c>
      <c r="C76" s="687" t="str">
        <f t="shared" si="6"/>
        <v>=&gt;</v>
      </c>
      <c r="D76" s="663" t="s">
        <v>1188</v>
      </c>
      <c r="E76" s="690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91"/>
    </row>
    <row r="77">
      <c r="A77" s="687">
        <f t="shared" si="5"/>
        <v>77</v>
      </c>
      <c r="B77" s="768" t="s">
        <v>1031</v>
      </c>
      <c r="C77" s="687" t="str">
        <f t="shared" si="6"/>
        <v>=&gt;</v>
      </c>
      <c r="D77" s="663" t="s">
        <v>1189</v>
      </c>
      <c r="E77" s="690"/>
      <c r="F77" s="691"/>
      <c r="G77" s="691"/>
      <c r="H77" s="691"/>
      <c r="I77" s="691"/>
      <c r="J77" s="691"/>
      <c r="K77" s="691"/>
      <c r="L77" s="691"/>
      <c r="M77" s="691"/>
      <c r="N77" s="691"/>
      <c r="O77" s="691"/>
      <c r="P77" s="691"/>
      <c r="Q77" s="691"/>
      <c r="R77" s="691"/>
      <c r="S77" s="691"/>
      <c r="T77" s="691"/>
      <c r="U77" s="691"/>
      <c r="V77" s="691"/>
      <c r="W77" s="691"/>
      <c r="X77" s="691"/>
      <c r="Y77" s="691"/>
      <c r="Z77" s="691"/>
      <c r="AA77" s="691"/>
    </row>
    <row r="78">
      <c r="A78" s="687">
        <f t="shared" si="5"/>
        <v>78</v>
      </c>
      <c r="B78" s="769" t="s">
        <v>1028</v>
      </c>
      <c r="C78" s="687" t="str">
        <f t="shared" si="6"/>
        <v>=&gt;</v>
      </c>
      <c r="D78" s="663" t="s">
        <v>1190</v>
      </c>
      <c r="E78" s="690"/>
      <c r="F78" s="691"/>
      <c r="G78" s="691"/>
      <c r="H78" s="691"/>
      <c r="I78" s="691"/>
      <c r="J78" s="691"/>
      <c r="K78" s="691"/>
      <c r="L78" s="691"/>
      <c r="M78" s="691"/>
      <c r="N78" s="691"/>
      <c r="O78" s="691"/>
      <c r="P78" s="691"/>
      <c r="Q78" s="691"/>
      <c r="R78" s="691"/>
      <c r="S78" s="691"/>
      <c r="T78" s="691"/>
      <c r="U78" s="691"/>
      <c r="V78" s="691"/>
      <c r="W78" s="691"/>
      <c r="X78" s="691"/>
      <c r="Y78" s="691"/>
      <c r="Z78" s="691"/>
      <c r="AA78" s="691"/>
    </row>
    <row r="79">
      <c r="A79" s="687">
        <f t="shared" si="5"/>
        <v>79</v>
      </c>
      <c r="B79" s="770" t="s">
        <v>1035</v>
      </c>
      <c r="C79" s="687" t="str">
        <f t="shared" si="6"/>
        <v>=&gt;</v>
      </c>
      <c r="D79" s="663" t="s">
        <v>514</v>
      </c>
      <c r="E79" s="690"/>
      <c r="F79" s="691"/>
      <c r="G79" s="691"/>
      <c r="H79" s="691"/>
      <c r="I79" s="691"/>
      <c r="J79" s="691"/>
      <c r="K79" s="691"/>
      <c r="L79" s="691"/>
      <c r="M79" s="691"/>
      <c r="N79" s="691"/>
      <c r="O79" s="691"/>
      <c r="P79" s="691"/>
      <c r="Q79" s="691"/>
      <c r="R79" s="691"/>
      <c r="S79" s="691"/>
      <c r="T79" s="691"/>
      <c r="U79" s="691"/>
      <c r="V79" s="691"/>
      <c r="W79" s="691"/>
      <c r="X79" s="691"/>
      <c r="Y79" s="691"/>
      <c r="Z79" s="691"/>
      <c r="AA79" s="691"/>
    </row>
    <row r="80">
      <c r="A80" s="687">
        <f t="shared" si="5"/>
        <v>80</v>
      </c>
      <c r="B80" s="771" t="s">
        <v>1036</v>
      </c>
      <c r="C80" s="687" t="str">
        <f t="shared" si="6"/>
        <v>=&gt;</v>
      </c>
      <c r="D80" s="663" t="s">
        <v>1191</v>
      </c>
      <c r="E80" s="690"/>
      <c r="F80" s="691"/>
      <c r="G80" s="691"/>
      <c r="H80" s="691"/>
      <c r="I80" s="691"/>
      <c r="J80" s="691"/>
      <c r="K80" s="691"/>
      <c r="L80" s="691"/>
      <c r="M80" s="691"/>
      <c r="N80" s="691"/>
      <c r="O80" s="691"/>
      <c r="P80" s="691"/>
      <c r="Q80" s="691"/>
      <c r="R80" s="691"/>
      <c r="S80" s="691"/>
      <c r="T80" s="691"/>
      <c r="U80" s="691"/>
      <c r="V80" s="691"/>
      <c r="W80" s="691"/>
      <c r="X80" s="691"/>
      <c r="Y80" s="691"/>
      <c r="Z80" s="691"/>
      <c r="AA80" s="691"/>
    </row>
    <row r="81">
      <c r="A81" s="687">
        <f t="shared" si="5"/>
        <v>81</v>
      </c>
      <c r="B81" s="772" t="s">
        <v>1037</v>
      </c>
      <c r="C81" s="687" t="str">
        <f t="shared" si="6"/>
        <v>=&gt;</v>
      </c>
      <c r="D81" s="663" t="s">
        <v>1192</v>
      </c>
      <c r="E81" s="690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91"/>
    </row>
    <row r="82">
      <c r="A82" s="687">
        <f t="shared" si="5"/>
        <v>82</v>
      </c>
      <c r="B82" s="773" t="s">
        <v>1049</v>
      </c>
      <c r="C82" s="687" t="str">
        <f t="shared" si="6"/>
        <v>=&gt;</v>
      </c>
      <c r="D82" s="663" t="s">
        <v>1193</v>
      </c>
      <c r="E82" s="690"/>
      <c r="F82" s="691"/>
      <c r="G82" s="691"/>
      <c r="H82" s="691"/>
      <c r="I82" s="691"/>
      <c r="J82" s="691"/>
      <c r="K82" s="691"/>
      <c r="L82" s="691"/>
      <c r="M82" s="691"/>
      <c r="N82" s="691"/>
      <c r="O82" s="691"/>
      <c r="P82" s="691"/>
      <c r="Q82" s="691"/>
      <c r="R82" s="691"/>
      <c r="S82" s="691"/>
      <c r="T82" s="691"/>
      <c r="U82" s="691"/>
      <c r="V82" s="691"/>
      <c r="W82" s="691"/>
      <c r="X82" s="691"/>
      <c r="Y82" s="691"/>
      <c r="Z82" s="691"/>
      <c r="AA82" s="691"/>
    </row>
    <row r="83">
      <c r="A83" s="687">
        <f t="shared" si="5"/>
        <v>83</v>
      </c>
      <c r="B83" s="774" t="s">
        <v>1050</v>
      </c>
      <c r="C83" s="687" t="str">
        <f t="shared" si="6"/>
        <v>=&gt;</v>
      </c>
      <c r="D83" s="663" t="s">
        <v>1194</v>
      </c>
      <c r="E83" s="690"/>
      <c r="F83" s="691"/>
      <c r="G83" s="691"/>
      <c r="H83" s="691"/>
      <c r="I83" s="691"/>
      <c r="J83" s="691"/>
      <c r="K83" s="691"/>
      <c r="L83" s="691"/>
      <c r="M83" s="691"/>
      <c r="N83" s="691"/>
      <c r="O83" s="691"/>
      <c r="P83" s="691"/>
      <c r="Q83" s="691"/>
      <c r="R83" s="691"/>
      <c r="S83" s="691"/>
      <c r="T83" s="691"/>
      <c r="U83" s="691"/>
      <c r="V83" s="691"/>
      <c r="W83" s="691"/>
      <c r="X83" s="691"/>
      <c r="Y83" s="691"/>
      <c r="Z83" s="691"/>
      <c r="AA83" s="691"/>
    </row>
    <row r="84">
      <c r="A84" s="687">
        <f t="shared" si="5"/>
        <v>84</v>
      </c>
      <c r="B84" s="775" t="s">
        <v>1051</v>
      </c>
      <c r="C84" s="687" t="str">
        <f t="shared" si="6"/>
        <v>=&gt;</v>
      </c>
      <c r="D84" s="663" t="s">
        <v>1195</v>
      </c>
      <c r="E84" s="690"/>
      <c r="F84" s="691"/>
      <c r="G84" s="691"/>
      <c r="H84" s="691"/>
      <c r="I84" s="691"/>
      <c r="J84" s="691"/>
      <c r="K84" s="691"/>
      <c r="L84" s="691"/>
      <c r="M84" s="691"/>
      <c r="N84" s="691"/>
      <c r="O84" s="691"/>
      <c r="P84" s="691"/>
      <c r="Q84" s="691"/>
      <c r="R84" s="691"/>
      <c r="S84" s="691"/>
      <c r="T84" s="691"/>
      <c r="U84" s="691"/>
      <c r="V84" s="691"/>
      <c r="W84" s="691"/>
      <c r="X84" s="691"/>
      <c r="Y84" s="691"/>
      <c r="Z84" s="691"/>
      <c r="AA84" s="691"/>
    </row>
    <row r="85">
      <c r="A85" s="687">
        <f t="shared" si="5"/>
        <v>85</v>
      </c>
      <c r="B85" s="776" t="s">
        <v>1077</v>
      </c>
      <c r="C85" s="687" t="str">
        <f t="shared" si="6"/>
        <v>=&gt;</v>
      </c>
      <c r="D85" s="663" t="s">
        <v>1196</v>
      </c>
      <c r="E85" s="690"/>
      <c r="F85" s="691"/>
      <c r="G85" s="691"/>
      <c r="H85" s="691"/>
      <c r="I85" s="691"/>
      <c r="J85" s="691"/>
      <c r="K85" s="691"/>
      <c r="L85" s="691"/>
      <c r="M85" s="691"/>
      <c r="N85" s="691"/>
      <c r="O85" s="691"/>
      <c r="P85" s="691"/>
      <c r="Q85" s="691"/>
      <c r="R85" s="691"/>
      <c r="S85" s="691"/>
      <c r="T85" s="691"/>
      <c r="U85" s="691"/>
      <c r="V85" s="691"/>
      <c r="W85" s="691"/>
      <c r="X85" s="691"/>
      <c r="Y85" s="691"/>
      <c r="Z85" s="691"/>
      <c r="AA85" s="691"/>
    </row>
    <row r="86">
      <c r="A86" s="687"/>
      <c r="B86" s="777"/>
      <c r="C86" s="15"/>
      <c r="D86" s="777"/>
      <c r="E86" s="690"/>
      <c r="F86" s="691"/>
      <c r="G86" s="691"/>
      <c r="H86" s="691"/>
      <c r="I86" s="691"/>
      <c r="J86" s="691"/>
      <c r="K86" s="691"/>
      <c r="L86" s="691"/>
      <c r="M86" s="691"/>
      <c r="N86" s="691"/>
      <c r="O86" s="691"/>
      <c r="P86" s="691"/>
      <c r="Q86" s="691"/>
      <c r="R86" s="691"/>
      <c r="S86" s="691"/>
      <c r="T86" s="691"/>
      <c r="U86" s="691"/>
      <c r="V86" s="691"/>
      <c r="W86" s="691"/>
      <c r="X86" s="691"/>
      <c r="Y86" s="691"/>
      <c r="Z86" s="691"/>
      <c r="AA86" s="691"/>
    </row>
    <row r="87">
      <c r="A87" s="778" t="s">
        <v>120</v>
      </c>
      <c r="B87" s="779" t="s">
        <v>0</v>
      </c>
      <c r="C87" s="15" t="str">
        <f>"=&gt;"</f>
        <v>=&gt;</v>
      </c>
      <c r="D87" s="780" t="s">
        <v>1197</v>
      </c>
      <c r="E87" s="690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91"/>
    </row>
    <row r="88">
      <c r="A88" s="687"/>
      <c r="B88" s="779"/>
      <c r="C88" s="15"/>
      <c r="D88" s="663" t="s">
        <v>1143</v>
      </c>
      <c r="E88" s="690"/>
      <c r="F88" s="691"/>
      <c r="G88" s="691"/>
      <c r="H88" s="691"/>
      <c r="I88" s="691"/>
      <c r="J88" s="691"/>
      <c r="K88" s="691"/>
      <c r="L88" s="691"/>
      <c r="M88" s="691"/>
      <c r="N88" s="691"/>
      <c r="O88" s="691"/>
      <c r="P88" s="691"/>
      <c r="Q88" s="691"/>
      <c r="R88" s="691"/>
      <c r="S88" s="691"/>
      <c r="T88" s="691"/>
      <c r="U88" s="691"/>
      <c r="V88" s="691"/>
      <c r="W88" s="691"/>
      <c r="X88" s="691"/>
      <c r="Y88" s="691"/>
      <c r="Z88" s="691"/>
      <c r="AA88" s="691"/>
    </row>
    <row r="89">
      <c r="A89" s="687"/>
      <c r="B89" s="779"/>
      <c r="C89" s="15"/>
      <c r="D89" s="781" t="s">
        <v>1198</v>
      </c>
      <c r="E89" s="690"/>
      <c r="F89" s="691"/>
      <c r="G89" s="691"/>
      <c r="H89" s="691"/>
      <c r="I89" s="691"/>
      <c r="J89" s="691"/>
      <c r="K89" s="691"/>
      <c r="L89" s="691"/>
      <c r="M89" s="691"/>
      <c r="N89" s="691"/>
      <c r="O89" s="691"/>
      <c r="P89" s="691"/>
      <c r="Q89" s="691"/>
      <c r="R89" s="691"/>
      <c r="S89" s="691"/>
      <c r="T89" s="691"/>
      <c r="U89" s="691"/>
      <c r="V89" s="691"/>
      <c r="W89" s="691"/>
      <c r="X89" s="691"/>
      <c r="Y89" s="691"/>
      <c r="Z89" s="691"/>
      <c r="AA89" s="691"/>
    </row>
    <row r="90">
      <c r="A90" s="687"/>
      <c r="B90" s="779"/>
      <c r="C90" s="15"/>
      <c r="D90" s="781" t="s">
        <v>1199</v>
      </c>
      <c r="E90" s="690"/>
      <c r="F90" s="691"/>
      <c r="G90" s="691"/>
      <c r="H90" s="691"/>
      <c r="I90" s="691"/>
      <c r="J90" s="691"/>
      <c r="K90" s="691"/>
      <c r="L90" s="691"/>
      <c r="M90" s="691"/>
      <c r="N90" s="691"/>
      <c r="O90" s="691"/>
      <c r="P90" s="691"/>
      <c r="Q90" s="691"/>
      <c r="R90" s="691"/>
      <c r="S90" s="691"/>
      <c r="T90" s="691"/>
      <c r="U90" s="691"/>
      <c r="V90" s="691"/>
      <c r="W90" s="691"/>
      <c r="X90" s="691"/>
      <c r="Y90" s="691"/>
      <c r="Z90" s="691"/>
      <c r="AA90" s="691"/>
    </row>
    <row r="91">
      <c r="A91" s="687"/>
      <c r="B91" s="779"/>
      <c r="C91" s="15"/>
      <c r="D91" s="781" t="s">
        <v>1200</v>
      </c>
      <c r="E91" s="690"/>
      <c r="F91" s="691"/>
      <c r="G91" s="691"/>
      <c r="H91" s="691"/>
      <c r="I91" s="691"/>
      <c r="J91" s="691"/>
      <c r="K91" s="691"/>
      <c r="L91" s="691"/>
      <c r="M91" s="691"/>
      <c r="N91" s="691"/>
      <c r="O91" s="691"/>
      <c r="P91" s="691"/>
      <c r="Q91" s="691"/>
      <c r="R91" s="691"/>
      <c r="S91" s="691"/>
      <c r="T91" s="691"/>
      <c r="U91" s="691"/>
      <c r="V91" s="691"/>
      <c r="W91" s="691"/>
      <c r="X91" s="691"/>
      <c r="Y91" s="691"/>
      <c r="Z91" s="691"/>
      <c r="AA91" s="691"/>
    </row>
    <row r="92">
      <c r="A92" s="687"/>
      <c r="B92" s="782" t="s">
        <v>1201</v>
      </c>
      <c r="C92" s="15"/>
      <c r="D92" s="781" t="s">
        <v>1202</v>
      </c>
      <c r="E92" s="690"/>
      <c r="F92" s="691"/>
      <c r="G92" s="691"/>
      <c r="H92" s="691"/>
      <c r="I92" s="691"/>
      <c r="J92" s="691"/>
      <c r="K92" s="691"/>
      <c r="L92" s="691"/>
      <c r="M92" s="691"/>
      <c r="N92" s="691"/>
      <c r="O92" s="691"/>
      <c r="P92" s="691"/>
      <c r="Q92" s="691"/>
      <c r="R92" s="691"/>
      <c r="S92" s="691"/>
      <c r="T92" s="691"/>
      <c r="U92" s="691"/>
      <c r="V92" s="691"/>
      <c r="W92" s="691"/>
      <c r="X92" s="691"/>
      <c r="Y92" s="691"/>
      <c r="Z92" s="691"/>
      <c r="AA92" s="691"/>
    </row>
    <row r="93">
      <c r="A93" s="687"/>
      <c r="B93" s="779"/>
      <c r="C93" s="15"/>
      <c r="D93" s="689" t="s">
        <v>1142</v>
      </c>
      <c r="E93" s="690"/>
      <c r="F93" s="691"/>
      <c r="G93" s="691"/>
      <c r="H93" s="691"/>
      <c r="I93" s="691"/>
      <c r="J93" s="691"/>
      <c r="K93" s="691"/>
      <c r="L93" s="691"/>
      <c r="M93" s="691"/>
      <c r="N93" s="691"/>
      <c r="O93" s="691"/>
      <c r="P93" s="691"/>
      <c r="Q93" s="691"/>
      <c r="R93" s="691"/>
      <c r="S93" s="691"/>
      <c r="T93" s="691"/>
      <c r="U93" s="691"/>
      <c r="V93" s="691"/>
      <c r="W93" s="691"/>
      <c r="X93" s="691"/>
      <c r="Y93" s="691"/>
      <c r="Z93" s="691"/>
      <c r="AA93" s="691"/>
    </row>
    <row r="94">
      <c r="A94" s="687"/>
      <c r="B94" s="777"/>
      <c r="C94" s="15"/>
      <c r="D94" s="777"/>
      <c r="E94" s="690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91"/>
    </row>
    <row r="95">
      <c r="A95" s="778" t="s">
        <v>120</v>
      </c>
      <c r="B95" s="783" t="s">
        <v>836</v>
      </c>
      <c r="C95" s="15" t="str">
        <f>"=&gt;"</f>
        <v>=&gt;</v>
      </c>
      <c r="D95" s="663" t="s">
        <v>1203</v>
      </c>
      <c r="E95" s="690"/>
      <c r="F95" s="691"/>
      <c r="G95" s="691"/>
      <c r="H95" s="691"/>
      <c r="I95" s="691"/>
      <c r="J95" s="691"/>
      <c r="K95" s="691"/>
      <c r="L95" s="691"/>
      <c r="M95" s="691"/>
      <c r="N95" s="691"/>
      <c r="O95" s="691"/>
      <c r="P95" s="691"/>
      <c r="Q95" s="691"/>
      <c r="R95" s="691"/>
      <c r="S95" s="691"/>
      <c r="T95" s="691"/>
      <c r="U95" s="691"/>
      <c r="V95" s="691"/>
      <c r="W95" s="691"/>
      <c r="X95" s="691"/>
      <c r="Y95" s="691"/>
      <c r="Z95" s="691"/>
      <c r="AA95" s="691"/>
    </row>
    <row r="96">
      <c r="A96" s="687"/>
      <c r="B96" s="783"/>
      <c r="C96" s="15"/>
      <c r="D96" s="663" t="s">
        <v>1204</v>
      </c>
      <c r="E96" s="690"/>
      <c r="F96" s="691"/>
      <c r="G96" s="691"/>
      <c r="H96" s="691"/>
      <c r="I96" s="691"/>
      <c r="J96" s="691"/>
      <c r="K96" s="691"/>
      <c r="L96" s="691"/>
      <c r="M96" s="691"/>
      <c r="N96" s="691"/>
      <c r="O96" s="691"/>
      <c r="P96" s="691"/>
      <c r="Q96" s="691"/>
      <c r="R96" s="691"/>
      <c r="S96" s="691"/>
      <c r="T96" s="691"/>
      <c r="U96" s="691"/>
      <c r="V96" s="691"/>
      <c r="W96" s="691"/>
      <c r="X96" s="691"/>
      <c r="Y96" s="691"/>
      <c r="Z96" s="691"/>
      <c r="AA96" s="691"/>
    </row>
    <row r="97">
      <c r="A97" s="687"/>
      <c r="B97" s="783"/>
      <c r="C97" s="15"/>
      <c r="D97" s="663" t="s">
        <v>1205</v>
      </c>
      <c r="E97" s="690"/>
      <c r="F97" s="691"/>
      <c r="G97" s="691"/>
      <c r="H97" s="691"/>
      <c r="I97" s="691"/>
      <c r="J97" s="691"/>
      <c r="K97" s="691"/>
      <c r="L97" s="691"/>
      <c r="M97" s="691"/>
      <c r="N97" s="691"/>
      <c r="O97" s="691"/>
      <c r="P97" s="691"/>
      <c r="Q97" s="691"/>
      <c r="R97" s="691"/>
      <c r="S97" s="691"/>
      <c r="T97" s="691"/>
      <c r="U97" s="691"/>
      <c r="V97" s="691"/>
      <c r="W97" s="691"/>
      <c r="X97" s="691"/>
      <c r="Y97" s="691"/>
      <c r="Z97" s="691"/>
      <c r="AA97" s="691"/>
    </row>
    <row r="98">
      <c r="A98" s="687"/>
      <c r="B98" s="784" t="s">
        <v>1201</v>
      </c>
      <c r="C98" s="15"/>
      <c r="D98" s="663" t="s">
        <v>1206</v>
      </c>
      <c r="E98" s="690"/>
      <c r="F98" s="691"/>
      <c r="G98" s="691"/>
      <c r="H98" s="691"/>
      <c r="I98" s="691"/>
      <c r="J98" s="691"/>
      <c r="K98" s="691"/>
      <c r="L98" s="691"/>
      <c r="M98" s="691"/>
      <c r="N98" s="691"/>
      <c r="O98" s="691"/>
      <c r="P98" s="691"/>
      <c r="Q98" s="691"/>
      <c r="R98" s="691"/>
      <c r="S98" s="691"/>
      <c r="T98" s="691"/>
      <c r="U98" s="691"/>
      <c r="V98" s="691"/>
      <c r="W98" s="691"/>
      <c r="X98" s="691"/>
      <c r="Y98" s="691"/>
      <c r="Z98" s="691"/>
      <c r="AA98" s="691"/>
    </row>
    <row r="99">
      <c r="A99" s="687"/>
      <c r="B99" s="783"/>
      <c r="C99" s="15"/>
      <c r="D99" s="663" t="s">
        <v>1207</v>
      </c>
      <c r="E99" s="690"/>
      <c r="F99" s="691"/>
      <c r="G99" s="691"/>
      <c r="H99" s="691"/>
      <c r="I99" s="691"/>
      <c r="J99" s="691"/>
      <c r="K99" s="691"/>
      <c r="L99" s="691"/>
      <c r="M99" s="691"/>
      <c r="N99" s="691"/>
      <c r="O99" s="691"/>
      <c r="P99" s="691"/>
      <c r="Q99" s="691"/>
      <c r="R99" s="691"/>
      <c r="S99" s="691"/>
      <c r="T99" s="691"/>
      <c r="U99" s="691"/>
      <c r="V99" s="691"/>
      <c r="W99" s="691"/>
      <c r="X99" s="691"/>
      <c r="Y99" s="691"/>
      <c r="Z99" s="691"/>
      <c r="AA99" s="691"/>
    </row>
    <row r="100">
      <c r="A100" s="687"/>
      <c r="B100" s="783"/>
      <c r="C100" s="15"/>
      <c r="D100" s="663" t="s">
        <v>1208</v>
      </c>
      <c r="E100" s="690"/>
      <c r="F100" s="691"/>
      <c r="G100" s="691"/>
      <c r="H100" s="691"/>
      <c r="I100" s="691"/>
      <c r="J100" s="691"/>
      <c r="K100" s="691"/>
      <c r="L100" s="691"/>
      <c r="M100" s="691"/>
      <c r="N100" s="691"/>
      <c r="O100" s="691"/>
      <c r="P100" s="691"/>
      <c r="Q100" s="691"/>
      <c r="R100" s="691"/>
      <c r="S100" s="691"/>
      <c r="T100" s="691"/>
      <c r="U100" s="691"/>
      <c r="V100" s="691"/>
      <c r="W100" s="691"/>
      <c r="X100" s="691"/>
      <c r="Y100" s="691"/>
      <c r="Z100" s="691"/>
      <c r="AA100" s="691"/>
    </row>
    <row r="101">
      <c r="A101" s="687"/>
      <c r="B101" s="783"/>
      <c r="C101" s="15"/>
      <c r="D101" s="663" t="s">
        <v>1209</v>
      </c>
      <c r="E101" s="690"/>
      <c r="F101" s="691"/>
      <c r="G101" s="691"/>
      <c r="H101" s="691"/>
      <c r="I101" s="691"/>
      <c r="J101" s="691"/>
      <c r="K101" s="691"/>
      <c r="L101" s="691"/>
      <c r="M101" s="691"/>
      <c r="N101" s="691"/>
      <c r="O101" s="691"/>
      <c r="P101" s="691"/>
      <c r="Q101" s="691"/>
      <c r="R101" s="691"/>
      <c r="S101" s="691"/>
      <c r="T101" s="691"/>
      <c r="U101" s="691"/>
      <c r="V101" s="691"/>
      <c r="W101" s="691"/>
      <c r="X101" s="691"/>
      <c r="Y101" s="691"/>
      <c r="Z101" s="691"/>
      <c r="AA101" s="691"/>
    </row>
    <row r="102">
      <c r="A102" s="687"/>
      <c r="B102" s="784" t="s">
        <v>1201</v>
      </c>
      <c r="C102" s="15"/>
      <c r="D102" s="663" t="s">
        <v>1210</v>
      </c>
      <c r="E102" s="690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91"/>
    </row>
    <row r="103">
      <c r="A103" s="687"/>
      <c r="B103" s="783"/>
      <c r="C103" s="15"/>
      <c r="D103" s="663" t="s">
        <v>1143</v>
      </c>
      <c r="E103" s="690"/>
      <c r="F103" s="691"/>
      <c r="G103" s="691"/>
      <c r="H103" s="691"/>
      <c r="I103" s="691"/>
      <c r="J103" s="691"/>
      <c r="K103" s="691"/>
      <c r="L103" s="691"/>
      <c r="M103" s="691"/>
      <c r="N103" s="691"/>
      <c r="O103" s="691"/>
      <c r="P103" s="691"/>
      <c r="Q103" s="691"/>
      <c r="R103" s="691"/>
      <c r="S103" s="691"/>
      <c r="T103" s="691"/>
      <c r="U103" s="691"/>
      <c r="V103" s="691"/>
      <c r="W103" s="691"/>
      <c r="X103" s="691"/>
      <c r="Y103" s="691"/>
      <c r="Z103" s="691"/>
      <c r="AA103" s="691"/>
    </row>
    <row r="104">
      <c r="A104" s="687"/>
      <c r="B104" s="777"/>
      <c r="C104" s="15"/>
      <c r="D104" s="777"/>
      <c r="E104" s="690"/>
      <c r="F104" s="691"/>
      <c r="G104" s="691"/>
      <c r="H104" s="691"/>
      <c r="I104" s="691"/>
      <c r="J104" s="691"/>
      <c r="K104" s="691"/>
      <c r="L104" s="691"/>
      <c r="M104" s="691"/>
      <c r="N104" s="691"/>
      <c r="O104" s="691"/>
      <c r="P104" s="691"/>
      <c r="Q104" s="691"/>
      <c r="R104" s="691"/>
      <c r="S104" s="691"/>
      <c r="T104" s="691"/>
      <c r="U104" s="691"/>
      <c r="V104" s="691"/>
      <c r="W104" s="691"/>
      <c r="X104" s="691"/>
      <c r="Y104" s="691"/>
      <c r="Z104" s="691"/>
      <c r="AA104" s="691"/>
    </row>
    <row r="105">
      <c r="A105" s="687"/>
      <c r="B105" s="785" t="s">
        <v>1078</v>
      </c>
      <c r="C105" s="15" t="str">
        <f>"=&gt;"</f>
        <v>=&gt;</v>
      </c>
      <c r="D105" s="777" t="s">
        <v>1211</v>
      </c>
      <c r="E105" s="690"/>
      <c r="F105" s="691"/>
      <c r="G105" s="691"/>
      <c r="H105" s="691"/>
      <c r="I105" s="691"/>
      <c r="J105" s="691"/>
      <c r="K105" s="691"/>
      <c r="L105" s="691"/>
      <c r="M105" s="691"/>
      <c r="N105" s="691"/>
      <c r="O105" s="691"/>
      <c r="P105" s="691"/>
      <c r="Q105" s="691"/>
      <c r="R105" s="691"/>
      <c r="S105" s="691"/>
      <c r="T105" s="691"/>
      <c r="U105" s="691"/>
      <c r="V105" s="691"/>
      <c r="W105" s="691"/>
      <c r="X105" s="691"/>
      <c r="Y105" s="691"/>
      <c r="Z105" s="691"/>
      <c r="AA105" s="691"/>
    </row>
    <row r="106">
      <c r="A106" s="687"/>
      <c r="B106" s="785"/>
      <c r="C106" s="15"/>
      <c r="D106" s="694" t="s">
        <v>1144</v>
      </c>
      <c r="E106" s="690"/>
      <c r="F106" s="691"/>
      <c r="G106" s="691"/>
      <c r="H106" s="691"/>
      <c r="I106" s="691"/>
      <c r="J106" s="691"/>
      <c r="K106" s="691"/>
      <c r="L106" s="691"/>
      <c r="M106" s="691"/>
      <c r="N106" s="691"/>
      <c r="O106" s="691"/>
      <c r="P106" s="691"/>
      <c r="Q106" s="691"/>
      <c r="R106" s="691"/>
      <c r="S106" s="691"/>
      <c r="T106" s="691"/>
      <c r="U106" s="691"/>
      <c r="V106" s="691"/>
      <c r="W106" s="691"/>
      <c r="X106" s="691"/>
      <c r="Y106" s="691"/>
      <c r="Z106" s="691"/>
      <c r="AA106" s="691"/>
    </row>
    <row r="107">
      <c r="A107" s="687"/>
      <c r="B107" s="777"/>
      <c r="C107" s="15"/>
      <c r="D107" s="777"/>
      <c r="E107" s="690"/>
      <c r="F107" s="691"/>
      <c r="G107" s="691"/>
      <c r="H107" s="691"/>
      <c r="I107" s="691"/>
      <c r="J107" s="691"/>
      <c r="K107" s="691"/>
      <c r="L107" s="691"/>
      <c r="M107" s="691"/>
      <c r="N107" s="691"/>
      <c r="O107" s="691"/>
      <c r="P107" s="691"/>
      <c r="Q107" s="691"/>
      <c r="R107" s="691"/>
      <c r="S107" s="691"/>
      <c r="T107" s="691"/>
      <c r="U107" s="691"/>
      <c r="V107" s="691"/>
      <c r="W107" s="691"/>
      <c r="X107" s="691"/>
      <c r="Y107" s="691"/>
      <c r="Z107" s="691"/>
      <c r="AA107" s="691"/>
    </row>
    <row r="108">
      <c r="A108" s="687"/>
      <c r="B108" s="786" t="s">
        <v>1085</v>
      </c>
      <c r="C108" s="15" t="str">
        <f>"=&gt;"</f>
        <v>=&gt;</v>
      </c>
      <c r="D108" s="777" t="s">
        <v>1212</v>
      </c>
      <c r="E108" s="690"/>
      <c r="F108" s="691"/>
      <c r="G108" s="691"/>
      <c r="H108" s="691"/>
      <c r="I108" s="691"/>
      <c r="J108" s="691"/>
      <c r="K108" s="691"/>
      <c r="L108" s="691"/>
      <c r="M108" s="691"/>
      <c r="N108" s="691"/>
      <c r="O108" s="691"/>
      <c r="P108" s="691"/>
      <c r="Q108" s="691"/>
      <c r="R108" s="691"/>
      <c r="S108" s="691"/>
      <c r="T108" s="691"/>
      <c r="U108" s="691"/>
      <c r="V108" s="691"/>
      <c r="W108" s="691"/>
      <c r="X108" s="691"/>
      <c r="Y108" s="691"/>
      <c r="Z108" s="691"/>
      <c r="AA108" s="691"/>
    </row>
    <row r="109">
      <c r="A109" s="687"/>
      <c r="B109" s="786"/>
      <c r="C109" s="15"/>
      <c r="D109" s="694" t="s">
        <v>1213</v>
      </c>
      <c r="E109" s="690"/>
      <c r="F109" s="691"/>
      <c r="G109" s="691"/>
      <c r="H109" s="691"/>
      <c r="I109" s="691"/>
      <c r="J109" s="691"/>
      <c r="K109" s="691"/>
      <c r="L109" s="691"/>
      <c r="M109" s="691"/>
      <c r="N109" s="691"/>
      <c r="O109" s="691"/>
      <c r="P109" s="691"/>
      <c r="Q109" s="691"/>
      <c r="R109" s="691"/>
      <c r="S109" s="691"/>
      <c r="T109" s="691"/>
      <c r="U109" s="691"/>
      <c r="V109" s="691"/>
      <c r="W109" s="691"/>
      <c r="X109" s="691"/>
      <c r="Y109" s="691"/>
      <c r="Z109" s="691"/>
      <c r="AA109" s="691"/>
    </row>
    <row r="110">
      <c r="A110" s="687"/>
      <c r="B110" s="777"/>
      <c r="C110" s="15"/>
      <c r="D110" s="777"/>
      <c r="E110" s="690"/>
      <c r="F110" s="691"/>
      <c r="G110" s="691"/>
      <c r="H110" s="691"/>
      <c r="I110" s="691"/>
      <c r="J110" s="691"/>
      <c r="K110" s="691"/>
      <c r="L110" s="691"/>
      <c r="M110" s="691"/>
      <c r="N110" s="691"/>
      <c r="O110" s="691"/>
      <c r="P110" s="691"/>
      <c r="Q110" s="691"/>
      <c r="R110" s="691"/>
      <c r="S110" s="691"/>
      <c r="T110" s="691"/>
      <c r="U110" s="691"/>
      <c r="V110" s="691"/>
      <c r="W110" s="691"/>
      <c r="X110" s="691"/>
      <c r="Y110" s="691"/>
      <c r="Z110" s="691"/>
      <c r="AA110" s="691"/>
    </row>
    <row r="111">
      <c r="A111" s="687"/>
      <c r="B111" s="787" t="s">
        <v>1086</v>
      </c>
      <c r="C111" s="15" t="s">
        <v>199</v>
      </c>
      <c r="D111" s="777" t="s">
        <v>1214</v>
      </c>
      <c r="E111" s="690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91"/>
    </row>
    <row r="112">
      <c r="A112" s="687"/>
      <c r="B112" s="787"/>
      <c r="C112" s="15"/>
      <c r="D112" s="694" t="s">
        <v>1215</v>
      </c>
      <c r="E112" s="690"/>
      <c r="F112" s="691"/>
      <c r="G112" s="691"/>
      <c r="H112" s="691"/>
      <c r="I112" s="691"/>
      <c r="J112" s="691"/>
      <c r="K112" s="691"/>
      <c r="L112" s="691"/>
      <c r="M112" s="691"/>
      <c r="N112" s="691"/>
      <c r="O112" s="691"/>
      <c r="P112" s="691"/>
      <c r="Q112" s="691"/>
      <c r="R112" s="691"/>
      <c r="S112" s="691"/>
      <c r="T112" s="691"/>
      <c r="U112" s="691"/>
      <c r="V112" s="691"/>
      <c r="W112" s="691"/>
      <c r="X112" s="691"/>
      <c r="Y112" s="691"/>
      <c r="Z112" s="691"/>
      <c r="AA112" s="691"/>
    </row>
    <row r="113">
      <c r="A113" s="687"/>
      <c r="B113" s="777"/>
      <c r="C113" s="15"/>
      <c r="D113" s="777"/>
      <c r="E113" s="690"/>
      <c r="F113" s="691"/>
      <c r="G113" s="691"/>
      <c r="H113" s="691"/>
      <c r="I113" s="691"/>
      <c r="J113" s="691"/>
      <c r="K113" s="691"/>
      <c r="L113" s="691"/>
      <c r="M113" s="691"/>
      <c r="N113" s="691"/>
      <c r="O113" s="691"/>
      <c r="P113" s="691"/>
      <c r="Q113" s="691"/>
      <c r="R113" s="691"/>
      <c r="S113" s="691"/>
      <c r="T113" s="691"/>
      <c r="U113" s="691"/>
      <c r="V113" s="691"/>
      <c r="W113" s="691"/>
      <c r="X113" s="691"/>
      <c r="Y113" s="691"/>
      <c r="Z113" s="691"/>
      <c r="AA113" s="691"/>
    </row>
    <row r="114">
      <c r="A114" s="687"/>
      <c r="B114" s="788" t="s">
        <v>154</v>
      </c>
      <c r="C114" s="15" t="str">
        <f>"=&gt;"</f>
        <v>=&gt;</v>
      </c>
      <c r="D114" s="777" t="s">
        <v>1216</v>
      </c>
      <c r="E114" s="690"/>
      <c r="F114" s="691"/>
      <c r="G114" s="691"/>
      <c r="H114" s="691"/>
      <c r="I114" s="691"/>
      <c r="J114" s="691"/>
      <c r="K114" s="691"/>
      <c r="L114" s="691"/>
      <c r="M114" s="691"/>
      <c r="N114" s="691"/>
      <c r="O114" s="691"/>
      <c r="P114" s="691"/>
      <c r="Q114" s="691"/>
      <c r="R114" s="691"/>
      <c r="S114" s="691"/>
      <c r="T114" s="691"/>
      <c r="U114" s="691"/>
      <c r="V114" s="691"/>
      <c r="W114" s="691"/>
      <c r="X114" s="691"/>
      <c r="Y114" s="691"/>
      <c r="Z114" s="691"/>
      <c r="AA114" s="691"/>
    </row>
    <row r="115">
      <c r="A115" s="687"/>
      <c r="B115" s="788"/>
      <c r="C115" s="15"/>
      <c r="D115" s="694" t="s">
        <v>1217</v>
      </c>
      <c r="E115" s="690"/>
      <c r="F115" s="691"/>
      <c r="G115" s="691"/>
      <c r="H115" s="691"/>
      <c r="I115" s="691"/>
      <c r="J115" s="691"/>
      <c r="K115" s="691"/>
      <c r="L115" s="691"/>
      <c r="M115" s="691"/>
      <c r="N115" s="691"/>
      <c r="O115" s="691"/>
      <c r="P115" s="691"/>
      <c r="Q115" s="691"/>
      <c r="R115" s="691"/>
      <c r="S115" s="691"/>
      <c r="T115" s="691"/>
      <c r="U115" s="691"/>
      <c r="V115" s="691"/>
      <c r="W115" s="691"/>
      <c r="X115" s="691"/>
      <c r="Y115" s="691"/>
      <c r="Z115" s="691"/>
      <c r="AA115" s="691"/>
    </row>
    <row r="116">
      <c r="A116" s="687"/>
      <c r="B116" s="777"/>
      <c r="C116" s="15"/>
      <c r="D116" s="777"/>
      <c r="E116" s="690"/>
      <c r="F116" s="691"/>
      <c r="G116" s="691"/>
      <c r="H116" s="691"/>
      <c r="I116" s="691"/>
      <c r="J116" s="691"/>
      <c r="K116" s="691"/>
      <c r="L116" s="691"/>
      <c r="M116" s="691"/>
      <c r="N116" s="691"/>
      <c r="O116" s="691"/>
      <c r="P116" s="691"/>
      <c r="Q116" s="691"/>
      <c r="R116" s="691"/>
      <c r="S116" s="691"/>
      <c r="T116" s="691"/>
      <c r="U116" s="691"/>
      <c r="V116" s="691"/>
      <c r="W116" s="691"/>
      <c r="X116" s="691"/>
      <c r="Y116" s="691"/>
      <c r="Z116" s="691"/>
      <c r="AA116" s="691"/>
    </row>
    <row r="117">
      <c r="A117" s="687"/>
      <c r="B117" s="789" t="s">
        <v>1087</v>
      </c>
      <c r="C117" s="15" t="str">
        <f>"=&gt;"</f>
        <v>=&gt;</v>
      </c>
      <c r="D117" s="777" t="s">
        <v>1218</v>
      </c>
      <c r="E117" s="690"/>
      <c r="F117" s="691"/>
      <c r="G117" s="691"/>
      <c r="H117" s="691"/>
      <c r="I117" s="691"/>
      <c r="J117" s="691"/>
      <c r="K117" s="691"/>
      <c r="L117" s="691"/>
      <c r="M117" s="691"/>
      <c r="N117" s="691"/>
      <c r="O117" s="691"/>
      <c r="P117" s="691"/>
      <c r="Q117" s="691"/>
      <c r="R117" s="691"/>
      <c r="S117" s="691"/>
      <c r="T117" s="691"/>
      <c r="U117" s="691"/>
      <c r="V117" s="691"/>
      <c r="W117" s="691"/>
      <c r="X117" s="691"/>
      <c r="Y117" s="691"/>
      <c r="Z117" s="691"/>
      <c r="AA117" s="691"/>
    </row>
    <row r="118">
      <c r="A118" s="687"/>
      <c r="B118" s="789"/>
      <c r="C118" s="15"/>
      <c r="D118" s="694" t="s">
        <v>1219</v>
      </c>
      <c r="E118" s="690"/>
      <c r="F118" s="691"/>
      <c r="G118" s="691"/>
      <c r="H118" s="691"/>
      <c r="I118" s="691"/>
      <c r="J118" s="691"/>
      <c r="K118" s="691"/>
      <c r="L118" s="691"/>
      <c r="M118" s="691"/>
      <c r="N118" s="691"/>
      <c r="O118" s="691"/>
      <c r="P118" s="691"/>
      <c r="Q118" s="691"/>
      <c r="R118" s="691"/>
      <c r="S118" s="691"/>
      <c r="T118" s="691"/>
      <c r="U118" s="691"/>
      <c r="V118" s="691"/>
      <c r="W118" s="691"/>
      <c r="X118" s="691"/>
      <c r="Y118" s="691"/>
      <c r="Z118" s="691"/>
      <c r="AA118" s="691"/>
    </row>
    <row r="119">
      <c r="A119" s="687"/>
      <c r="B119" s="777"/>
      <c r="C119" s="15"/>
      <c r="D119" s="777"/>
      <c r="E119" s="690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91"/>
    </row>
    <row r="120">
      <c r="A120" s="687"/>
      <c r="B120" s="790" t="s">
        <v>110</v>
      </c>
      <c r="C120" s="15" t="str">
        <f>"=&gt;"</f>
        <v>=&gt;</v>
      </c>
      <c r="D120" s="777" t="s">
        <v>1220</v>
      </c>
      <c r="E120" s="690"/>
      <c r="F120" s="691"/>
      <c r="G120" s="691"/>
      <c r="H120" s="691"/>
      <c r="I120" s="691"/>
      <c r="J120" s="691"/>
      <c r="K120" s="691"/>
      <c r="L120" s="691"/>
      <c r="M120" s="691"/>
      <c r="N120" s="691"/>
      <c r="O120" s="691"/>
      <c r="P120" s="691"/>
      <c r="Q120" s="691"/>
      <c r="R120" s="691"/>
      <c r="S120" s="691"/>
      <c r="T120" s="691"/>
      <c r="U120" s="691"/>
      <c r="V120" s="691"/>
      <c r="W120" s="691"/>
      <c r="X120" s="691"/>
      <c r="Y120" s="691"/>
      <c r="Z120" s="691"/>
      <c r="AA120" s="691"/>
    </row>
    <row r="121">
      <c r="A121" s="687"/>
      <c r="B121" s="790"/>
      <c r="C121" s="15"/>
      <c r="D121" s="694" t="s">
        <v>1221</v>
      </c>
      <c r="E121" s="690"/>
      <c r="F121" s="691"/>
      <c r="G121" s="691"/>
      <c r="H121" s="691"/>
      <c r="I121" s="691"/>
      <c r="J121" s="691"/>
      <c r="K121" s="691"/>
      <c r="L121" s="691"/>
      <c r="M121" s="691"/>
      <c r="N121" s="691"/>
      <c r="O121" s="691"/>
      <c r="P121" s="691"/>
      <c r="Q121" s="691"/>
      <c r="R121" s="691"/>
      <c r="S121" s="691"/>
      <c r="T121" s="691"/>
      <c r="U121" s="691"/>
      <c r="V121" s="691"/>
      <c r="W121" s="691"/>
      <c r="X121" s="691"/>
      <c r="Y121" s="691"/>
      <c r="Z121" s="691"/>
      <c r="AA121" s="691"/>
    </row>
    <row r="122">
      <c r="A122" s="687"/>
      <c r="B122" s="777"/>
      <c r="C122" s="15"/>
      <c r="D122" s="777"/>
      <c r="E122" s="690"/>
      <c r="F122" s="691"/>
      <c r="G122" s="691"/>
      <c r="H122" s="691"/>
      <c r="I122" s="691"/>
      <c r="J122" s="691"/>
      <c r="K122" s="691"/>
      <c r="L122" s="691"/>
      <c r="M122" s="691"/>
      <c r="N122" s="691"/>
      <c r="O122" s="691"/>
      <c r="P122" s="691"/>
      <c r="Q122" s="691"/>
      <c r="R122" s="691"/>
      <c r="S122" s="691"/>
      <c r="T122" s="691"/>
      <c r="U122" s="691"/>
      <c r="V122" s="691"/>
      <c r="W122" s="691"/>
      <c r="X122" s="691"/>
      <c r="Y122" s="691"/>
      <c r="Z122" s="691"/>
      <c r="AA122" s="691"/>
    </row>
    <row r="123">
      <c r="A123" s="687"/>
      <c r="B123" s="791" t="s">
        <v>1089</v>
      </c>
      <c r="C123" s="15" t="str">
        <f>"=&gt;"</f>
        <v>=&gt;</v>
      </c>
      <c r="D123" s="777" t="s">
        <v>1222</v>
      </c>
      <c r="E123" s="690"/>
      <c r="F123" s="691"/>
      <c r="G123" s="691"/>
      <c r="H123" s="691"/>
      <c r="I123" s="691"/>
      <c r="J123" s="691"/>
      <c r="K123" s="691"/>
      <c r="L123" s="691"/>
      <c r="M123" s="691"/>
      <c r="N123" s="691"/>
      <c r="O123" s="691"/>
      <c r="P123" s="691"/>
      <c r="Q123" s="691"/>
      <c r="R123" s="691"/>
      <c r="S123" s="691"/>
      <c r="T123" s="691"/>
      <c r="U123" s="691"/>
      <c r="V123" s="691"/>
      <c r="W123" s="691"/>
      <c r="X123" s="691"/>
      <c r="Y123" s="691"/>
      <c r="Z123" s="691"/>
      <c r="AA123" s="691"/>
    </row>
    <row r="124">
      <c r="A124" s="687"/>
      <c r="B124" s="791"/>
      <c r="C124" s="15"/>
      <c r="D124" s="694" t="s">
        <v>1223</v>
      </c>
      <c r="E124" s="690"/>
      <c r="F124" s="691"/>
      <c r="G124" s="691"/>
      <c r="H124" s="691"/>
      <c r="I124" s="691"/>
      <c r="J124" s="691"/>
      <c r="K124" s="691"/>
      <c r="L124" s="691"/>
      <c r="M124" s="691"/>
      <c r="N124" s="691"/>
      <c r="O124" s="691"/>
      <c r="P124" s="691"/>
      <c r="Q124" s="691"/>
      <c r="R124" s="691"/>
      <c r="S124" s="691"/>
      <c r="T124" s="691"/>
      <c r="U124" s="691"/>
      <c r="V124" s="691"/>
      <c r="W124" s="691"/>
      <c r="X124" s="691"/>
      <c r="Y124" s="691"/>
      <c r="Z124" s="691"/>
      <c r="AA124" s="691"/>
    </row>
    <row r="125">
      <c r="A125" s="687"/>
      <c r="B125" s="777"/>
      <c r="C125" s="15"/>
      <c r="D125" s="777"/>
      <c r="E125" s="690"/>
      <c r="F125" s="691"/>
      <c r="G125" s="691"/>
      <c r="H125" s="691"/>
      <c r="I125" s="691"/>
      <c r="J125" s="691"/>
      <c r="K125" s="691"/>
      <c r="L125" s="691"/>
      <c r="M125" s="691"/>
      <c r="N125" s="691"/>
      <c r="O125" s="691"/>
      <c r="P125" s="691"/>
      <c r="Q125" s="691"/>
      <c r="R125" s="691"/>
      <c r="S125" s="691"/>
      <c r="T125" s="691"/>
      <c r="U125" s="691"/>
      <c r="V125" s="691"/>
      <c r="W125" s="691"/>
      <c r="X125" s="691"/>
      <c r="Y125" s="691"/>
      <c r="Z125" s="691"/>
      <c r="AA125" s="691"/>
    </row>
    <row r="126">
      <c r="A126" s="687"/>
      <c r="B126" s="792" t="s">
        <v>1091</v>
      </c>
      <c r="C126" s="15" t="str">
        <f>"=&gt;"</f>
        <v>=&gt;</v>
      </c>
      <c r="D126" s="777" t="s">
        <v>1224</v>
      </c>
      <c r="E126" s="690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91"/>
    </row>
    <row r="127">
      <c r="A127" s="687"/>
      <c r="B127" s="792"/>
      <c r="C127" s="15"/>
      <c r="D127" s="694" t="s">
        <v>1225</v>
      </c>
      <c r="E127" s="690"/>
      <c r="F127" s="691"/>
      <c r="G127" s="691"/>
      <c r="H127" s="691"/>
      <c r="I127" s="691"/>
      <c r="J127" s="691"/>
      <c r="K127" s="691"/>
      <c r="L127" s="691"/>
      <c r="M127" s="691"/>
      <c r="N127" s="691"/>
      <c r="O127" s="691"/>
      <c r="P127" s="691"/>
      <c r="Q127" s="691"/>
      <c r="R127" s="691"/>
      <c r="S127" s="691"/>
      <c r="T127" s="691"/>
      <c r="U127" s="691"/>
      <c r="V127" s="691"/>
      <c r="W127" s="691"/>
      <c r="X127" s="691"/>
      <c r="Y127" s="691"/>
      <c r="Z127" s="691"/>
      <c r="AA127" s="691"/>
    </row>
    <row r="128">
      <c r="A128" s="687"/>
      <c r="B128" s="777"/>
      <c r="C128" s="15"/>
      <c r="D128" s="777"/>
      <c r="E128" s="690"/>
      <c r="F128" s="691"/>
      <c r="G128" s="691"/>
      <c r="H128" s="691"/>
      <c r="I128" s="691"/>
      <c r="J128" s="691"/>
      <c r="K128" s="691"/>
      <c r="L128" s="691"/>
      <c r="M128" s="691"/>
      <c r="N128" s="691"/>
      <c r="O128" s="691"/>
      <c r="P128" s="691"/>
      <c r="Q128" s="691"/>
      <c r="R128" s="691"/>
      <c r="S128" s="691"/>
      <c r="T128" s="691"/>
      <c r="U128" s="691"/>
      <c r="V128" s="691"/>
      <c r="W128" s="691"/>
      <c r="X128" s="691"/>
      <c r="Y128" s="691"/>
      <c r="Z128" s="691"/>
      <c r="AA128" s="691"/>
    </row>
    <row r="129">
      <c r="A129" s="687"/>
      <c r="B129" s="793" t="s">
        <v>1093</v>
      </c>
      <c r="C129" s="15" t="str">
        <f>"=&gt;"</f>
        <v>=&gt;</v>
      </c>
      <c r="D129" s="777" t="s">
        <v>1226</v>
      </c>
      <c r="E129" s="690"/>
      <c r="F129" s="691"/>
      <c r="G129" s="691"/>
      <c r="H129" s="691"/>
      <c r="I129" s="691"/>
      <c r="J129" s="691"/>
      <c r="K129" s="691"/>
      <c r="L129" s="691"/>
      <c r="M129" s="691"/>
      <c r="N129" s="691"/>
      <c r="O129" s="691"/>
      <c r="P129" s="691"/>
      <c r="Q129" s="691"/>
      <c r="R129" s="691"/>
      <c r="S129" s="691"/>
      <c r="T129" s="691"/>
      <c r="U129" s="691"/>
      <c r="V129" s="691"/>
      <c r="W129" s="691"/>
      <c r="X129" s="691"/>
      <c r="Y129" s="691"/>
      <c r="Z129" s="691"/>
      <c r="AA129" s="691"/>
    </row>
    <row r="130">
      <c r="A130" s="687"/>
      <c r="B130" s="793"/>
      <c r="C130" s="15"/>
      <c r="D130" s="694" t="s">
        <v>1227</v>
      </c>
      <c r="E130" s="690"/>
      <c r="F130" s="691"/>
      <c r="G130" s="691"/>
      <c r="H130" s="691"/>
      <c r="I130" s="691"/>
      <c r="J130" s="691"/>
      <c r="K130" s="691"/>
      <c r="L130" s="691"/>
      <c r="M130" s="691"/>
      <c r="N130" s="691"/>
      <c r="O130" s="691"/>
      <c r="P130" s="691"/>
      <c r="Q130" s="691"/>
      <c r="R130" s="691"/>
      <c r="S130" s="691"/>
      <c r="T130" s="691"/>
      <c r="U130" s="691"/>
      <c r="V130" s="691"/>
      <c r="W130" s="691"/>
      <c r="X130" s="691"/>
      <c r="Y130" s="691"/>
      <c r="Z130" s="691"/>
      <c r="AA130" s="691"/>
    </row>
    <row r="131">
      <c r="A131" s="687"/>
      <c r="B131" s="777"/>
      <c r="C131" s="15"/>
      <c r="D131" s="777"/>
      <c r="E131" s="690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91"/>
    </row>
    <row r="132">
      <c r="A132" s="778" t="s">
        <v>120</v>
      </c>
      <c r="B132" s="794" t="s">
        <v>1095</v>
      </c>
      <c r="C132" s="15" t="str">
        <f>"=&gt;"</f>
        <v>=&gt;</v>
      </c>
      <c r="D132" s="777" t="s">
        <v>1228</v>
      </c>
      <c r="E132" s="690"/>
      <c r="F132" s="691"/>
      <c r="G132" s="691"/>
      <c r="H132" s="691"/>
      <c r="I132" s="691"/>
      <c r="J132" s="691"/>
      <c r="K132" s="691"/>
      <c r="L132" s="691"/>
      <c r="M132" s="691"/>
      <c r="N132" s="691"/>
      <c r="O132" s="691"/>
      <c r="P132" s="691"/>
      <c r="Q132" s="691"/>
      <c r="R132" s="691"/>
      <c r="S132" s="691"/>
      <c r="T132" s="691"/>
      <c r="U132" s="691"/>
      <c r="V132" s="691"/>
      <c r="W132" s="691"/>
      <c r="X132" s="691"/>
      <c r="Y132" s="691"/>
      <c r="Z132" s="691"/>
      <c r="AA132" s="691"/>
    </row>
    <row r="133">
      <c r="A133" s="687"/>
      <c r="B133" s="795" t="s">
        <v>1201</v>
      </c>
      <c r="C133" s="15"/>
      <c r="D133" s="694" t="s">
        <v>1229</v>
      </c>
      <c r="E133" s="690"/>
      <c r="F133" s="691"/>
      <c r="G133" s="691"/>
      <c r="H133" s="691"/>
      <c r="I133" s="691"/>
      <c r="J133" s="691"/>
      <c r="K133" s="691"/>
      <c r="L133" s="691"/>
      <c r="M133" s="691"/>
      <c r="N133" s="691"/>
      <c r="O133" s="691"/>
      <c r="P133" s="691"/>
      <c r="Q133" s="691"/>
      <c r="R133" s="691"/>
      <c r="S133" s="691"/>
      <c r="T133" s="691"/>
      <c r="U133" s="691"/>
      <c r="V133" s="691"/>
      <c r="W133" s="691"/>
      <c r="X133" s="691"/>
      <c r="Y133" s="691"/>
      <c r="Z133" s="691"/>
      <c r="AA133" s="691"/>
    </row>
    <row r="134">
      <c r="A134" s="687"/>
      <c r="B134" s="794"/>
      <c r="C134" s="15"/>
      <c r="D134" s="694" t="s">
        <v>1230</v>
      </c>
      <c r="E134" s="690"/>
      <c r="F134" s="691"/>
      <c r="G134" s="691"/>
      <c r="H134" s="691"/>
      <c r="I134" s="691"/>
      <c r="J134" s="691"/>
      <c r="K134" s="691"/>
      <c r="L134" s="691"/>
      <c r="M134" s="691"/>
      <c r="N134" s="691"/>
      <c r="O134" s="691"/>
      <c r="P134" s="691"/>
      <c r="Q134" s="691"/>
      <c r="R134" s="691"/>
      <c r="S134" s="691"/>
      <c r="T134" s="691"/>
      <c r="U134" s="691"/>
      <c r="V134" s="691"/>
      <c r="W134" s="691"/>
      <c r="X134" s="691"/>
      <c r="Y134" s="691"/>
      <c r="Z134" s="691"/>
      <c r="AA134" s="691"/>
    </row>
    <row r="135">
      <c r="A135" s="687"/>
      <c r="B135" s="795" t="s">
        <v>1201</v>
      </c>
      <c r="C135" s="15"/>
      <c r="D135" s="694" t="s">
        <v>1231</v>
      </c>
      <c r="E135" s="690"/>
      <c r="F135" s="691"/>
      <c r="G135" s="691"/>
      <c r="H135" s="691"/>
      <c r="I135" s="691"/>
      <c r="J135" s="691"/>
      <c r="K135" s="691"/>
      <c r="L135" s="691"/>
      <c r="M135" s="691"/>
      <c r="N135" s="691"/>
      <c r="O135" s="691"/>
      <c r="P135" s="691"/>
      <c r="Q135" s="691"/>
      <c r="R135" s="691"/>
      <c r="S135" s="691"/>
      <c r="T135" s="691"/>
      <c r="U135" s="691"/>
      <c r="V135" s="691"/>
      <c r="W135" s="691"/>
      <c r="X135" s="691"/>
      <c r="Y135" s="691"/>
      <c r="Z135" s="691"/>
      <c r="AA135" s="691"/>
    </row>
    <row r="136">
      <c r="A136" s="687"/>
      <c r="B136" s="794"/>
      <c r="C136" s="15"/>
      <c r="D136" s="694" t="s">
        <v>1232</v>
      </c>
      <c r="E136" s="690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91"/>
    </row>
    <row r="137">
      <c r="A137" s="687"/>
      <c r="B137" s="795" t="s">
        <v>1201</v>
      </c>
      <c r="C137" s="15"/>
      <c r="D137" s="694" t="s">
        <v>1233</v>
      </c>
      <c r="E137" s="690"/>
      <c r="F137" s="691"/>
      <c r="G137" s="691"/>
      <c r="H137" s="691"/>
      <c r="I137" s="691"/>
      <c r="J137" s="691"/>
      <c r="K137" s="691"/>
      <c r="L137" s="691"/>
      <c r="M137" s="691"/>
      <c r="N137" s="691"/>
      <c r="O137" s="691"/>
      <c r="P137" s="691"/>
      <c r="Q137" s="691"/>
      <c r="R137" s="691"/>
      <c r="S137" s="691"/>
      <c r="T137" s="691"/>
      <c r="U137" s="691"/>
      <c r="V137" s="691"/>
      <c r="W137" s="691"/>
      <c r="X137" s="691"/>
      <c r="Y137" s="691"/>
      <c r="Z137" s="691"/>
      <c r="AA137" s="691"/>
    </row>
    <row r="138">
      <c r="A138" s="687"/>
      <c r="B138" s="794"/>
      <c r="C138" s="15"/>
      <c r="D138" s="694" t="s">
        <v>1162</v>
      </c>
      <c r="E138" s="690"/>
      <c r="F138" s="691"/>
      <c r="G138" s="691"/>
      <c r="H138" s="691"/>
      <c r="I138" s="691"/>
      <c r="J138" s="691"/>
      <c r="K138" s="691"/>
      <c r="L138" s="691"/>
      <c r="M138" s="691"/>
      <c r="N138" s="691"/>
      <c r="O138" s="691"/>
      <c r="P138" s="691"/>
      <c r="Q138" s="691"/>
      <c r="R138" s="691"/>
      <c r="S138" s="691"/>
      <c r="T138" s="691"/>
      <c r="U138" s="691"/>
      <c r="V138" s="691"/>
      <c r="W138" s="691"/>
      <c r="X138" s="691"/>
      <c r="Y138" s="691"/>
      <c r="Z138" s="691"/>
      <c r="AA138" s="691"/>
    </row>
    <row r="139">
      <c r="A139" s="687"/>
      <c r="B139" s="777"/>
      <c r="C139" s="15"/>
      <c r="D139" s="777"/>
      <c r="E139" s="690"/>
      <c r="F139" s="691"/>
      <c r="G139" s="691"/>
      <c r="H139" s="691"/>
      <c r="I139" s="691"/>
      <c r="J139" s="691"/>
      <c r="K139" s="691"/>
      <c r="L139" s="691"/>
      <c r="M139" s="691"/>
      <c r="N139" s="691"/>
      <c r="O139" s="691"/>
      <c r="P139" s="691"/>
      <c r="Q139" s="691"/>
      <c r="R139" s="691"/>
      <c r="S139" s="691"/>
      <c r="T139" s="691"/>
      <c r="U139" s="691"/>
      <c r="V139" s="691"/>
      <c r="W139" s="691"/>
      <c r="X139" s="691"/>
      <c r="Y139" s="691"/>
      <c r="Z139" s="691"/>
      <c r="AA139" s="691"/>
    </row>
    <row r="140">
      <c r="A140" s="687"/>
      <c r="B140" s="796" t="s">
        <v>895</v>
      </c>
      <c r="C140" s="15" t="str">
        <f>"=&gt;"</f>
        <v>=&gt;</v>
      </c>
      <c r="D140" s="777" t="s">
        <v>1234</v>
      </c>
      <c r="E140" s="690"/>
      <c r="F140" s="691"/>
      <c r="G140" s="691"/>
      <c r="H140" s="691"/>
      <c r="I140" s="691"/>
      <c r="J140" s="691"/>
      <c r="K140" s="691"/>
      <c r="L140" s="691"/>
      <c r="M140" s="691"/>
      <c r="N140" s="691"/>
      <c r="O140" s="691"/>
      <c r="P140" s="691"/>
      <c r="Q140" s="691"/>
      <c r="R140" s="691"/>
      <c r="S140" s="691"/>
      <c r="T140" s="691"/>
      <c r="U140" s="691"/>
      <c r="V140" s="691"/>
      <c r="W140" s="691"/>
      <c r="X140" s="691"/>
      <c r="Y140" s="691"/>
      <c r="Z140" s="691"/>
      <c r="AA140" s="691"/>
    </row>
    <row r="141">
      <c r="A141" s="687"/>
      <c r="B141" s="796"/>
      <c r="C141" s="15"/>
      <c r="D141" s="694" t="s">
        <v>1165</v>
      </c>
      <c r="E141" s="690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91"/>
    </row>
    <row r="142">
      <c r="A142" s="687"/>
      <c r="B142" s="777"/>
      <c r="C142" s="15"/>
      <c r="D142" s="777"/>
      <c r="E142" s="690"/>
      <c r="F142" s="691"/>
      <c r="G142" s="691"/>
      <c r="H142" s="691"/>
      <c r="I142" s="691"/>
      <c r="J142" s="691"/>
      <c r="K142" s="691"/>
      <c r="L142" s="691"/>
      <c r="M142" s="691"/>
      <c r="N142" s="691"/>
      <c r="O142" s="691"/>
      <c r="P142" s="691"/>
      <c r="Q142" s="691"/>
      <c r="R142" s="691"/>
      <c r="S142" s="691"/>
      <c r="T142" s="691"/>
      <c r="U142" s="691"/>
      <c r="V142" s="691"/>
      <c r="W142" s="691"/>
      <c r="X142" s="691"/>
      <c r="Y142" s="691"/>
      <c r="Z142" s="691"/>
      <c r="AA142" s="691"/>
    </row>
    <row r="143">
      <c r="A143" s="778" t="s">
        <v>120</v>
      </c>
      <c r="B143" s="797" t="s">
        <v>28</v>
      </c>
      <c r="C143" s="15" t="str">
        <f>"=&gt;"</f>
        <v>=&gt;</v>
      </c>
      <c r="D143" s="777" t="s">
        <v>1235</v>
      </c>
      <c r="E143" s="690"/>
      <c r="F143" s="691"/>
      <c r="G143" s="691"/>
      <c r="H143" s="691"/>
      <c r="I143" s="691"/>
      <c r="J143" s="691"/>
      <c r="K143" s="691"/>
      <c r="L143" s="691"/>
      <c r="M143" s="691"/>
      <c r="N143" s="691"/>
      <c r="O143" s="691"/>
      <c r="P143" s="691"/>
      <c r="Q143" s="691"/>
      <c r="R143" s="691"/>
      <c r="S143" s="691"/>
      <c r="T143" s="691"/>
      <c r="U143" s="691"/>
      <c r="V143" s="691"/>
      <c r="W143" s="691"/>
      <c r="X143" s="691"/>
      <c r="Y143" s="691"/>
      <c r="Z143" s="691"/>
      <c r="AA143" s="691"/>
    </row>
    <row r="144">
      <c r="A144" s="687"/>
      <c r="B144" s="797"/>
      <c r="C144" s="15"/>
      <c r="D144" s="694" t="s">
        <v>1236</v>
      </c>
      <c r="E144" s="690"/>
      <c r="F144" s="691"/>
      <c r="G144" s="691"/>
      <c r="H144" s="691"/>
      <c r="I144" s="691"/>
      <c r="J144" s="691"/>
      <c r="K144" s="691"/>
      <c r="L144" s="691"/>
      <c r="M144" s="691"/>
      <c r="N144" s="691"/>
      <c r="O144" s="691"/>
      <c r="P144" s="691"/>
      <c r="Q144" s="691"/>
      <c r="R144" s="691"/>
      <c r="S144" s="691"/>
      <c r="T144" s="691"/>
      <c r="U144" s="691"/>
      <c r="V144" s="691"/>
      <c r="W144" s="691"/>
      <c r="X144" s="691"/>
      <c r="Y144" s="691"/>
      <c r="Z144" s="691"/>
      <c r="AA144" s="691"/>
    </row>
    <row r="145">
      <c r="A145" s="687"/>
      <c r="B145" s="797"/>
      <c r="C145" s="15"/>
      <c r="D145" s="694" t="s">
        <v>1237</v>
      </c>
      <c r="E145" s="690"/>
      <c r="F145" s="691"/>
      <c r="G145" s="691"/>
      <c r="H145" s="691"/>
      <c r="I145" s="691"/>
      <c r="J145" s="691"/>
      <c r="K145" s="691"/>
      <c r="L145" s="691"/>
      <c r="M145" s="691"/>
      <c r="N145" s="691"/>
      <c r="O145" s="691"/>
      <c r="P145" s="691"/>
      <c r="Q145" s="691"/>
      <c r="R145" s="691"/>
      <c r="S145" s="691"/>
      <c r="T145" s="691"/>
      <c r="U145" s="691"/>
      <c r="V145" s="691"/>
      <c r="W145" s="691"/>
      <c r="X145" s="691"/>
      <c r="Y145" s="691"/>
      <c r="Z145" s="691"/>
      <c r="AA145" s="691"/>
    </row>
    <row r="146">
      <c r="A146" s="687"/>
      <c r="B146" s="147" t="s">
        <v>1201</v>
      </c>
      <c r="C146" s="15"/>
      <c r="D146" s="694" t="s">
        <v>1238</v>
      </c>
      <c r="E146" s="690"/>
      <c r="F146" s="691"/>
      <c r="G146" s="691"/>
      <c r="H146" s="691"/>
      <c r="I146" s="691"/>
      <c r="J146" s="691"/>
      <c r="K146" s="691"/>
      <c r="L146" s="691"/>
      <c r="M146" s="691"/>
      <c r="N146" s="691"/>
      <c r="O146" s="691"/>
      <c r="P146" s="691"/>
      <c r="Q146" s="691"/>
      <c r="R146" s="691"/>
      <c r="S146" s="691"/>
      <c r="T146" s="691"/>
      <c r="U146" s="691"/>
      <c r="V146" s="691"/>
      <c r="W146" s="691"/>
      <c r="X146" s="691"/>
      <c r="Y146" s="691"/>
      <c r="Z146" s="691"/>
      <c r="AA146" s="691"/>
    </row>
    <row r="147">
      <c r="A147" s="687"/>
      <c r="B147" s="797"/>
      <c r="C147" s="15"/>
      <c r="D147" s="694" t="s">
        <v>1239</v>
      </c>
      <c r="E147" s="690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91"/>
    </row>
    <row r="148">
      <c r="A148" s="687"/>
      <c r="B148" s="147" t="s">
        <v>1201</v>
      </c>
      <c r="C148" s="15"/>
      <c r="D148" s="694" t="s">
        <v>1240</v>
      </c>
      <c r="E148" s="690"/>
      <c r="F148" s="691"/>
      <c r="G148" s="691"/>
      <c r="H148" s="691"/>
      <c r="I148" s="691"/>
      <c r="J148" s="691"/>
      <c r="K148" s="691"/>
      <c r="L148" s="691"/>
      <c r="M148" s="691"/>
      <c r="N148" s="691"/>
      <c r="O148" s="691"/>
      <c r="P148" s="691"/>
      <c r="Q148" s="691"/>
      <c r="R148" s="691"/>
      <c r="S148" s="691"/>
      <c r="T148" s="691"/>
      <c r="U148" s="691"/>
      <c r="V148" s="691"/>
      <c r="W148" s="691"/>
      <c r="X148" s="691"/>
      <c r="Y148" s="691"/>
      <c r="Z148" s="691"/>
      <c r="AA148" s="691"/>
    </row>
    <row r="149">
      <c r="A149" s="687"/>
      <c r="B149" s="797"/>
      <c r="C149" s="15"/>
      <c r="D149" s="694" t="s">
        <v>1166</v>
      </c>
      <c r="E149" s="690"/>
      <c r="F149" s="691"/>
      <c r="G149" s="691"/>
      <c r="H149" s="691"/>
      <c r="I149" s="691"/>
      <c r="J149" s="691"/>
      <c r="K149" s="691"/>
      <c r="L149" s="691"/>
      <c r="M149" s="691"/>
      <c r="N149" s="691"/>
      <c r="O149" s="691"/>
      <c r="P149" s="691"/>
      <c r="Q149" s="691"/>
      <c r="R149" s="691"/>
      <c r="S149" s="691"/>
      <c r="T149" s="691"/>
      <c r="U149" s="691"/>
      <c r="V149" s="691"/>
      <c r="W149" s="691"/>
      <c r="X149" s="691"/>
      <c r="Y149" s="691"/>
      <c r="Z149" s="691"/>
      <c r="AA149" s="691"/>
    </row>
    <row r="150">
      <c r="A150" s="687"/>
      <c r="B150" s="777"/>
      <c r="C150" s="15"/>
      <c r="D150" s="777"/>
      <c r="E150" s="690"/>
      <c r="F150" s="691"/>
      <c r="G150" s="691"/>
      <c r="H150" s="691"/>
      <c r="I150" s="691"/>
      <c r="J150" s="691"/>
      <c r="K150" s="691"/>
      <c r="L150" s="691"/>
      <c r="M150" s="691"/>
      <c r="N150" s="691"/>
      <c r="O150" s="691"/>
      <c r="P150" s="691"/>
      <c r="Q150" s="691"/>
      <c r="R150" s="691"/>
      <c r="S150" s="691"/>
      <c r="T150" s="691"/>
      <c r="U150" s="691"/>
      <c r="V150" s="691"/>
      <c r="W150" s="691"/>
      <c r="X150" s="691"/>
      <c r="Y150" s="691"/>
      <c r="Z150" s="691"/>
      <c r="AA150" s="691"/>
    </row>
    <row r="151">
      <c r="A151" s="687"/>
      <c r="B151" s="798" t="s">
        <v>1079</v>
      </c>
      <c r="C151" s="15" t="str">
        <f>"=&gt;"</f>
        <v>=&gt;</v>
      </c>
      <c r="D151" s="777" t="s">
        <v>1241</v>
      </c>
      <c r="E151" s="690"/>
      <c r="F151" s="691"/>
      <c r="G151" s="691"/>
      <c r="H151" s="691"/>
      <c r="I151" s="691"/>
      <c r="J151" s="691"/>
      <c r="K151" s="691"/>
      <c r="L151" s="691"/>
      <c r="M151" s="691"/>
      <c r="N151" s="691"/>
      <c r="O151" s="691"/>
      <c r="P151" s="691"/>
      <c r="Q151" s="691"/>
      <c r="R151" s="691"/>
      <c r="S151" s="691"/>
      <c r="T151" s="691"/>
      <c r="U151" s="691"/>
      <c r="V151" s="691"/>
      <c r="W151" s="691"/>
      <c r="X151" s="691"/>
      <c r="Y151" s="691"/>
      <c r="Z151" s="691"/>
      <c r="AA151" s="691"/>
    </row>
    <row r="152">
      <c r="A152" s="687"/>
      <c r="B152" s="798"/>
      <c r="C152" s="15"/>
      <c r="D152" s="694" t="s">
        <v>1167</v>
      </c>
      <c r="E152" s="690"/>
      <c r="F152" s="691"/>
      <c r="G152" s="691"/>
      <c r="H152" s="691"/>
      <c r="I152" s="691"/>
      <c r="J152" s="691"/>
      <c r="K152" s="691"/>
      <c r="L152" s="691"/>
      <c r="M152" s="691"/>
      <c r="N152" s="691"/>
      <c r="O152" s="691"/>
      <c r="P152" s="691"/>
      <c r="Q152" s="691"/>
      <c r="R152" s="691"/>
      <c r="S152" s="691"/>
      <c r="T152" s="691"/>
      <c r="U152" s="691"/>
      <c r="V152" s="691"/>
      <c r="W152" s="691"/>
      <c r="X152" s="691"/>
      <c r="Y152" s="691"/>
      <c r="Z152" s="691"/>
      <c r="AA152" s="691"/>
    </row>
    <row r="153">
      <c r="A153" s="687"/>
      <c r="B153" s="777"/>
      <c r="C153" s="15"/>
      <c r="D153" s="777"/>
      <c r="E153" s="690"/>
      <c r="F153" s="691"/>
      <c r="G153" s="691"/>
      <c r="H153" s="691"/>
      <c r="I153" s="691"/>
      <c r="J153" s="691"/>
      <c r="K153" s="691"/>
      <c r="L153" s="691"/>
      <c r="M153" s="691"/>
      <c r="N153" s="691"/>
      <c r="O153" s="691"/>
      <c r="P153" s="691"/>
      <c r="Q153" s="691"/>
      <c r="R153" s="691"/>
      <c r="S153" s="691"/>
      <c r="T153" s="691"/>
      <c r="U153" s="691"/>
      <c r="V153" s="691"/>
      <c r="W153" s="691"/>
      <c r="X153" s="691"/>
      <c r="Y153" s="691"/>
      <c r="Z153" s="691"/>
      <c r="AA153" s="691"/>
    </row>
    <row r="154">
      <c r="A154" s="687"/>
      <c r="B154" s="799" t="s">
        <v>964</v>
      </c>
      <c r="C154" s="15" t="str">
        <f>"=&gt;"</f>
        <v>=&gt;</v>
      </c>
      <c r="D154" s="777" t="s">
        <v>1242</v>
      </c>
      <c r="E154" s="690"/>
      <c r="F154" s="691"/>
      <c r="G154" s="691"/>
      <c r="H154" s="691"/>
      <c r="I154" s="691"/>
      <c r="J154" s="691"/>
      <c r="K154" s="691"/>
      <c r="L154" s="691"/>
      <c r="M154" s="691"/>
      <c r="N154" s="691"/>
      <c r="O154" s="691"/>
      <c r="P154" s="691"/>
      <c r="Q154" s="691"/>
      <c r="R154" s="691"/>
      <c r="S154" s="691"/>
      <c r="T154" s="691"/>
      <c r="U154" s="691"/>
      <c r="V154" s="691"/>
      <c r="W154" s="691"/>
      <c r="X154" s="691"/>
      <c r="Y154" s="691"/>
      <c r="Z154" s="691"/>
      <c r="AA154" s="691"/>
    </row>
    <row r="155">
      <c r="A155" s="687"/>
      <c r="B155" s="799"/>
      <c r="C155" s="15"/>
      <c r="D155" s="694" t="s">
        <v>1168</v>
      </c>
      <c r="E155" s="690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91"/>
    </row>
    <row r="156">
      <c r="A156" s="687"/>
      <c r="B156" s="777"/>
      <c r="C156" s="15"/>
      <c r="D156" s="777"/>
      <c r="E156" s="690"/>
      <c r="F156" s="691"/>
      <c r="G156" s="691"/>
      <c r="H156" s="691"/>
      <c r="I156" s="691"/>
      <c r="J156" s="691"/>
      <c r="K156" s="691"/>
      <c r="L156" s="691"/>
      <c r="M156" s="691"/>
      <c r="N156" s="691"/>
      <c r="O156" s="691"/>
      <c r="P156" s="691"/>
      <c r="Q156" s="691"/>
      <c r="R156" s="691"/>
      <c r="S156" s="691"/>
      <c r="T156" s="691"/>
      <c r="U156" s="691"/>
      <c r="V156" s="691"/>
      <c r="W156" s="691"/>
      <c r="X156" s="691"/>
      <c r="Y156" s="691"/>
      <c r="Z156" s="691"/>
      <c r="AA156" s="691"/>
    </row>
    <row r="157">
      <c r="A157" s="778" t="s">
        <v>1141</v>
      </c>
      <c r="B157" s="800" t="s">
        <v>1102</v>
      </c>
      <c r="C157" s="15" t="str">
        <f>"=&gt;"</f>
        <v>=&gt;</v>
      </c>
      <c r="D157" s="777" t="s">
        <v>1243</v>
      </c>
      <c r="E157" s="690"/>
      <c r="F157" s="691"/>
      <c r="G157" s="691"/>
      <c r="H157" s="691"/>
      <c r="I157" s="691"/>
      <c r="J157" s="691"/>
      <c r="K157" s="691"/>
      <c r="L157" s="691"/>
      <c r="M157" s="691"/>
      <c r="N157" s="691"/>
      <c r="O157" s="691"/>
      <c r="P157" s="691"/>
      <c r="Q157" s="691"/>
      <c r="R157" s="691"/>
      <c r="S157" s="691"/>
      <c r="T157" s="691"/>
      <c r="U157" s="691"/>
      <c r="V157" s="691"/>
      <c r="W157" s="691"/>
      <c r="X157" s="691"/>
      <c r="Y157" s="691"/>
      <c r="Z157" s="691"/>
      <c r="AA157" s="691"/>
    </row>
    <row r="158">
      <c r="A158" s="687"/>
      <c r="B158" s="800"/>
      <c r="C158" s="15"/>
      <c r="D158" s="694" t="s">
        <v>1244</v>
      </c>
      <c r="E158" s="690"/>
      <c r="F158" s="691"/>
      <c r="G158" s="691"/>
      <c r="H158" s="691"/>
      <c r="I158" s="691"/>
      <c r="J158" s="691"/>
      <c r="K158" s="691"/>
      <c r="L158" s="691"/>
      <c r="M158" s="691"/>
      <c r="N158" s="691"/>
      <c r="O158" s="691"/>
      <c r="P158" s="691"/>
      <c r="Q158" s="691"/>
      <c r="R158" s="691"/>
      <c r="S158" s="691"/>
      <c r="T158" s="691"/>
      <c r="U158" s="691"/>
      <c r="V158" s="691"/>
      <c r="W158" s="691"/>
      <c r="X158" s="691"/>
      <c r="Y158" s="691"/>
      <c r="Z158" s="691"/>
      <c r="AA158" s="691"/>
    </row>
    <row r="159">
      <c r="A159" s="687"/>
      <c r="B159" s="800"/>
      <c r="C159" s="15"/>
      <c r="D159" s="694" t="s">
        <v>1245</v>
      </c>
      <c r="E159" s="690"/>
      <c r="F159" s="691"/>
      <c r="G159" s="691"/>
      <c r="H159" s="691"/>
      <c r="I159" s="691"/>
      <c r="J159" s="691"/>
      <c r="K159" s="691"/>
      <c r="L159" s="691"/>
      <c r="M159" s="691"/>
      <c r="N159" s="691"/>
      <c r="O159" s="691"/>
      <c r="P159" s="691"/>
      <c r="Q159" s="691"/>
      <c r="R159" s="691"/>
      <c r="S159" s="691"/>
      <c r="T159" s="691"/>
      <c r="U159" s="691"/>
      <c r="V159" s="691"/>
      <c r="W159" s="691"/>
      <c r="X159" s="691"/>
      <c r="Y159" s="691"/>
      <c r="Z159" s="691"/>
      <c r="AA159" s="691"/>
    </row>
    <row r="160">
      <c r="A160" s="687"/>
      <c r="B160" s="801" t="s">
        <v>1201</v>
      </c>
      <c r="C160" s="15"/>
      <c r="D160" s="694" t="s">
        <v>1246</v>
      </c>
      <c r="E160" s="690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691"/>
    </row>
    <row r="161">
      <c r="A161" s="687"/>
      <c r="B161" s="800"/>
      <c r="C161" s="15"/>
      <c r="D161" s="694" t="s">
        <v>1247</v>
      </c>
      <c r="E161" s="690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91"/>
    </row>
    <row r="162">
      <c r="A162" s="687"/>
      <c r="B162" s="777"/>
      <c r="C162" s="15"/>
      <c r="D162" s="777"/>
      <c r="E162" s="690"/>
      <c r="F162" s="691"/>
      <c r="G162" s="691"/>
      <c r="H162" s="691"/>
      <c r="I162" s="691"/>
      <c r="J162" s="691"/>
      <c r="K162" s="691"/>
      <c r="L162" s="691"/>
      <c r="M162" s="691"/>
      <c r="N162" s="691"/>
      <c r="O162" s="691"/>
      <c r="P162" s="691"/>
      <c r="Q162" s="691"/>
      <c r="R162" s="691"/>
      <c r="S162" s="691"/>
      <c r="T162" s="691"/>
      <c r="U162" s="691"/>
      <c r="V162" s="691"/>
      <c r="W162" s="691"/>
      <c r="X162" s="691"/>
      <c r="Y162" s="691"/>
      <c r="Z162" s="691"/>
      <c r="AA162" s="691"/>
    </row>
    <row r="163">
      <c r="A163" s="687"/>
      <c r="B163" s="802" t="s">
        <v>894</v>
      </c>
      <c r="C163" s="15" t="str">
        <f>"=&gt;"</f>
        <v>=&gt;</v>
      </c>
      <c r="D163" s="777" t="s">
        <v>1248</v>
      </c>
      <c r="E163" s="690"/>
      <c r="F163" s="691"/>
      <c r="G163" s="691"/>
      <c r="H163" s="691"/>
      <c r="I163" s="691"/>
      <c r="J163" s="691"/>
      <c r="K163" s="691"/>
      <c r="L163" s="691"/>
      <c r="M163" s="691"/>
      <c r="N163" s="691"/>
      <c r="O163" s="691"/>
      <c r="P163" s="691"/>
      <c r="Q163" s="691"/>
      <c r="R163" s="691"/>
      <c r="S163" s="691"/>
      <c r="T163" s="691"/>
      <c r="U163" s="691"/>
      <c r="V163" s="691"/>
      <c r="W163" s="691"/>
      <c r="X163" s="691"/>
      <c r="Y163" s="691"/>
      <c r="Z163" s="691"/>
      <c r="AA163" s="691"/>
    </row>
    <row r="164">
      <c r="A164" s="687"/>
      <c r="B164" s="802"/>
      <c r="C164" s="15"/>
      <c r="D164" s="694" t="s">
        <v>1170</v>
      </c>
      <c r="E164" s="690"/>
      <c r="F164" s="691"/>
      <c r="G164" s="691"/>
      <c r="H164" s="691"/>
      <c r="I164" s="691"/>
      <c r="J164" s="691"/>
      <c r="K164" s="691"/>
      <c r="L164" s="691"/>
      <c r="M164" s="691"/>
      <c r="N164" s="691"/>
      <c r="O164" s="691"/>
      <c r="P164" s="691"/>
      <c r="Q164" s="691"/>
      <c r="R164" s="691"/>
      <c r="S164" s="691"/>
      <c r="T164" s="691"/>
      <c r="U164" s="691"/>
      <c r="V164" s="691"/>
      <c r="W164" s="691"/>
      <c r="X164" s="691"/>
      <c r="Y164" s="691"/>
      <c r="Z164" s="691"/>
      <c r="AA164" s="691"/>
    </row>
    <row r="165">
      <c r="A165" s="687"/>
      <c r="B165" s="777"/>
      <c r="C165" s="15"/>
      <c r="D165" s="777"/>
      <c r="E165" s="690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91"/>
    </row>
    <row r="166">
      <c r="A166" s="687"/>
      <c r="B166" s="803" t="s">
        <v>1103</v>
      </c>
      <c r="C166" s="15" t="str">
        <f>"=&gt;"</f>
        <v>=&gt;</v>
      </c>
      <c r="D166" s="777" t="s">
        <v>1249</v>
      </c>
      <c r="E166" s="690"/>
      <c r="F166" s="691"/>
      <c r="G166" s="691"/>
      <c r="H166" s="691"/>
      <c r="I166" s="691"/>
      <c r="J166" s="691"/>
      <c r="K166" s="691"/>
      <c r="L166" s="691"/>
      <c r="M166" s="691"/>
      <c r="N166" s="691"/>
      <c r="O166" s="691"/>
      <c r="P166" s="691"/>
      <c r="Q166" s="691"/>
      <c r="R166" s="691"/>
      <c r="S166" s="691"/>
      <c r="T166" s="691"/>
      <c r="U166" s="691"/>
      <c r="V166" s="691"/>
      <c r="W166" s="691"/>
      <c r="X166" s="691"/>
      <c r="Y166" s="691"/>
      <c r="Z166" s="691"/>
      <c r="AA166" s="691"/>
    </row>
    <row r="167">
      <c r="A167" s="687"/>
      <c r="B167" s="803"/>
      <c r="C167" s="15"/>
      <c r="D167" s="694" t="s">
        <v>1165</v>
      </c>
      <c r="E167" s="690"/>
      <c r="F167" s="691"/>
      <c r="G167" s="691"/>
      <c r="H167" s="691"/>
      <c r="I167" s="691"/>
      <c r="J167" s="691"/>
      <c r="K167" s="691"/>
      <c r="L167" s="691"/>
      <c r="M167" s="691"/>
      <c r="N167" s="691"/>
      <c r="O167" s="691"/>
      <c r="P167" s="691"/>
      <c r="Q167" s="691"/>
      <c r="R167" s="691"/>
      <c r="S167" s="691"/>
      <c r="T167" s="691"/>
      <c r="U167" s="691"/>
      <c r="V167" s="691"/>
      <c r="W167" s="691"/>
      <c r="X167" s="691"/>
      <c r="Y167" s="691"/>
      <c r="Z167" s="691"/>
      <c r="AA167" s="691"/>
    </row>
    <row r="168">
      <c r="A168" s="687"/>
      <c r="B168" s="777"/>
      <c r="C168" s="15"/>
      <c r="D168" s="777"/>
      <c r="E168" s="690"/>
      <c r="F168" s="691"/>
      <c r="G168" s="691"/>
      <c r="H168" s="691"/>
      <c r="I168" s="691"/>
      <c r="J168" s="691"/>
      <c r="K168" s="691"/>
      <c r="L168" s="691"/>
      <c r="M168" s="691"/>
      <c r="N168" s="691"/>
      <c r="O168" s="691"/>
      <c r="P168" s="691"/>
      <c r="Q168" s="691"/>
      <c r="R168" s="691"/>
      <c r="S168" s="691"/>
      <c r="T168" s="691"/>
      <c r="U168" s="691"/>
      <c r="V168" s="691"/>
      <c r="W168" s="691"/>
      <c r="X168" s="691"/>
      <c r="Y168" s="691"/>
      <c r="Z168" s="691"/>
      <c r="AA168" s="691"/>
    </row>
    <row r="169">
      <c r="A169" s="687"/>
      <c r="B169" s="804" t="s">
        <v>1097</v>
      </c>
      <c r="C169" s="15" t="str">
        <f>"=&gt;"</f>
        <v>=&gt;</v>
      </c>
      <c r="D169" s="777" t="s">
        <v>1250</v>
      </c>
      <c r="E169" s="690"/>
      <c r="F169" s="691"/>
      <c r="G169" s="691"/>
      <c r="H169" s="691"/>
      <c r="I169" s="691"/>
      <c r="J169" s="691"/>
      <c r="K169" s="691"/>
      <c r="L169" s="691"/>
      <c r="M169" s="691"/>
      <c r="N169" s="691"/>
      <c r="O169" s="691"/>
      <c r="P169" s="691"/>
      <c r="Q169" s="691"/>
      <c r="R169" s="691"/>
      <c r="S169" s="691"/>
      <c r="T169" s="691"/>
      <c r="U169" s="691"/>
      <c r="V169" s="691"/>
      <c r="W169" s="691"/>
      <c r="X169" s="691"/>
      <c r="Y169" s="691"/>
      <c r="Z169" s="691"/>
      <c r="AA169" s="691"/>
    </row>
    <row r="170">
      <c r="A170" s="687"/>
      <c r="B170" s="804"/>
      <c r="C170" s="15"/>
      <c r="D170" s="694" t="s">
        <v>1171</v>
      </c>
      <c r="E170" s="690"/>
      <c r="F170" s="691"/>
      <c r="G170" s="691"/>
      <c r="H170" s="691"/>
      <c r="I170" s="691"/>
      <c r="J170" s="691"/>
      <c r="K170" s="691"/>
      <c r="L170" s="691"/>
      <c r="M170" s="691"/>
      <c r="N170" s="691"/>
      <c r="O170" s="691"/>
      <c r="P170" s="691"/>
      <c r="Q170" s="691"/>
      <c r="R170" s="691"/>
      <c r="S170" s="691"/>
      <c r="T170" s="691"/>
      <c r="U170" s="691"/>
      <c r="V170" s="691"/>
      <c r="W170" s="691"/>
      <c r="X170" s="691"/>
      <c r="Y170" s="691"/>
      <c r="Z170" s="691"/>
      <c r="AA170" s="691"/>
    </row>
    <row r="171">
      <c r="A171" s="687"/>
      <c r="B171" s="777"/>
      <c r="C171" s="15"/>
      <c r="D171" s="777"/>
      <c r="E171" s="690"/>
      <c r="F171" s="691"/>
      <c r="G171" s="691"/>
      <c r="H171" s="691"/>
      <c r="I171" s="691"/>
      <c r="J171" s="691"/>
      <c r="K171" s="691"/>
      <c r="L171" s="691"/>
      <c r="M171" s="691"/>
      <c r="N171" s="691"/>
      <c r="O171" s="691"/>
      <c r="P171" s="691"/>
      <c r="Q171" s="691"/>
      <c r="R171" s="691"/>
      <c r="S171" s="691"/>
      <c r="T171" s="691"/>
      <c r="U171" s="691"/>
      <c r="V171" s="691"/>
      <c r="W171" s="691"/>
      <c r="X171" s="691"/>
      <c r="Y171" s="691"/>
      <c r="Z171" s="691"/>
      <c r="AA171" s="691"/>
    </row>
    <row r="172">
      <c r="A172" s="687"/>
      <c r="B172" s="805" t="s">
        <v>1104</v>
      </c>
      <c r="C172" s="15" t="str">
        <f>"=&gt;"</f>
        <v>=&gt;</v>
      </c>
      <c r="D172" s="777" t="s">
        <v>1251</v>
      </c>
      <c r="E172" s="690"/>
      <c r="F172" s="691"/>
      <c r="G172" s="691"/>
      <c r="H172" s="691"/>
      <c r="I172" s="691"/>
      <c r="J172" s="691"/>
      <c r="K172" s="691"/>
      <c r="L172" s="691"/>
      <c r="M172" s="691"/>
      <c r="N172" s="691"/>
      <c r="O172" s="691"/>
      <c r="P172" s="691"/>
      <c r="Q172" s="691"/>
      <c r="R172" s="691"/>
      <c r="S172" s="691"/>
      <c r="T172" s="691"/>
      <c r="U172" s="691"/>
      <c r="V172" s="691"/>
      <c r="W172" s="691"/>
      <c r="X172" s="691"/>
      <c r="Y172" s="691"/>
      <c r="Z172" s="691"/>
      <c r="AA172" s="691"/>
    </row>
    <row r="173">
      <c r="A173" s="687"/>
      <c r="B173" s="805"/>
      <c r="C173" s="15"/>
      <c r="D173" s="694" t="s">
        <v>1168</v>
      </c>
      <c r="E173" s="690"/>
      <c r="F173" s="691"/>
      <c r="G173" s="691"/>
      <c r="H173" s="691"/>
      <c r="I173" s="691"/>
      <c r="J173" s="691"/>
      <c r="K173" s="691"/>
      <c r="L173" s="691"/>
      <c r="M173" s="691"/>
      <c r="N173" s="691"/>
      <c r="O173" s="691"/>
      <c r="P173" s="691"/>
      <c r="Q173" s="691"/>
      <c r="R173" s="691"/>
      <c r="S173" s="691"/>
      <c r="T173" s="691"/>
      <c r="U173" s="691"/>
      <c r="V173" s="691"/>
      <c r="W173" s="691"/>
      <c r="X173" s="691"/>
      <c r="Y173" s="691"/>
      <c r="Z173" s="691"/>
      <c r="AA173" s="691"/>
    </row>
    <row r="174">
      <c r="A174" s="687"/>
      <c r="B174" s="777"/>
      <c r="C174" s="15"/>
      <c r="D174" s="777"/>
      <c r="E174" s="690"/>
      <c r="F174" s="691"/>
      <c r="G174" s="691"/>
      <c r="H174" s="691"/>
      <c r="I174" s="691"/>
      <c r="J174" s="691"/>
      <c r="K174" s="691"/>
      <c r="L174" s="691"/>
      <c r="M174" s="691"/>
      <c r="N174" s="691"/>
      <c r="O174" s="691"/>
      <c r="P174" s="691"/>
      <c r="Q174" s="691"/>
      <c r="R174" s="691"/>
      <c r="S174" s="691"/>
      <c r="T174" s="691"/>
      <c r="U174" s="691"/>
      <c r="V174" s="691"/>
      <c r="W174" s="691"/>
      <c r="X174" s="691"/>
      <c r="Y174" s="691"/>
      <c r="Z174" s="691"/>
      <c r="AA174" s="691"/>
    </row>
    <row r="175">
      <c r="A175" s="687"/>
      <c r="B175" s="806" t="s">
        <v>1000</v>
      </c>
      <c r="C175" s="15" t="str">
        <f>"=&gt;"</f>
        <v>=&gt;</v>
      </c>
      <c r="D175" s="777" t="s">
        <v>1252</v>
      </c>
      <c r="E175" s="690"/>
      <c r="F175" s="691"/>
      <c r="G175" s="691"/>
      <c r="H175" s="691"/>
      <c r="I175" s="691"/>
      <c r="J175" s="691"/>
      <c r="K175" s="691"/>
      <c r="L175" s="691"/>
      <c r="M175" s="691"/>
      <c r="N175" s="691"/>
      <c r="O175" s="691"/>
      <c r="P175" s="691"/>
      <c r="Q175" s="691"/>
      <c r="R175" s="691"/>
      <c r="S175" s="691"/>
      <c r="T175" s="691"/>
      <c r="U175" s="691"/>
      <c r="V175" s="691"/>
      <c r="W175" s="691"/>
      <c r="X175" s="691"/>
      <c r="Y175" s="691"/>
      <c r="Z175" s="691"/>
      <c r="AA175" s="691"/>
    </row>
    <row r="176">
      <c r="A176" s="687"/>
      <c r="B176" s="806"/>
      <c r="C176" s="15"/>
      <c r="D176" s="694" t="s">
        <v>1167</v>
      </c>
      <c r="E176" s="690"/>
      <c r="F176" s="691"/>
      <c r="G176" s="691"/>
      <c r="H176" s="691"/>
      <c r="I176" s="691"/>
      <c r="J176" s="691"/>
      <c r="K176" s="691"/>
      <c r="L176" s="691"/>
      <c r="M176" s="691"/>
      <c r="N176" s="691"/>
      <c r="O176" s="691"/>
      <c r="P176" s="691"/>
      <c r="Q176" s="691"/>
      <c r="R176" s="691"/>
      <c r="S176" s="691"/>
      <c r="T176" s="691"/>
      <c r="U176" s="691"/>
      <c r="V176" s="691"/>
      <c r="W176" s="691"/>
      <c r="X176" s="691"/>
      <c r="Y176" s="691"/>
      <c r="Z176" s="691"/>
      <c r="AA176" s="691"/>
    </row>
    <row r="177">
      <c r="A177" s="687"/>
      <c r="B177" s="777"/>
      <c r="C177" s="15"/>
      <c r="D177" s="777"/>
      <c r="E177" s="690"/>
      <c r="F177" s="691"/>
      <c r="G177" s="691"/>
      <c r="H177" s="691"/>
      <c r="I177" s="691"/>
      <c r="J177" s="691"/>
      <c r="K177" s="691"/>
      <c r="L177" s="691"/>
      <c r="M177" s="691"/>
      <c r="N177" s="691"/>
      <c r="O177" s="691"/>
      <c r="P177" s="691"/>
      <c r="Q177" s="691"/>
      <c r="R177" s="691"/>
      <c r="S177" s="691"/>
      <c r="T177" s="691"/>
      <c r="U177" s="691"/>
      <c r="V177" s="691"/>
      <c r="W177" s="691"/>
      <c r="X177" s="691"/>
      <c r="Y177" s="691"/>
      <c r="Z177" s="691"/>
      <c r="AA177" s="691"/>
    </row>
    <row r="178">
      <c r="A178" s="687"/>
      <c r="B178" s="807" t="s">
        <v>1002</v>
      </c>
      <c r="C178" s="15" t="str">
        <f>"=&gt;"</f>
        <v>=&gt;</v>
      </c>
      <c r="D178" s="777" t="s">
        <v>1253</v>
      </c>
      <c r="E178" s="690"/>
      <c r="F178" s="691"/>
      <c r="G178" s="691"/>
      <c r="H178" s="691"/>
      <c r="I178" s="691"/>
      <c r="J178" s="691"/>
      <c r="K178" s="691"/>
      <c r="L178" s="691"/>
      <c r="M178" s="691"/>
      <c r="N178" s="691"/>
      <c r="O178" s="691"/>
      <c r="P178" s="691"/>
      <c r="Q178" s="691"/>
      <c r="R178" s="691"/>
      <c r="S178" s="691"/>
      <c r="T178" s="691"/>
      <c r="U178" s="691"/>
      <c r="V178" s="691"/>
      <c r="W178" s="691"/>
      <c r="X178" s="691"/>
      <c r="Y178" s="691"/>
      <c r="Z178" s="691"/>
      <c r="AA178" s="691"/>
    </row>
    <row r="179">
      <c r="A179" s="687"/>
      <c r="B179" s="807"/>
      <c r="C179" s="15"/>
      <c r="D179" s="694" t="s">
        <v>1254</v>
      </c>
      <c r="E179" s="690"/>
      <c r="F179" s="691"/>
      <c r="G179" s="691"/>
      <c r="H179" s="691"/>
      <c r="I179" s="691"/>
      <c r="J179" s="691"/>
      <c r="K179" s="691"/>
      <c r="L179" s="691"/>
      <c r="M179" s="691"/>
      <c r="N179" s="691"/>
      <c r="O179" s="691"/>
      <c r="P179" s="691"/>
      <c r="Q179" s="691"/>
      <c r="R179" s="691"/>
      <c r="S179" s="691"/>
      <c r="T179" s="691"/>
      <c r="U179" s="691"/>
      <c r="V179" s="691"/>
      <c r="W179" s="691"/>
      <c r="X179" s="691"/>
      <c r="Y179" s="691"/>
      <c r="Z179" s="691"/>
      <c r="AA179" s="691"/>
    </row>
    <row r="180">
      <c r="A180" s="687"/>
      <c r="B180" s="777"/>
      <c r="C180" s="15"/>
      <c r="D180" s="777"/>
      <c r="E180" s="690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91"/>
    </row>
    <row r="181">
      <c r="A181" s="778" t="s">
        <v>1141</v>
      </c>
      <c r="B181" s="808" t="s">
        <v>1106</v>
      </c>
      <c r="C181" s="15" t="str">
        <f>"=&gt;"</f>
        <v>=&gt;</v>
      </c>
      <c r="D181" s="777" t="s">
        <v>1255</v>
      </c>
      <c r="E181" s="690"/>
      <c r="F181" s="691"/>
      <c r="G181" s="691"/>
      <c r="H181" s="691"/>
      <c r="I181" s="691"/>
      <c r="J181" s="691"/>
      <c r="K181" s="691"/>
      <c r="L181" s="691"/>
      <c r="M181" s="691"/>
      <c r="N181" s="691"/>
      <c r="O181" s="691"/>
      <c r="P181" s="691"/>
      <c r="Q181" s="691"/>
      <c r="R181" s="691"/>
      <c r="S181" s="691"/>
      <c r="T181" s="691"/>
      <c r="U181" s="691"/>
      <c r="V181" s="691"/>
      <c r="W181" s="691"/>
      <c r="X181" s="691"/>
      <c r="Y181" s="691"/>
      <c r="Z181" s="691"/>
      <c r="AA181" s="691"/>
    </row>
    <row r="182">
      <c r="A182" s="687"/>
      <c r="B182" s="808"/>
      <c r="C182" s="15"/>
      <c r="D182" s="694" t="s">
        <v>1256</v>
      </c>
      <c r="E182" s="690"/>
      <c r="F182" s="691"/>
      <c r="G182" s="691"/>
      <c r="H182" s="691"/>
      <c r="I182" s="691"/>
      <c r="J182" s="691"/>
      <c r="K182" s="691"/>
      <c r="L182" s="691"/>
      <c r="M182" s="691"/>
      <c r="N182" s="691"/>
      <c r="O182" s="691"/>
      <c r="P182" s="691"/>
      <c r="Q182" s="691"/>
      <c r="R182" s="691"/>
      <c r="S182" s="691"/>
      <c r="T182" s="691"/>
      <c r="U182" s="691"/>
      <c r="V182" s="691"/>
      <c r="W182" s="691"/>
      <c r="X182" s="691"/>
      <c r="Y182" s="691"/>
      <c r="Z182" s="691"/>
      <c r="AA182" s="691"/>
    </row>
    <row r="183">
      <c r="A183" s="687"/>
      <c r="B183" s="809" t="s">
        <v>1201</v>
      </c>
      <c r="C183" s="15"/>
      <c r="D183" s="694" t="s">
        <v>1257</v>
      </c>
      <c r="E183" s="690"/>
      <c r="F183" s="691"/>
      <c r="G183" s="691"/>
      <c r="H183" s="691"/>
      <c r="I183" s="691"/>
      <c r="J183" s="691"/>
      <c r="K183" s="691"/>
      <c r="L183" s="691"/>
      <c r="M183" s="691"/>
      <c r="N183" s="691"/>
      <c r="O183" s="691"/>
      <c r="P183" s="691"/>
      <c r="Q183" s="691"/>
      <c r="R183" s="691"/>
      <c r="S183" s="691"/>
      <c r="T183" s="691"/>
      <c r="U183" s="691"/>
      <c r="V183" s="691"/>
      <c r="W183" s="691"/>
      <c r="X183" s="691"/>
      <c r="Y183" s="691"/>
      <c r="Z183" s="691"/>
      <c r="AA183" s="691"/>
    </row>
    <row r="184">
      <c r="A184" s="687"/>
      <c r="B184" s="808"/>
      <c r="C184" s="15"/>
      <c r="D184" s="694" t="s">
        <v>1258</v>
      </c>
      <c r="E184" s="690"/>
      <c r="F184" s="691"/>
      <c r="G184" s="691"/>
      <c r="H184" s="691"/>
      <c r="I184" s="691"/>
      <c r="J184" s="691"/>
      <c r="K184" s="691"/>
      <c r="L184" s="691"/>
      <c r="M184" s="691"/>
      <c r="N184" s="691"/>
      <c r="O184" s="691"/>
      <c r="P184" s="691"/>
      <c r="Q184" s="691"/>
      <c r="R184" s="691"/>
      <c r="S184" s="691"/>
      <c r="T184" s="691"/>
      <c r="U184" s="691"/>
      <c r="V184" s="691"/>
      <c r="W184" s="691"/>
      <c r="X184" s="691"/>
      <c r="Y184" s="691"/>
      <c r="Z184" s="691"/>
      <c r="AA184" s="691"/>
    </row>
    <row r="185">
      <c r="A185" s="687"/>
      <c r="B185" s="777"/>
      <c r="C185" s="15"/>
      <c r="D185" s="777"/>
      <c r="E185" s="690"/>
      <c r="F185" s="691"/>
      <c r="G185" s="691"/>
      <c r="H185" s="691"/>
      <c r="I185" s="691"/>
      <c r="J185" s="691"/>
      <c r="K185" s="691"/>
      <c r="L185" s="691"/>
      <c r="M185" s="691"/>
      <c r="N185" s="691"/>
      <c r="O185" s="691"/>
      <c r="P185" s="691"/>
      <c r="Q185" s="691"/>
      <c r="R185" s="691"/>
      <c r="S185" s="691"/>
      <c r="T185" s="691"/>
      <c r="U185" s="691"/>
      <c r="V185" s="691"/>
      <c r="W185" s="691"/>
      <c r="X185" s="691"/>
      <c r="Y185" s="691"/>
      <c r="Z185" s="691"/>
      <c r="AA185" s="691"/>
    </row>
    <row r="186">
      <c r="A186" s="687"/>
      <c r="B186" s="810" t="s">
        <v>929</v>
      </c>
      <c r="C186" s="15" t="str">
        <f>"=&gt;"</f>
        <v>=&gt;</v>
      </c>
      <c r="D186" s="777" t="s">
        <v>1259</v>
      </c>
      <c r="E186" s="690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91"/>
    </row>
    <row r="187">
      <c r="A187" s="687"/>
      <c r="B187" s="810"/>
      <c r="C187" s="15"/>
      <c r="D187" s="694" t="s">
        <v>1175</v>
      </c>
      <c r="E187" s="690"/>
      <c r="F187" s="691"/>
      <c r="G187" s="691"/>
      <c r="H187" s="691"/>
      <c r="I187" s="691"/>
      <c r="J187" s="691"/>
      <c r="K187" s="691"/>
      <c r="L187" s="691"/>
      <c r="M187" s="691"/>
      <c r="N187" s="691"/>
      <c r="O187" s="691"/>
      <c r="P187" s="691"/>
      <c r="Q187" s="691"/>
      <c r="R187" s="691"/>
      <c r="S187" s="691"/>
      <c r="T187" s="691"/>
      <c r="U187" s="691"/>
      <c r="V187" s="691"/>
      <c r="W187" s="691"/>
      <c r="X187" s="691"/>
      <c r="Y187" s="691"/>
      <c r="Z187" s="691"/>
      <c r="AA187" s="691"/>
    </row>
    <row r="188">
      <c r="A188" s="687"/>
      <c r="B188" s="777"/>
      <c r="C188" s="15"/>
      <c r="D188" s="777"/>
      <c r="E188" s="690"/>
      <c r="F188" s="691"/>
      <c r="G188" s="691"/>
      <c r="H188" s="691"/>
      <c r="I188" s="691"/>
      <c r="J188" s="691"/>
      <c r="K188" s="691"/>
      <c r="L188" s="691"/>
      <c r="M188" s="691"/>
      <c r="N188" s="691"/>
      <c r="O188" s="691"/>
      <c r="P188" s="691"/>
      <c r="Q188" s="691"/>
      <c r="R188" s="691"/>
      <c r="S188" s="691"/>
      <c r="T188" s="691"/>
      <c r="U188" s="691"/>
      <c r="V188" s="691"/>
      <c r="W188" s="691"/>
      <c r="X188" s="691"/>
      <c r="Y188" s="691"/>
      <c r="Z188" s="691"/>
      <c r="AA188" s="691"/>
    </row>
    <row r="189">
      <c r="A189" s="687"/>
      <c r="B189" s="811" t="s">
        <v>1096</v>
      </c>
      <c r="C189" s="15" t="s">
        <v>199</v>
      </c>
      <c r="D189" s="777" t="s">
        <v>1260</v>
      </c>
      <c r="E189" s="690"/>
      <c r="F189" s="691"/>
      <c r="G189" s="691"/>
      <c r="H189" s="691"/>
      <c r="I189" s="691"/>
      <c r="J189" s="691"/>
      <c r="K189" s="691"/>
      <c r="L189" s="691"/>
      <c r="M189" s="691"/>
      <c r="N189" s="691"/>
      <c r="O189" s="691"/>
      <c r="P189" s="691"/>
      <c r="Q189" s="691"/>
      <c r="R189" s="691"/>
      <c r="S189" s="691"/>
      <c r="T189" s="691"/>
      <c r="U189" s="691"/>
      <c r="V189" s="691"/>
      <c r="W189" s="691"/>
      <c r="X189" s="691"/>
      <c r="Y189" s="691"/>
      <c r="Z189" s="691"/>
      <c r="AA189" s="691"/>
    </row>
    <row r="190">
      <c r="A190" s="687"/>
      <c r="B190" s="811"/>
      <c r="C190" s="15"/>
      <c r="D190" s="694" t="s">
        <v>1261</v>
      </c>
      <c r="E190" s="690"/>
      <c r="F190" s="691"/>
      <c r="G190" s="691"/>
      <c r="H190" s="691"/>
      <c r="I190" s="691"/>
      <c r="J190" s="691"/>
      <c r="K190" s="691"/>
      <c r="L190" s="691"/>
      <c r="M190" s="691"/>
      <c r="N190" s="691"/>
      <c r="O190" s="691"/>
      <c r="P190" s="691"/>
      <c r="Q190" s="691"/>
      <c r="R190" s="691"/>
      <c r="S190" s="691"/>
      <c r="T190" s="691"/>
      <c r="U190" s="691"/>
      <c r="V190" s="691"/>
      <c r="W190" s="691"/>
      <c r="X190" s="691"/>
      <c r="Y190" s="691"/>
      <c r="Z190" s="691"/>
      <c r="AA190" s="691"/>
    </row>
    <row r="191">
      <c r="A191" s="687"/>
      <c r="B191" s="777"/>
      <c r="C191" s="15"/>
      <c r="D191" s="777"/>
      <c r="E191" s="690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91"/>
    </row>
    <row r="192">
      <c r="A192" s="687"/>
      <c r="B192" s="812" t="s">
        <v>1108</v>
      </c>
      <c r="C192" s="15" t="str">
        <f>"=&gt;"</f>
        <v>=&gt;</v>
      </c>
      <c r="D192" s="777" t="s">
        <v>1262</v>
      </c>
      <c r="E192" s="690"/>
      <c r="F192" s="691"/>
      <c r="G192" s="691"/>
      <c r="H192" s="691"/>
      <c r="I192" s="691"/>
      <c r="J192" s="691"/>
      <c r="K192" s="691"/>
      <c r="L192" s="691"/>
      <c r="M192" s="691"/>
      <c r="N192" s="691"/>
      <c r="O192" s="691"/>
      <c r="P192" s="691"/>
      <c r="Q192" s="691"/>
      <c r="R192" s="691"/>
      <c r="S192" s="691"/>
      <c r="T192" s="691"/>
      <c r="U192" s="691"/>
      <c r="V192" s="691"/>
      <c r="W192" s="691"/>
      <c r="X192" s="691"/>
      <c r="Y192" s="691"/>
      <c r="Z192" s="691"/>
      <c r="AA192" s="691"/>
    </row>
    <row r="193">
      <c r="A193" s="687"/>
      <c r="B193" s="812"/>
      <c r="C193" s="15"/>
      <c r="D193" s="694" t="s">
        <v>1178</v>
      </c>
      <c r="E193" s="690"/>
      <c r="F193" s="691"/>
      <c r="G193" s="691"/>
      <c r="H193" s="691"/>
      <c r="I193" s="691"/>
      <c r="J193" s="691"/>
      <c r="K193" s="691"/>
      <c r="L193" s="691"/>
      <c r="M193" s="691"/>
      <c r="N193" s="691"/>
      <c r="O193" s="691"/>
      <c r="P193" s="691"/>
      <c r="Q193" s="691"/>
      <c r="R193" s="691"/>
      <c r="S193" s="691"/>
      <c r="T193" s="691"/>
      <c r="U193" s="691"/>
      <c r="V193" s="691"/>
      <c r="W193" s="691"/>
      <c r="X193" s="691"/>
      <c r="Y193" s="691"/>
      <c r="Z193" s="691"/>
      <c r="AA193" s="691"/>
    </row>
    <row r="194">
      <c r="A194" s="687"/>
      <c r="B194" s="777"/>
      <c r="C194" s="15"/>
      <c r="D194" s="777"/>
      <c r="E194" s="690"/>
      <c r="F194" s="691"/>
      <c r="G194" s="691"/>
      <c r="H194" s="691"/>
      <c r="I194" s="691"/>
      <c r="J194" s="691"/>
      <c r="K194" s="691"/>
      <c r="L194" s="691"/>
      <c r="M194" s="691"/>
      <c r="N194" s="691"/>
      <c r="O194" s="691"/>
      <c r="P194" s="691"/>
      <c r="Q194" s="691"/>
      <c r="R194" s="691"/>
      <c r="S194" s="691"/>
      <c r="T194" s="691"/>
      <c r="U194" s="691"/>
      <c r="V194" s="691"/>
      <c r="W194" s="691"/>
      <c r="X194" s="691"/>
      <c r="Y194" s="691"/>
      <c r="Z194" s="691"/>
      <c r="AA194" s="691"/>
    </row>
    <row r="195">
      <c r="A195" s="778" t="s">
        <v>120</v>
      </c>
      <c r="B195" s="813" t="s">
        <v>1010</v>
      </c>
      <c r="C195" s="15" t="s">
        <v>199</v>
      </c>
      <c r="D195" s="777" t="s">
        <v>1263</v>
      </c>
      <c r="E195" s="690"/>
      <c r="F195" s="691"/>
      <c r="G195" s="691"/>
      <c r="H195" s="691"/>
      <c r="I195" s="691"/>
      <c r="J195" s="691"/>
      <c r="K195" s="691"/>
      <c r="L195" s="691"/>
      <c r="M195" s="691"/>
      <c r="N195" s="691"/>
      <c r="O195" s="691"/>
      <c r="P195" s="691"/>
      <c r="Q195" s="691"/>
      <c r="R195" s="691"/>
      <c r="S195" s="691"/>
      <c r="T195" s="691"/>
      <c r="U195" s="691"/>
      <c r="V195" s="691"/>
      <c r="W195" s="691"/>
      <c r="X195" s="691"/>
      <c r="Y195" s="691"/>
      <c r="Z195" s="691"/>
      <c r="AA195" s="691"/>
    </row>
    <row r="196">
      <c r="A196" s="687"/>
      <c r="B196" s="813"/>
      <c r="C196" s="15"/>
      <c r="D196" s="694" t="s">
        <v>1264</v>
      </c>
      <c r="E196" s="690"/>
      <c r="F196" s="691"/>
      <c r="G196" s="691"/>
      <c r="H196" s="691"/>
      <c r="I196" s="691"/>
      <c r="J196" s="691"/>
      <c r="K196" s="691"/>
      <c r="L196" s="691"/>
      <c r="M196" s="691"/>
      <c r="N196" s="691"/>
      <c r="O196" s="691"/>
      <c r="P196" s="691"/>
      <c r="Q196" s="691"/>
      <c r="R196" s="691"/>
      <c r="S196" s="691"/>
      <c r="T196" s="691"/>
      <c r="U196" s="691"/>
      <c r="V196" s="691"/>
      <c r="W196" s="691"/>
      <c r="X196" s="691"/>
      <c r="Y196" s="691"/>
      <c r="Z196" s="691"/>
      <c r="AA196" s="691"/>
    </row>
    <row r="197">
      <c r="A197" s="687"/>
      <c r="B197" s="813"/>
      <c r="C197" s="15"/>
      <c r="D197" s="694" t="s">
        <v>1265</v>
      </c>
      <c r="E197" s="690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91"/>
    </row>
    <row r="198">
      <c r="A198" s="687"/>
      <c r="B198" s="814" t="s">
        <v>1201</v>
      </c>
      <c r="C198" s="15"/>
      <c r="D198" s="694" t="s">
        <v>1266</v>
      </c>
      <c r="E198" s="690"/>
      <c r="F198" s="691"/>
      <c r="G198" s="691"/>
      <c r="H198" s="691"/>
      <c r="I198" s="691"/>
      <c r="J198" s="691"/>
      <c r="K198" s="691"/>
      <c r="L198" s="691"/>
      <c r="M198" s="691"/>
      <c r="N198" s="691"/>
      <c r="O198" s="691"/>
      <c r="P198" s="691"/>
      <c r="Q198" s="691"/>
      <c r="R198" s="691"/>
      <c r="S198" s="691"/>
      <c r="T198" s="691"/>
      <c r="U198" s="691"/>
      <c r="V198" s="691"/>
      <c r="W198" s="691"/>
      <c r="X198" s="691"/>
      <c r="Y198" s="691"/>
      <c r="Z198" s="691"/>
      <c r="AA198" s="691"/>
    </row>
    <row r="199">
      <c r="A199" s="687"/>
      <c r="B199" s="813"/>
      <c r="C199" s="15"/>
      <c r="D199" s="694" t="s">
        <v>1267</v>
      </c>
      <c r="E199" s="690"/>
      <c r="F199" s="691"/>
      <c r="G199" s="691"/>
      <c r="H199" s="691"/>
      <c r="I199" s="691"/>
      <c r="J199" s="691"/>
      <c r="K199" s="691"/>
      <c r="L199" s="691"/>
      <c r="M199" s="691"/>
      <c r="N199" s="691"/>
      <c r="O199" s="691"/>
      <c r="P199" s="691"/>
      <c r="Q199" s="691"/>
      <c r="R199" s="691"/>
      <c r="S199" s="691"/>
      <c r="T199" s="691"/>
      <c r="U199" s="691"/>
      <c r="V199" s="691"/>
      <c r="W199" s="691"/>
      <c r="X199" s="691"/>
      <c r="Y199" s="691"/>
      <c r="Z199" s="691"/>
      <c r="AA199" s="691"/>
    </row>
    <row r="200">
      <c r="A200" s="687"/>
      <c r="B200" s="814" t="s">
        <v>1201</v>
      </c>
      <c r="C200" s="15"/>
      <c r="D200" s="694" t="s">
        <v>1268</v>
      </c>
      <c r="E200" s="690"/>
      <c r="F200" s="691"/>
      <c r="G200" s="691"/>
      <c r="H200" s="691"/>
      <c r="I200" s="691"/>
      <c r="J200" s="691"/>
      <c r="K200" s="691"/>
      <c r="L200" s="691"/>
      <c r="M200" s="691"/>
      <c r="N200" s="691"/>
      <c r="O200" s="691"/>
      <c r="P200" s="691"/>
      <c r="Q200" s="691"/>
      <c r="R200" s="691"/>
      <c r="S200" s="691"/>
      <c r="T200" s="691"/>
      <c r="U200" s="691"/>
      <c r="V200" s="691"/>
      <c r="W200" s="691"/>
      <c r="X200" s="691"/>
      <c r="Y200" s="691"/>
      <c r="Z200" s="691"/>
      <c r="AA200" s="691"/>
    </row>
    <row r="201">
      <c r="A201" s="687"/>
      <c r="B201" s="813"/>
      <c r="C201" s="15"/>
      <c r="D201" s="694" t="s">
        <v>1179</v>
      </c>
      <c r="E201" s="690"/>
      <c r="F201" s="691"/>
      <c r="G201" s="691"/>
      <c r="H201" s="691"/>
      <c r="I201" s="691"/>
      <c r="J201" s="691"/>
      <c r="K201" s="691"/>
      <c r="L201" s="691"/>
      <c r="M201" s="691"/>
      <c r="N201" s="691"/>
      <c r="O201" s="691"/>
      <c r="P201" s="691"/>
      <c r="Q201" s="691"/>
      <c r="R201" s="691"/>
      <c r="S201" s="691"/>
      <c r="T201" s="691"/>
      <c r="U201" s="691"/>
      <c r="V201" s="691"/>
      <c r="W201" s="691"/>
      <c r="X201" s="691"/>
      <c r="Y201" s="691"/>
      <c r="Z201" s="691"/>
      <c r="AA201" s="691"/>
    </row>
    <row r="202">
      <c r="A202" s="687"/>
      <c r="B202" s="777"/>
      <c r="C202" s="15"/>
      <c r="D202" s="777"/>
      <c r="E202" s="690"/>
      <c r="F202" s="691"/>
      <c r="G202" s="691"/>
      <c r="H202" s="691"/>
      <c r="I202" s="691"/>
      <c r="J202" s="691"/>
      <c r="K202" s="691"/>
      <c r="L202" s="691"/>
      <c r="M202" s="691"/>
      <c r="N202" s="691"/>
      <c r="O202" s="691"/>
      <c r="P202" s="691"/>
      <c r="Q202" s="691"/>
      <c r="R202" s="691"/>
      <c r="S202" s="691"/>
      <c r="T202" s="691"/>
      <c r="U202" s="691"/>
      <c r="V202" s="691"/>
      <c r="W202" s="691"/>
      <c r="X202" s="691"/>
      <c r="Y202" s="691"/>
      <c r="Z202" s="691"/>
      <c r="AA202" s="691"/>
    </row>
    <row r="203">
      <c r="A203" s="687"/>
      <c r="B203" s="815" t="s">
        <v>1110</v>
      </c>
      <c r="C203" s="15" t="s">
        <v>199</v>
      </c>
      <c r="D203" s="777" t="s">
        <v>1269</v>
      </c>
      <c r="E203" s="690"/>
      <c r="F203" s="691"/>
      <c r="G203" s="691"/>
      <c r="H203" s="691"/>
      <c r="I203" s="691"/>
      <c r="J203" s="691"/>
      <c r="K203" s="691"/>
      <c r="L203" s="691"/>
      <c r="M203" s="691"/>
      <c r="N203" s="691"/>
      <c r="O203" s="691"/>
      <c r="P203" s="691"/>
      <c r="Q203" s="691"/>
      <c r="R203" s="691"/>
      <c r="S203" s="691"/>
      <c r="T203" s="691"/>
      <c r="U203" s="691"/>
      <c r="V203" s="691"/>
      <c r="W203" s="691"/>
      <c r="X203" s="691"/>
      <c r="Y203" s="691"/>
      <c r="Z203" s="691"/>
      <c r="AA203" s="691"/>
    </row>
    <row r="204">
      <c r="A204" s="687"/>
      <c r="B204" s="815"/>
      <c r="C204" s="15"/>
      <c r="D204" s="663" t="s">
        <v>1145</v>
      </c>
      <c r="E204" s="690"/>
      <c r="F204" s="691"/>
      <c r="G204" s="691"/>
      <c r="H204" s="691"/>
      <c r="I204" s="691"/>
      <c r="J204" s="691"/>
      <c r="K204" s="691"/>
      <c r="L204" s="691"/>
      <c r="M204" s="691"/>
      <c r="N204" s="691"/>
      <c r="O204" s="691"/>
      <c r="P204" s="691"/>
      <c r="Q204" s="691"/>
      <c r="R204" s="691"/>
      <c r="S204" s="691"/>
      <c r="T204" s="691"/>
      <c r="U204" s="691"/>
      <c r="V204" s="691"/>
      <c r="W204" s="691"/>
      <c r="X204" s="691"/>
      <c r="Y204" s="691"/>
      <c r="Z204" s="691"/>
      <c r="AA204" s="691"/>
    </row>
    <row r="205">
      <c r="A205" s="687"/>
      <c r="B205" s="777"/>
      <c r="C205" s="15"/>
      <c r="D205" s="777"/>
      <c r="E205" s="690"/>
      <c r="F205" s="691"/>
      <c r="G205" s="691"/>
      <c r="H205" s="691"/>
      <c r="I205" s="691"/>
      <c r="J205" s="691"/>
      <c r="K205" s="691"/>
      <c r="L205" s="691"/>
      <c r="M205" s="691"/>
      <c r="N205" s="691"/>
      <c r="O205" s="691"/>
      <c r="P205" s="691"/>
      <c r="Q205" s="691"/>
      <c r="R205" s="691"/>
      <c r="S205" s="691"/>
      <c r="T205" s="691"/>
      <c r="U205" s="691"/>
      <c r="V205" s="691"/>
      <c r="W205" s="691"/>
      <c r="X205" s="691"/>
      <c r="Y205" s="691"/>
      <c r="Z205" s="691"/>
      <c r="AA205" s="691"/>
    </row>
    <row r="206">
      <c r="A206" s="687"/>
      <c r="B206" s="816" t="s">
        <v>1111</v>
      </c>
      <c r="C206" s="15" t="s">
        <v>199</v>
      </c>
      <c r="D206" s="777" t="s">
        <v>1270</v>
      </c>
      <c r="E206" s="690"/>
      <c r="F206" s="691"/>
      <c r="G206" s="691"/>
      <c r="H206" s="691"/>
      <c r="I206" s="691"/>
      <c r="J206" s="691"/>
      <c r="K206" s="691"/>
      <c r="L206" s="691"/>
      <c r="M206" s="691"/>
      <c r="N206" s="691"/>
      <c r="O206" s="691"/>
      <c r="P206" s="691"/>
      <c r="Q206" s="691"/>
      <c r="R206" s="691"/>
      <c r="S206" s="691"/>
      <c r="T206" s="691"/>
      <c r="U206" s="691"/>
      <c r="V206" s="691"/>
      <c r="W206" s="691"/>
      <c r="X206" s="691"/>
      <c r="Y206" s="691"/>
      <c r="Z206" s="691"/>
      <c r="AA206" s="691"/>
    </row>
    <row r="207">
      <c r="A207" s="687"/>
      <c r="B207" s="816"/>
      <c r="C207" s="15"/>
      <c r="D207" s="694" t="s">
        <v>1167</v>
      </c>
      <c r="E207" s="690"/>
      <c r="F207" s="691"/>
      <c r="G207" s="691"/>
      <c r="H207" s="691"/>
      <c r="I207" s="691"/>
      <c r="J207" s="691"/>
      <c r="K207" s="691"/>
      <c r="L207" s="691"/>
      <c r="M207" s="691"/>
      <c r="N207" s="691"/>
      <c r="O207" s="691"/>
      <c r="P207" s="691"/>
      <c r="Q207" s="691"/>
      <c r="R207" s="691"/>
      <c r="S207" s="691"/>
      <c r="T207" s="691"/>
      <c r="U207" s="691"/>
      <c r="V207" s="691"/>
      <c r="W207" s="691"/>
      <c r="X207" s="691"/>
      <c r="Y207" s="691"/>
      <c r="Z207" s="691"/>
      <c r="AA207" s="691"/>
    </row>
    <row r="208">
      <c r="A208" s="687"/>
      <c r="B208" s="777"/>
      <c r="C208" s="15"/>
      <c r="D208" s="777"/>
      <c r="E208" s="690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91"/>
    </row>
    <row r="209">
      <c r="A209" s="778" t="s">
        <v>120</v>
      </c>
      <c r="B209" s="817" t="s">
        <v>1012</v>
      </c>
      <c r="C209" s="15" t="str">
        <f>"=&gt;"</f>
        <v>=&gt;</v>
      </c>
      <c r="D209" s="777" t="s">
        <v>1271</v>
      </c>
      <c r="E209" s="690"/>
      <c r="F209" s="691"/>
      <c r="G209" s="691"/>
      <c r="H209" s="691"/>
      <c r="I209" s="691"/>
      <c r="J209" s="691"/>
      <c r="K209" s="691"/>
      <c r="L209" s="691"/>
      <c r="M209" s="691"/>
      <c r="N209" s="691"/>
      <c r="O209" s="691"/>
      <c r="P209" s="691"/>
      <c r="Q209" s="691"/>
      <c r="R209" s="691"/>
      <c r="S209" s="691"/>
      <c r="T209" s="691"/>
      <c r="U209" s="691"/>
      <c r="V209" s="691"/>
      <c r="W209" s="691"/>
      <c r="X209" s="691"/>
      <c r="Y209" s="691"/>
      <c r="Z209" s="691"/>
      <c r="AA209" s="691"/>
    </row>
    <row r="210">
      <c r="A210" s="687"/>
      <c r="B210" s="817"/>
      <c r="C210" s="15"/>
      <c r="D210" s="694" t="s">
        <v>1272</v>
      </c>
      <c r="E210" s="690"/>
      <c r="F210" s="691"/>
      <c r="G210" s="691"/>
      <c r="H210" s="691"/>
      <c r="I210" s="691"/>
      <c r="J210" s="691"/>
      <c r="K210" s="691"/>
      <c r="L210" s="691"/>
      <c r="M210" s="691"/>
      <c r="N210" s="691"/>
      <c r="O210" s="691"/>
      <c r="P210" s="691"/>
      <c r="Q210" s="691"/>
      <c r="R210" s="691"/>
      <c r="S210" s="691"/>
      <c r="T210" s="691"/>
      <c r="U210" s="691"/>
      <c r="V210" s="691"/>
      <c r="W210" s="691"/>
      <c r="X210" s="691"/>
      <c r="Y210" s="691"/>
      <c r="Z210" s="691"/>
      <c r="AA210" s="691"/>
    </row>
    <row r="211">
      <c r="A211" s="687"/>
      <c r="B211" s="817"/>
      <c r="C211" s="15"/>
      <c r="D211" s="694" t="s">
        <v>1273</v>
      </c>
      <c r="E211" s="690"/>
      <c r="F211" s="691"/>
      <c r="G211" s="691"/>
      <c r="H211" s="691"/>
      <c r="I211" s="691"/>
      <c r="J211" s="691"/>
      <c r="K211" s="691"/>
      <c r="L211" s="691"/>
      <c r="M211" s="691"/>
      <c r="N211" s="691"/>
      <c r="O211" s="691"/>
      <c r="P211" s="691"/>
      <c r="Q211" s="691"/>
      <c r="R211" s="691"/>
      <c r="S211" s="691"/>
      <c r="T211" s="691"/>
      <c r="U211" s="691"/>
      <c r="V211" s="691"/>
      <c r="W211" s="691"/>
      <c r="X211" s="691"/>
      <c r="Y211" s="691"/>
      <c r="Z211" s="691"/>
      <c r="AA211" s="691"/>
    </row>
    <row r="212">
      <c r="A212" s="687"/>
      <c r="B212" s="818" t="s">
        <v>1201</v>
      </c>
      <c r="C212" s="15"/>
      <c r="D212" s="694" t="s">
        <v>1274</v>
      </c>
      <c r="E212" s="690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91"/>
    </row>
    <row r="213">
      <c r="A213" s="687"/>
      <c r="B213" s="817"/>
      <c r="C213" s="15"/>
      <c r="D213" s="694" t="s">
        <v>1275</v>
      </c>
      <c r="E213" s="690"/>
      <c r="F213" s="691"/>
      <c r="G213" s="691"/>
      <c r="H213" s="691"/>
      <c r="I213" s="691"/>
      <c r="J213" s="691"/>
      <c r="K213" s="691"/>
      <c r="L213" s="691"/>
      <c r="M213" s="691"/>
      <c r="N213" s="691"/>
      <c r="O213" s="691"/>
      <c r="P213" s="691"/>
      <c r="Q213" s="691"/>
      <c r="R213" s="691"/>
      <c r="S213" s="691"/>
      <c r="T213" s="691"/>
      <c r="U213" s="691"/>
      <c r="V213" s="691"/>
      <c r="W213" s="691"/>
      <c r="X213" s="691"/>
      <c r="Y213" s="691"/>
      <c r="Z213" s="691"/>
      <c r="AA213" s="691"/>
    </row>
    <row r="214">
      <c r="A214" s="687"/>
      <c r="B214" s="818" t="s">
        <v>1201</v>
      </c>
      <c r="C214" s="15"/>
      <c r="D214" s="694" t="s">
        <v>1276</v>
      </c>
      <c r="E214" s="690"/>
      <c r="F214" s="691"/>
      <c r="G214" s="691"/>
      <c r="H214" s="691"/>
      <c r="I214" s="691"/>
      <c r="J214" s="691"/>
      <c r="K214" s="691"/>
      <c r="L214" s="691"/>
      <c r="M214" s="691"/>
      <c r="N214" s="691"/>
      <c r="O214" s="691"/>
      <c r="P214" s="691"/>
      <c r="Q214" s="691"/>
      <c r="R214" s="691"/>
      <c r="S214" s="691"/>
      <c r="T214" s="691"/>
      <c r="U214" s="691"/>
      <c r="V214" s="691"/>
      <c r="W214" s="691"/>
      <c r="X214" s="691"/>
      <c r="Y214" s="691"/>
      <c r="Z214" s="691"/>
      <c r="AA214" s="691"/>
    </row>
    <row r="215">
      <c r="A215" s="687"/>
      <c r="B215" s="817"/>
      <c r="C215" s="15"/>
      <c r="D215" s="694" t="s">
        <v>1178</v>
      </c>
      <c r="E215" s="690"/>
      <c r="F215" s="691"/>
      <c r="G215" s="691"/>
      <c r="H215" s="691"/>
      <c r="I215" s="691"/>
      <c r="J215" s="691"/>
      <c r="K215" s="691"/>
      <c r="L215" s="691"/>
      <c r="M215" s="691"/>
      <c r="N215" s="691"/>
      <c r="O215" s="691"/>
      <c r="P215" s="691"/>
      <c r="Q215" s="691"/>
      <c r="R215" s="691"/>
      <c r="S215" s="691"/>
      <c r="T215" s="691"/>
      <c r="U215" s="691"/>
      <c r="V215" s="691"/>
      <c r="W215" s="691"/>
      <c r="X215" s="691"/>
      <c r="Y215" s="691"/>
      <c r="Z215" s="691"/>
      <c r="AA215" s="691"/>
    </row>
    <row r="216">
      <c r="A216" s="687"/>
      <c r="B216" s="777"/>
      <c r="C216" s="15"/>
      <c r="D216" s="777"/>
      <c r="E216" s="690"/>
      <c r="F216" s="691"/>
      <c r="G216" s="691"/>
      <c r="H216" s="691"/>
      <c r="I216" s="691"/>
      <c r="J216" s="691"/>
      <c r="K216" s="691"/>
      <c r="L216" s="691"/>
      <c r="M216" s="691"/>
      <c r="N216" s="691"/>
      <c r="O216" s="691"/>
      <c r="P216" s="691"/>
      <c r="Q216" s="691"/>
      <c r="R216" s="691"/>
      <c r="S216" s="691"/>
      <c r="T216" s="691"/>
      <c r="U216" s="691"/>
      <c r="V216" s="691"/>
      <c r="W216" s="691"/>
      <c r="X216" s="691"/>
      <c r="Y216" s="691"/>
      <c r="Z216" s="691"/>
      <c r="AA216" s="691"/>
    </row>
    <row r="217">
      <c r="A217" s="778" t="s">
        <v>120</v>
      </c>
      <c r="B217" s="755" t="s">
        <v>1013</v>
      </c>
      <c r="C217" s="687" t="str">
        <f>"=&gt;"</f>
        <v>=&gt;</v>
      </c>
      <c r="D217" s="663" t="s">
        <v>1277</v>
      </c>
      <c r="E217" s="690"/>
      <c r="F217" s="691"/>
      <c r="G217" s="691"/>
      <c r="H217" s="691"/>
      <c r="I217" s="691"/>
      <c r="J217" s="691"/>
      <c r="K217" s="691"/>
      <c r="L217" s="691"/>
      <c r="M217" s="691"/>
      <c r="N217" s="691"/>
      <c r="O217" s="691"/>
      <c r="P217" s="691"/>
      <c r="Q217" s="691"/>
      <c r="R217" s="691"/>
      <c r="S217" s="691"/>
      <c r="T217" s="691"/>
      <c r="U217" s="691"/>
      <c r="V217" s="691"/>
      <c r="W217" s="691"/>
      <c r="X217" s="691"/>
      <c r="Y217" s="691"/>
      <c r="Z217" s="691"/>
      <c r="AA217" s="691"/>
    </row>
    <row r="218">
      <c r="A218" s="687"/>
      <c r="B218" s="755"/>
      <c r="C218" s="687"/>
      <c r="D218" s="663" t="s">
        <v>1278</v>
      </c>
      <c r="E218" s="690"/>
      <c r="F218" s="691"/>
      <c r="G218" s="691"/>
      <c r="H218" s="691"/>
      <c r="I218" s="691"/>
      <c r="J218" s="691"/>
      <c r="K218" s="691"/>
      <c r="L218" s="691"/>
      <c r="M218" s="691"/>
      <c r="N218" s="691"/>
      <c r="O218" s="691"/>
      <c r="P218" s="691"/>
      <c r="Q218" s="691"/>
      <c r="R218" s="691"/>
      <c r="S218" s="691"/>
      <c r="T218" s="691"/>
      <c r="U218" s="691"/>
      <c r="V218" s="691"/>
      <c r="W218" s="691"/>
      <c r="X218" s="691"/>
      <c r="Y218" s="691"/>
      <c r="Z218" s="691"/>
      <c r="AA218" s="691"/>
    </row>
    <row r="219">
      <c r="A219" s="687"/>
      <c r="B219" s="755"/>
      <c r="C219" s="687"/>
      <c r="D219" s="663" t="s">
        <v>1279</v>
      </c>
      <c r="E219" s="690"/>
      <c r="F219" s="691"/>
      <c r="G219" s="691"/>
      <c r="H219" s="691"/>
      <c r="I219" s="691"/>
      <c r="J219" s="691"/>
      <c r="K219" s="691"/>
      <c r="L219" s="691"/>
      <c r="M219" s="691"/>
      <c r="N219" s="691"/>
      <c r="O219" s="691"/>
      <c r="P219" s="691"/>
      <c r="Q219" s="691"/>
      <c r="R219" s="691"/>
      <c r="S219" s="691"/>
      <c r="T219" s="691"/>
      <c r="U219" s="691"/>
      <c r="V219" s="691"/>
      <c r="W219" s="691"/>
      <c r="X219" s="691"/>
      <c r="Y219" s="691"/>
      <c r="Z219" s="691"/>
      <c r="AA219" s="691"/>
    </row>
    <row r="220">
      <c r="A220" s="687"/>
      <c r="B220" s="819" t="s">
        <v>1201</v>
      </c>
      <c r="C220" s="687"/>
      <c r="D220" s="663" t="s">
        <v>1280</v>
      </c>
      <c r="E220" s="690"/>
      <c r="F220" s="691"/>
      <c r="G220" s="691"/>
      <c r="H220" s="691"/>
      <c r="I220" s="691"/>
      <c r="J220" s="691"/>
      <c r="K220" s="691"/>
      <c r="L220" s="691"/>
      <c r="M220" s="691"/>
      <c r="N220" s="691"/>
      <c r="O220" s="691"/>
      <c r="P220" s="691"/>
      <c r="Q220" s="691"/>
      <c r="R220" s="691"/>
      <c r="S220" s="691"/>
      <c r="T220" s="691"/>
      <c r="U220" s="691"/>
      <c r="V220" s="691"/>
      <c r="W220" s="691"/>
      <c r="X220" s="691"/>
      <c r="Y220" s="691"/>
      <c r="Z220" s="691"/>
      <c r="AA220" s="691"/>
    </row>
    <row r="221">
      <c r="A221" s="687"/>
      <c r="B221" s="755"/>
      <c r="C221" s="687"/>
      <c r="D221" s="663" t="s">
        <v>1281</v>
      </c>
      <c r="E221" s="690"/>
      <c r="F221" s="691"/>
      <c r="G221" s="691"/>
      <c r="H221" s="691"/>
      <c r="I221" s="691"/>
      <c r="J221" s="691"/>
      <c r="K221" s="691"/>
      <c r="L221" s="691"/>
      <c r="M221" s="691"/>
      <c r="N221" s="691"/>
      <c r="O221" s="691"/>
      <c r="P221" s="691"/>
      <c r="Q221" s="691"/>
      <c r="R221" s="691"/>
      <c r="S221" s="691"/>
      <c r="T221" s="691"/>
      <c r="U221" s="691"/>
      <c r="V221" s="691"/>
      <c r="W221" s="691"/>
      <c r="X221" s="691"/>
      <c r="Y221" s="691"/>
      <c r="Z221" s="691"/>
      <c r="AA221" s="691"/>
    </row>
    <row r="222">
      <c r="A222" s="687"/>
      <c r="B222" s="755"/>
      <c r="C222" s="687"/>
      <c r="D222" s="663" t="s">
        <v>1282</v>
      </c>
      <c r="E222" s="690"/>
      <c r="F222" s="691"/>
      <c r="G222" s="691"/>
      <c r="H222" s="691"/>
      <c r="I222" s="691"/>
      <c r="J222" s="691"/>
      <c r="K222" s="691"/>
      <c r="L222" s="691"/>
      <c r="M222" s="691"/>
      <c r="N222" s="691"/>
      <c r="O222" s="691"/>
      <c r="P222" s="691"/>
      <c r="Q222" s="691"/>
      <c r="R222" s="691"/>
      <c r="S222" s="691"/>
      <c r="T222" s="691"/>
      <c r="U222" s="691"/>
      <c r="V222" s="691"/>
      <c r="W222" s="691"/>
      <c r="X222" s="691"/>
      <c r="Y222" s="691"/>
      <c r="Z222" s="691"/>
      <c r="AA222" s="691"/>
    </row>
    <row r="223">
      <c r="A223" s="687"/>
      <c r="B223" s="755"/>
      <c r="C223" s="687"/>
      <c r="D223" s="663" t="s">
        <v>1283</v>
      </c>
      <c r="E223" s="690"/>
      <c r="F223" s="691"/>
      <c r="G223" s="691"/>
      <c r="H223" s="691"/>
      <c r="I223" s="691"/>
      <c r="J223" s="691"/>
      <c r="K223" s="691"/>
      <c r="L223" s="691"/>
      <c r="M223" s="691"/>
      <c r="N223" s="691"/>
      <c r="O223" s="691"/>
      <c r="P223" s="691"/>
      <c r="Q223" s="691"/>
      <c r="R223" s="691"/>
      <c r="S223" s="691"/>
      <c r="T223" s="691"/>
      <c r="U223" s="691"/>
      <c r="V223" s="691"/>
      <c r="W223" s="691"/>
      <c r="X223" s="691"/>
      <c r="Y223" s="691"/>
      <c r="Z223" s="691"/>
      <c r="AA223" s="691"/>
    </row>
    <row r="224">
      <c r="A224" s="687"/>
      <c r="B224" s="755"/>
      <c r="C224" s="687"/>
      <c r="D224" s="663" t="s">
        <v>1284</v>
      </c>
      <c r="E224" s="690"/>
      <c r="F224" s="691"/>
      <c r="G224" s="691"/>
      <c r="H224" s="691"/>
      <c r="I224" s="691"/>
      <c r="J224" s="691"/>
      <c r="K224" s="691"/>
      <c r="L224" s="691"/>
      <c r="M224" s="691"/>
      <c r="N224" s="691"/>
      <c r="O224" s="691"/>
      <c r="P224" s="691"/>
      <c r="Q224" s="691"/>
      <c r="R224" s="691"/>
      <c r="S224" s="691"/>
      <c r="T224" s="691"/>
      <c r="U224" s="691"/>
      <c r="V224" s="691"/>
      <c r="W224" s="691"/>
      <c r="X224" s="691"/>
      <c r="Y224" s="691"/>
      <c r="Z224" s="691"/>
      <c r="AA224" s="691"/>
    </row>
    <row r="225">
      <c r="A225" s="687"/>
      <c r="B225" s="755"/>
      <c r="C225" s="687"/>
      <c r="D225" s="663" t="s">
        <v>1285</v>
      </c>
      <c r="E225" s="690"/>
      <c r="F225" s="691"/>
      <c r="G225" s="691"/>
      <c r="H225" s="691"/>
      <c r="I225" s="691"/>
      <c r="J225" s="691"/>
      <c r="K225" s="691"/>
      <c r="L225" s="691"/>
      <c r="M225" s="691"/>
      <c r="N225" s="691"/>
      <c r="O225" s="691"/>
      <c r="P225" s="691"/>
      <c r="Q225" s="691"/>
      <c r="R225" s="691"/>
      <c r="S225" s="691"/>
      <c r="T225" s="691"/>
      <c r="U225" s="691"/>
      <c r="V225" s="691"/>
      <c r="W225" s="691"/>
      <c r="X225" s="691"/>
      <c r="Y225" s="691"/>
      <c r="Z225" s="691"/>
      <c r="AA225" s="691"/>
    </row>
    <row r="226">
      <c r="A226" s="687"/>
      <c r="B226" s="755"/>
      <c r="C226" s="687"/>
      <c r="D226" s="663" t="s">
        <v>1286</v>
      </c>
      <c r="E226" s="690"/>
      <c r="F226" s="691"/>
      <c r="G226" s="691"/>
      <c r="H226" s="691"/>
      <c r="I226" s="691"/>
      <c r="J226" s="691"/>
      <c r="K226" s="691"/>
      <c r="L226" s="691"/>
      <c r="M226" s="691"/>
      <c r="N226" s="691"/>
      <c r="O226" s="691"/>
      <c r="P226" s="691"/>
      <c r="Q226" s="691"/>
      <c r="R226" s="691"/>
      <c r="S226" s="691"/>
      <c r="T226" s="691"/>
      <c r="U226" s="691"/>
      <c r="V226" s="691"/>
      <c r="W226" s="691"/>
      <c r="X226" s="691"/>
      <c r="Y226" s="691"/>
      <c r="Z226" s="691"/>
      <c r="AA226" s="691"/>
    </row>
    <row r="227">
      <c r="A227" s="687"/>
      <c r="B227" s="755"/>
      <c r="C227" s="687"/>
      <c r="D227" s="663" t="s">
        <v>1180</v>
      </c>
      <c r="E227" s="690"/>
      <c r="F227" s="691"/>
      <c r="G227" s="691"/>
      <c r="H227" s="691"/>
      <c r="I227" s="691"/>
      <c r="J227" s="691"/>
      <c r="K227" s="691"/>
      <c r="L227" s="691"/>
      <c r="M227" s="691"/>
      <c r="N227" s="691"/>
      <c r="O227" s="691"/>
      <c r="P227" s="691"/>
      <c r="Q227" s="691"/>
      <c r="R227" s="691"/>
      <c r="S227" s="691"/>
      <c r="T227" s="691"/>
      <c r="U227" s="691"/>
      <c r="V227" s="691"/>
      <c r="W227" s="691"/>
      <c r="X227" s="691"/>
      <c r="Y227" s="691"/>
      <c r="Z227" s="691"/>
      <c r="AA227" s="691"/>
    </row>
    <row r="228">
      <c r="A228" s="687"/>
      <c r="B228" s="777"/>
      <c r="C228" s="15"/>
      <c r="D228" s="777"/>
      <c r="E228" s="690"/>
      <c r="F228" s="691"/>
      <c r="G228" s="691"/>
      <c r="H228" s="691"/>
      <c r="I228" s="691"/>
      <c r="J228" s="691"/>
      <c r="K228" s="691"/>
      <c r="L228" s="691"/>
      <c r="M228" s="691"/>
      <c r="N228" s="691"/>
      <c r="O228" s="691"/>
      <c r="P228" s="691"/>
      <c r="Q228" s="691"/>
      <c r="R228" s="691"/>
      <c r="S228" s="691"/>
      <c r="T228" s="691"/>
      <c r="U228" s="691"/>
      <c r="V228" s="691"/>
      <c r="W228" s="691"/>
      <c r="X228" s="691"/>
      <c r="Y228" s="691"/>
      <c r="Z228" s="691"/>
      <c r="AA228" s="691"/>
    </row>
    <row r="229">
      <c r="A229" s="687"/>
      <c r="B229" s="820" t="s">
        <v>1098</v>
      </c>
      <c r="C229" s="15" t="str">
        <f>"=&gt;"</f>
        <v>=&gt;</v>
      </c>
      <c r="D229" s="777" t="s">
        <v>1287</v>
      </c>
      <c r="E229" s="690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91"/>
    </row>
    <row r="230">
      <c r="A230" s="687"/>
      <c r="B230" s="820"/>
      <c r="C230" s="15"/>
      <c r="D230" s="694" t="s">
        <v>1163</v>
      </c>
      <c r="E230" s="690"/>
      <c r="F230" s="691"/>
      <c r="G230" s="691"/>
      <c r="H230" s="691"/>
      <c r="I230" s="691"/>
      <c r="J230" s="691"/>
      <c r="K230" s="691"/>
      <c r="L230" s="691"/>
      <c r="M230" s="691"/>
      <c r="N230" s="691"/>
      <c r="O230" s="691"/>
      <c r="P230" s="691"/>
      <c r="Q230" s="691"/>
      <c r="R230" s="691"/>
      <c r="S230" s="691"/>
      <c r="T230" s="691"/>
      <c r="U230" s="691"/>
      <c r="V230" s="691"/>
      <c r="W230" s="691"/>
      <c r="X230" s="691"/>
      <c r="Y230" s="691"/>
      <c r="Z230" s="691"/>
      <c r="AA230" s="691"/>
    </row>
    <row r="231">
      <c r="A231" s="687"/>
      <c r="B231" s="778"/>
      <c r="C231" s="687"/>
      <c r="D231" s="821"/>
      <c r="E231" s="690"/>
      <c r="F231" s="691"/>
      <c r="G231" s="691"/>
      <c r="H231" s="691"/>
      <c r="I231" s="691"/>
      <c r="J231" s="691"/>
      <c r="K231" s="691"/>
      <c r="L231" s="691"/>
      <c r="M231" s="691"/>
      <c r="N231" s="691"/>
      <c r="O231" s="691"/>
      <c r="P231" s="691"/>
      <c r="Q231" s="691"/>
      <c r="R231" s="691"/>
      <c r="S231" s="691"/>
      <c r="T231" s="691"/>
      <c r="U231" s="691"/>
      <c r="V231" s="691"/>
      <c r="W231" s="691"/>
      <c r="X231" s="691"/>
      <c r="Y231" s="691"/>
      <c r="Z231" s="691"/>
      <c r="AA231" s="691"/>
    </row>
    <row r="232">
      <c r="A232" s="687"/>
      <c r="B232" s="758" t="s">
        <v>1113</v>
      </c>
      <c r="C232" s="687" t="str">
        <f>"=&gt;"</f>
        <v>=&gt;</v>
      </c>
      <c r="D232" s="663" t="s">
        <v>1288</v>
      </c>
      <c r="E232" s="690"/>
      <c r="F232" s="691"/>
      <c r="G232" s="691"/>
      <c r="H232" s="691"/>
      <c r="I232" s="691"/>
      <c r="J232" s="691"/>
      <c r="K232" s="691"/>
      <c r="L232" s="691"/>
      <c r="M232" s="691"/>
      <c r="N232" s="691"/>
      <c r="O232" s="691"/>
      <c r="P232" s="691"/>
      <c r="Q232" s="691"/>
      <c r="R232" s="691"/>
      <c r="S232" s="691"/>
      <c r="T232" s="691"/>
      <c r="U232" s="691"/>
      <c r="V232" s="691"/>
      <c r="W232" s="691"/>
      <c r="X232" s="691"/>
      <c r="Y232" s="691"/>
      <c r="Z232" s="691"/>
      <c r="AA232" s="691"/>
    </row>
    <row r="233">
      <c r="A233" s="687"/>
      <c r="B233" s="758"/>
      <c r="C233" s="687"/>
      <c r="D233" s="694" t="s">
        <v>1163</v>
      </c>
      <c r="E233" s="690"/>
      <c r="F233" s="691"/>
      <c r="G233" s="691"/>
      <c r="H233" s="691"/>
      <c r="I233" s="691"/>
      <c r="J233" s="691"/>
      <c r="K233" s="691"/>
      <c r="L233" s="691"/>
      <c r="M233" s="691"/>
      <c r="N233" s="691"/>
      <c r="O233" s="691"/>
      <c r="P233" s="691"/>
      <c r="Q233" s="691"/>
      <c r="R233" s="691"/>
      <c r="S233" s="691"/>
      <c r="T233" s="691"/>
      <c r="U233" s="691"/>
      <c r="V233" s="691"/>
      <c r="W233" s="691"/>
      <c r="X233" s="691"/>
      <c r="Y233" s="691"/>
      <c r="Z233" s="691"/>
      <c r="AA233" s="691"/>
    </row>
  </sheetData>
  <conditionalFormatting sqref="B1:B233">
    <cfRule type="containsText" dxfId="0" priority="1" operator="containsText" text="AMBIGUOUS">
      <formula>NOT(ISERROR(SEARCH(("AMBIGUOUS"),(B1))))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0"/>
    <col customWidth="1" min="2" max="2" width="18.63"/>
    <col customWidth="1" min="3" max="3" width="3.0"/>
  </cols>
  <sheetData>
    <row r="1">
      <c r="A1" s="661">
        <f t="shared" ref="A1:A59" si="1">ROW()</f>
        <v>1</v>
      </c>
      <c r="B1" s="822" t="s">
        <v>0</v>
      </c>
      <c r="C1" s="661" t="str">
        <f t="shared" ref="C1:C8" si="2">"=&gt;"</f>
        <v>=&gt;</v>
      </c>
      <c r="D1" s="662" t="s">
        <v>1289</v>
      </c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</row>
    <row r="2">
      <c r="A2" s="661">
        <f t="shared" si="1"/>
        <v>2</v>
      </c>
      <c r="B2" s="823" t="s">
        <v>836</v>
      </c>
      <c r="C2" s="661" t="str">
        <f t="shared" si="2"/>
        <v>=&gt;</v>
      </c>
      <c r="D2" s="662" t="s">
        <v>1290</v>
      </c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</row>
    <row r="3">
      <c r="A3" s="661">
        <f t="shared" si="1"/>
        <v>3</v>
      </c>
      <c r="B3" s="824" t="s">
        <v>1078</v>
      </c>
      <c r="C3" s="661" t="str">
        <f t="shared" si="2"/>
        <v>=&gt;</v>
      </c>
      <c r="D3" s="825" t="s">
        <v>1291</v>
      </c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/>
      <c r="U3" s="664"/>
      <c r="V3" s="664"/>
      <c r="W3" s="664"/>
      <c r="X3" s="664"/>
      <c r="Y3" s="664"/>
      <c r="Z3" s="664"/>
    </row>
    <row r="4">
      <c r="A4" s="661">
        <f t="shared" si="1"/>
        <v>4</v>
      </c>
      <c r="B4" s="826" t="s">
        <v>1081</v>
      </c>
      <c r="C4" s="661" t="str">
        <f t="shared" si="2"/>
        <v>=&gt;</v>
      </c>
      <c r="D4" s="662" t="s">
        <v>1292</v>
      </c>
      <c r="E4" s="664"/>
      <c r="F4" s="664"/>
      <c r="G4" s="664"/>
      <c r="H4" s="664"/>
      <c r="I4" s="664"/>
      <c r="J4" s="664"/>
      <c r="K4" s="664"/>
      <c r="L4" s="664"/>
      <c r="M4" s="664"/>
      <c r="N4" s="664"/>
      <c r="O4" s="664"/>
      <c r="P4" s="664"/>
      <c r="Q4" s="664"/>
      <c r="R4" s="664"/>
      <c r="S4" s="664"/>
      <c r="T4" s="664"/>
      <c r="U4" s="664"/>
      <c r="V4" s="664"/>
      <c r="W4" s="664"/>
      <c r="X4" s="664"/>
      <c r="Y4" s="664"/>
      <c r="Z4" s="664"/>
    </row>
    <row r="5">
      <c r="A5" s="661">
        <f t="shared" si="1"/>
        <v>5</v>
      </c>
      <c r="B5" s="827" t="s">
        <v>1082</v>
      </c>
      <c r="C5" s="661" t="str">
        <f t="shared" si="2"/>
        <v>=&gt;</v>
      </c>
      <c r="D5" s="662" t="s">
        <v>481</v>
      </c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  <c r="Y5" s="664"/>
      <c r="Z5" s="664"/>
    </row>
    <row r="6">
      <c r="A6" s="661">
        <f t="shared" si="1"/>
        <v>6</v>
      </c>
      <c r="B6" s="828" t="s">
        <v>1083</v>
      </c>
      <c r="C6" s="661" t="str">
        <f t="shared" si="2"/>
        <v>=&gt;</v>
      </c>
      <c r="D6" s="662" t="s">
        <v>1293</v>
      </c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  <c r="Y6" s="664"/>
      <c r="Z6" s="664"/>
    </row>
    <row r="7">
      <c r="A7" s="661">
        <f t="shared" si="1"/>
        <v>7</v>
      </c>
      <c r="B7" s="829" t="s">
        <v>1084</v>
      </c>
      <c r="C7" s="661" t="str">
        <f t="shared" si="2"/>
        <v>=&gt;</v>
      </c>
      <c r="D7" s="662" t="s">
        <v>481</v>
      </c>
      <c r="E7" s="664"/>
      <c r="F7" s="664"/>
      <c r="G7" s="664"/>
      <c r="H7" s="664"/>
      <c r="I7" s="664"/>
      <c r="J7" s="664"/>
      <c r="K7" s="664"/>
      <c r="L7" s="664"/>
      <c r="M7" s="664"/>
      <c r="N7" s="664"/>
      <c r="O7" s="664"/>
      <c r="P7" s="664"/>
      <c r="Q7" s="664"/>
      <c r="R7" s="664"/>
      <c r="S7" s="664"/>
      <c r="T7" s="664"/>
      <c r="U7" s="664"/>
      <c r="V7" s="664"/>
      <c r="W7" s="664"/>
      <c r="X7" s="664"/>
      <c r="Y7" s="664"/>
      <c r="Z7" s="664"/>
    </row>
    <row r="8">
      <c r="A8" s="661">
        <f t="shared" si="1"/>
        <v>8</v>
      </c>
      <c r="B8" s="830" t="s">
        <v>1085</v>
      </c>
      <c r="C8" s="661" t="str">
        <f t="shared" si="2"/>
        <v>=&gt;</v>
      </c>
      <c r="D8" s="662" t="s">
        <v>1294</v>
      </c>
      <c r="E8" s="664"/>
      <c r="F8" s="664"/>
      <c r="G8" s="664"/>
      <c r="H8" s="664"/>
      <c r="I8" s="664"/>
      <c r="J8" s="664"/>
      <c r="K8" s="664"/>
      <c r="L8" s="664"/>
      <c r="M8" s="664"/>
      <c r="N8" s="664"/>
      <c r="O8" s="664"/>
      <c r="P8" s="664"/>
      <c r="Q8" s="664"/>
      <c r="R8" s="664"/>
      <c r="S8" s="664"/>
      <c r="T8" s="664"/>
      <c r="U8" s="664"/>
      <c r="V8" s="664"/>
      <c r="W8" s="664"/>
      <c r="X8" s="664"/>
      <c r="Y8" s="664"/>
      <c r="Z8" s="664"/>
    </row>
    <row r="9">
      <c r="A9" s="661">
        <f t="shared" si="1"/>
        <v>9</v>
      </c>
      <c r="B9" s="831" t="s">
        <v>1086</v>
      </c>
      <c r="C9" s="661" t="s">
        <v>199</v>
      </c>
      <c r="D9" s="662" t="s">
        <v>1294</v>
      </c>
      <c r="E9" s="664"/>
      <c r="F9" s="664"/>
      <c r="G9" s="664"/>
      <c r="H9" s="664"/>
      <c r="I9" s="664"/>
      <c r="J9" s="664"/>
      <c r="K9" s="664"/>
      <c r="L9" s="664"/>
      <c r="M9" s="664"/>
      <c r="N9" s="664"/>
      <c r="O9" s="664"/>
      <c r="P9" s="664"/>
      <c r="Q9" s="664"/>
      <c r="R9" s="664"/>
      <c r="S9" s="664"/>
      <c r="T9" s="664"/>
      <c r="U9" s="664"/>
      <c r="V9" s="664"/>
      <c r="W9" s="664"/>
      <c r="X9" s="664"/>
      <c r="Y9" s="664"/>
      <c r="Z9" s="664"/>
    </row>
    <row r="10">
      <c r="A10" s="661">
        <f t="shared" si="1"/>
        <v>10</v>
      </c>
      <c r="B10" s="832" t="s">
        <v>154</v>
      </c>
      <c r="C10" s="661" t="str">
        <f t="shared" ref="C10:C52" si="3">"=&gt;"</f>
        <v>=&gt;</v>
      </c>
      <c r="D10" s="662" t="s">
        <v>1295</v>
      </c>
      <c r="E10" s="664"/>
      <c r="F10" s="664"/>
      <c r="G10" s="664"/>
      <c r="H10" s="664"/>
      <c r="I10" s="664"/>
      <c r="J10" s="664"/>
      <c r="K10" s="664"/>
      <c r="L10" s="664"/>
      <c r="M10" s="664"/>
      <c r="N10" s="664"/>
      <c r="O10" s="664"/>
      <c r="P10" s="664"/>
      <c r="Q10" s="664"/>
      <c r="R10" s="664"/>
      <c r="S10" s="664"/>
      <c r="T10" s="664"/>
      <c r="U10" s="664"/>
      <c r="V10" s="664"/>
      <c r="W10" s="664"/>
      <c r="X10" s="664"/>
      <c r="Y10" s="664"/>
      <c r="Z10" s="664"/>
    </row>
    <row r="11">
      <c r="A11" s="661">
        <f t="shared" si="1"/>
        <v>11</v>
      </c>
      <c r="B11" s="833" t="s">
        <v>155</v>
      </c>
      <c r="C11" s="661" t="str">
        <f t="shared" si="3"/>
        <v>=&gt;</v>
      </c>
      <c r="D11" s="662" t="s">
        <v>1294</v>
      </c>
      <c r="E11" s="664"/>
      <c r="F11" s="664"/>
      <c r="G11" s="664"/>
      <c r="H11" s="664"/>
      <c r="I11" s="664"/>
      <c r="J11" s="664"/>
      <c r="K11" s="664"/>
      <c r="L11" s="664"/>
      <c r="M11" s="664"/>
      <c r="N11" s="664"/>
      <c r="O11" s="664"/>
      <c r="P11" s="664"/>
      <c r="Q11" s="664"/>
      <c r="R11" s="664"/>
      <c r="S11" s="664"/>
      <c r="T11" s="664"/>
      <c r="U11" s="664"/>
      <c r="V11" s="664"/>
      <c r="W11" s="664"/>
      <c r="X11" s="664"/>
      <c r="Y11" s="664"/>
      <c r="Z11" s="664"/>
    </row>
    <row r="12">
      <c r="A12" s="661">
        <f t="shared" si="1"/>
        <v>12</v>
      </c>
      <c r="B12" s="834" t="s">
        <v>1087</v>
      </c>
      <c r="C12" s="661" t="str">
        <f t="shared" si="3"/>
        <v>=&gt;</v>
      </c>
      <c r="D12" s="662" t="s">
        <v>1296</v>
      </c>
      <c r="E12" s="664"/>
      <c r="F12" s="664"/>
      <c r="G12" s="664"/>
      <c r="H12" s="664"/>
      <c r="I12" s="664"/>
      <c r="J12" s="664"/>
      <c r="K12" s="664"/>
      <c r="L12" s="664"/>
      <c r="M12" s="664"/>
      <c r="N12" s="664"/>
      <c r="O12" s="664"/>
      <c r="P12" s="664"/>
      <c r="Q12" s="664"/>
      <c r="R12" s="664"/>
      <c r="S12" s="664"/>
      <c r="T12" s="664"/>
      <c r="U12" s="664"/>
      <c r="V12" s="664"/>
      <c r="W12" s="664"/>
      <c r="X12" s="664"/>
      <c r="Y12" s="664"/>
      <c r="Z12" s="664"/>
    </row>
    <row r="13">
      <c r="A13" s="661">
        <f t="shared" si="1"/>
        <v>13</v>
      </c>
      <c r="B13" s="835" t="s">
        <v>157</v>
      </c>
      <c r="C13" s="661" t="str">
        <f t="shared" si="3"/>
        <v>=&gt;</v>
      </c>
      <c r="D13" s="662" t="s">
        <v>1297</v>
      </c>
      <c r="E13" s="664"/>
      <c r="F13" s="664"/>
      <c r="G13" s="664"/>
      <c r="H13" s="664"/>
      <c r="I13" s="664"/>
      <c r="J13" s="664"/>
      <c r="K13" s="664"/>
      <c r="L13" s="664"/>
      <c r="M13" s="664"/>
      <c r="N13" s="664"/>
      <c r="O13" s="664"/>
      <c r="P13" s="664"/>
      <c r="Q13" s="664"/>
      <c r="R13" s="664"/>
      <c r="S13" s="664"/>
      <c r="T13" s="664"/>
      <c r="U13" s="664"/>
      <c r="V13" s="664"/>
      <c r="W13" s="664"/>
      <c r="X13" s="664"/>
      <c r="Y13" s="664"/>
      <c r="Z13" s="664"/>
    </row>
    <row r="14">
      <c r="A14" s="661">
        <f t="shared" si="1"/>
        <v>14</v>
      </c>
      <c r="B14" s="836" t="s">
        <v>110</v>
      </c>
      <c r="C14" s="661" t="str">
        <f t="shared" si="3"/>
        <v>=&gt;</v>
      </c>
      <c r="D14" s="662" t="s">
        <v>1298</v>
      </c>
      <c r="E14" s="664"/>
      <c r="F14" s="664"/>
      <c r="G14" s="664"/>
      <c r="H14" s="664"/>
      <c r="I14" s="664"/>
      <c r="J14" s="664"/>
      <c r="K14" s="664"/>
      <c r="L14" s="664"/>
      <c r="M14" s="664"/>
      <c r="N14" s="664"/>
      <c r="O14" s="664"/>
      <c r="P14" s="664"/>
      <c r="Q14" s="664"/>
      <c r="R14" s="664"/>
      <c r="S14" s="664"/>
      <c r="T14" s="664"/>
      <c r="U14" s="664"/>
      <c r="V14" s="664"/>
      <c r="W14" s="664"/>
      <c r="X14" s="664"/>
      <c r="Y14" s="664"/>
      <c r="Z14" s="664"/>
    </row>
    <row r="15">
      <c r="A15" s="661">
        <f t="shared" si="1"/>
        <v>15</v>
      </c>
      <c r="B15" s="837" t="s">
        <v>1088</v>
      </c>
      <c r="C15" s="661" t="str">
        <f t="shared" si="3"/>
        <v>=&gt;</v>
      </c>
      <c r="D15" s="662" t="s">
        <v>1299</v>
      </c>
      <c r="E15" s="664"/>
      <c r="F15" s="664"/>
      <c r="G15" s="664"/>
      <c r="H15" s="664"/>
      <c r="I15" s="664"/>
      <c r="J15" s="664"/>
      <c r="K15" s="664"/>
      <c r="L15" s="664"/>
      <c r="M15" s="664"/>
      <c r="N15" s="664"/>
      <c r="O15" s="664"/>
      <c r="P15" s="664"/>
      <c r="Q15" s="664"/>
      <c r="R15" s="664"/>
      <c r="S15" s="664"/>
      <c r="T15" s="664"/>
      <c r="U15" s="664"/>
      <c r="V15" s="664"/>
      <c r="W15" s="664"/>
      <c r="X15" s="664"/>
      <c r="Y15" s="664"/>
      <c r="Z15" s="664"/>
    </row>
    <row r="16">
      <c r="A16" s="661">
        <f t="shared" si="1"/>
        <v>16</v>
      </c>
      <c r="B16" s="838" t="s">
        <v>1089</v>
      </c>
      <c r="C16" s="661" t="str">
        <f t="shared" si="3"/>
        <v>=&gt;</v>
      </c>
      <c r="D16" s="662" t="s">
        <v>1300</v>
      </c>
      <c r="E16" s="664"/>
      <c r="F16" s="664"/>
      <c r="G16" s="664"/>
      <c r="H16" s="664"/>
      <c r="I16" s="664"/>
      <c r="J16" s="664"/>
      <c r="K16" s="664"/>
      <c r="L16" s="664"/>
      <c r="M16" s="664"/>
      <c r="N16" s="664"/>
      <c r="O16" s="664"/>
      <c r="P16" s="664"/>
      <c r="Q16" s="664"/>
      <c r="R16" s="664"/>
      <c r="S16" s="664"/>
      <c r="T16" s="664"/>
      <c r="U16" s="664"/>
      <c r="V16" s="664"/>
      <c r="W16" s="664"/>
      <c r="X16" s="664"/>
      <c r="Y16" s="664"/>
      <c r="Z16" s="664"/>
    </row>
    <row r="17">
      <c r="A17" s="661">
        <f t="shared" si="1"/>
        <v>17</v>
      </c>
      <c r="B17" s="839" t="s">
        <v>1090</v>
      </c>
      <c r="C17" s="661" t="str">
        <f t="shared" si="3"/>
        <v>=&gt;</v>
      </c>
      <c r="D17" s="662" t="s">
        <v>1298</v>
      </c>
      <c r="E17" s="664"/>
      <c r="F17" s="664"/>
      <c r="G17" s="664"/>
      <c r="H17" s="664"/>
      <c r="I17" s="664"/>
      <c r="J17" s="664"/>
      <c r="K17" s="664"/>
      <c r="L17" s="664"/>
      <c r="M17" s="664"/>
      <c r="N17" s="664"/>
      <c r="O17" s="664"/>
      <c r="P17" s="664"/>
      <c r="Q17" s="664"/>
      <c r="R17" s="664"/>
      <c r="S17" s="664"/>
      <c r="T17" s="664"/>
      <c r="U17" s="664"/>
      <c r="V17" s="664"/>
      <c r="W17" s="664"/>
      <c r="X17" s="664"/>
      <c r="Y17" s="664"/>
      <c r="Z17" s="664"/>
    </row>
    <row r="18">
      <c r="A18" s="661">
        <f t="shared" si="1"/>
        <v>18</v>
      </c>
      <c r="B18" s="840" t="s">
        <v>1091</v>
      </c>
      <c r="C18" s="661" t="str">
        <f t="shared" si="3"/>
        <v>=&gt;</v>
      </c>
      <c r="D18" s="662" t="s">
        <v>1301</v>
      </c>
      <c r="E18" s="664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4"/>
      <c r="Q18" s="664"/>
      <c r="R18" s="664"/>
      <c r="S18" s="664"/>
      <c r="T18" s="664"/>
      <c r="U18" s="664"/>
      <c r="V18" s="664"/>
      <c r="W18" s="664"/>
      <c r="X18" s="664"/>
      <c r="Y18" s="664"/>
      <c r="Z18" s="664"/>
    </row>
    <row r="19">
      <c r="A19" s="661">
        <f t="shared" si="1"/>
        <v>19</v>
      </c>
      <c r="B19" s="841" t="s">
        <v>1092</v>
      </c>
      <c r="C19" s="661" t="str">
        <f t="shared" si="3"/>
        <v>=&gt;</v>
      </c>
      <c r="D19" s="662" t="s">
        <v>1300</v>
      </c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</row>
    <row r="20">
      <c r="A20" s="661">
        <f t="shared" si="1"/>
        <v>20</v>
      </c>
      <c r="B20" s="842" t="s">
        <v>1093</v>
      </c>
      <c r="C20" s="661" t="str">
        <f t="shared" si="3"/>
        <v>=&gt;</v>
      </c>
      <c r="D20" s="662" t="s">
        <v>1302</v>
      </c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</row>
    <row r="21">
      <c r="A21" s="661">
        <f t="shared" si="1"/>
        <v>21</v>
      </c>
      <c r="B21" s="843" t="s">
        <v>1094</v>
      </c>
      <c r="C21" s="661" t="str">
        <f t="shared" si="3"/>
        <v>=&gt;</v>
      </c>
      <c r="D21" s="662" t="s">
        <v>1301</v>
      </c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</row>
    <row r="22">
      <c r="A22" s="661">
        <f t="shared" si="1"/>
        <v>22</v>
      </c>
      <c r="B22" s="844" t="s">
        <v>1095</v>
      </c>
      <c r="C22" s="661" t="str">
        <f t="shared" si="3"/>
        <v>=&gt;</v>
      </c>
      <c r="D22" s="662" t="s">
        <v>1302</v>
      </c>
      <c r="E22" s="664"/>
      <c r="F22" s="664"/>
      <c r="G22" s="664"/>
      <c r="H22" s="664"/>
      <c r="I22" s="664"/>
      <c r="J22" s="664"/>
      <c r="K22" s="664"/>
      <c r="L22" s="664"/>
      <c r="M22" s="664"/>
      <c r="N22" s="664"/>
      <c r="O22" s="664"/>
      <c r="P22" s="664"/>
      <c r="Q22" s="664"/>
      <c r="R22" s="664"/>
      <c r="S22" s="664"/>
      <c r="T22" s="664"/>
      <c r="U22" s="664"/>
      <c r="V22" s="664"/>
      <c r="W22" s="664"/>
      <c r="X22" s="664"/>
      <c r="Y22" s="664"/>
      <c r="Z22" s="664"/>
    </row>
    <row r="23">
      <c r="A23" s="661">
        <f t="shared" si="1"/>
        <v>23</v>
      </c>
      <c r="B23" s="845" t="s">
        <v>1098</v>
      </c>
      <c r="C23" s="661" t="str">
        <f t="shared" si="3"/>
        <v>=&gt;</v>
      </c>
      <c r="D23" s="662" t="s">
        <v>1303</v>
      </c>
      <c r="E23" s="664"/>
      <c r="F23" s="664"/>
      <c r="G23" s="664"/>
      <c r="H23" s="664"/>
      <c r="I23" s="664"/>
      <c r="J23" s="664"/>
      <c r="K23" s="664"/>
      <c r="L23" s="664"/>
      <c r="M23" s="664"/>
      <c r="N23" s="664"/>
      <c r="O23" s="664"/>
      <c r="P23" s="664"/>
      <c r="Q23" s="664"/>
      <c r="R23" s="664"/>
      <c r="S23" s="664"/>
      <c r="T23" s="664"/>
      <c r="U23" s="664"/>
      <c r="V23" s="664"/>
      <c r="W23" s="664"/>
      <c r="X23" s="664"/>
      <c r="Y23" s="664"/>
      <c r="Z23" s="664"/>
    </row>
    <row r="24">
      <c r="A24" s="661">
        <f t="shared" si="1"/>
        <v>24</v>
      </c>
      <c r="B24" s="846" t="s">
        <v>1026</v>
      </c>
      <c r="C24" s="661" t="str">
        <f t="shared" si="3"/>
        <v>=&gt;</v>
      </c>
      <c r="D24" s="662" t="s">
        <v>600</v>
      </c>
      <c r="E24" s="664"/>
      <c r="F24" s="664"/>
      <c r="G24" s="664"/>
      <c r="H24" s="664"/>
      <c r="I24" s="664"/>
      <c r="J24" s="664"/>
      <c r="K24" s="664"/>
      <c r="L24" s="664"/>
      <c r="M24" s="664"/>
      <c r="N24" s="664"/>
      <c r="O24" s="664"/>
      <c r="P24" s="664"/>
      <c r="Q24" s="664"/>
      <c r="R24" s="664"/>
      <c r="S24" s="664"/>
      <c r="T24" s="664"/>
      <c r="U24" s="664"/>
      <c r="V24" s="664"/>
      <c r="W24" s="664"/>
      <c r="X24" s="664"/>
      <c r="Y24" s="664"/>
      <c r="Z24" s="664"/>
    </row>
    <row r="25">
      <c r="A25" s="661">
        <f t="shared" si="1"/>
        <v>25</v>
      </c>
      <c r="B25" s="847" t="s">
        <v>1025</v>
      </c>
      <c r="C25" s="661" t="str">
        <f t="shared" si="3"/>
        <v>=&gt;</v>
      </c>
      <c r="D25" s="662" t="s">
        <v>1303</v>
      </c>
      <c r="E25" s="664"/>
      <c r="F25" s="664"/>
      <c r="G25" s="664"/>
      <c r="H25" s="664"/>
      <c r="I25" s="664"/>
      <c r="J25" s="664"/>
      <c r="K25" s="664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  <c r="W25" s="664"/>
      <c r="X25" s="664"/>
      <c r="Y25" s="664"/>
      <c r="Z25" s="664"/>
    </row>
    <row r="26">
      <c r="A26" s="661">
        <f t="shared" si="1"/>
        <v>26</v>
      </c>
      <c r="B26" s="848" t="s">
        <v>895</v>
      </c>
      <c r="C26" s="661" t="str">
        <f t="shared" si="3"/>
        <v>=&gt;</v>
      </c>
      <c r="D26" s="662" t="s">
        <v>551</v>
      </c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</row>
    <row r="27">
      <c r="A27" s="661">
        <f t="shared" si="1"/>
        <v>27</v>
      </c>
      <c r="B27" s="849" t="s">
        <v>28</v>
      </c>
      <c r="C27" s="661" t="str">
        <f t="shared" si="3"/>
        <v>=&gt;</v>
      </c>
      <c r="D27" s="662" t="s">
        <v>1304</v>
      </c>
      <c r="E27" s="664"/>
      <c r="F27" s="664"/>
      <c r="G27" s="664"/>
      <c r="H27" s="664"/>
      <c r="I27" s="664"/>
      <c r="J27" s="664"/>
      <c r="K27" s="664"/>
      <c r="L27" s="664"/>
      <c r="M27" s="664"/>
      <c r="N27" s="664"/>
      <c r="O27" s="664"/>
      <c r="P27" s="664"/>
      <c r="Q27" s="664"/>
      <c r="R27" s="664"/>
      <c r="S27" s="664"/>
      <c r="T27" s="664"/>
      <c r="U27" s="664"/>
      <c r="V27" s="664"/>
      <c r="W27" s="664"/>
      <c r="X27" s="664"/>
      <c r="Y27" s="664"/>
      <c r="Z27" s="664"/>
    </row>
    <row r="28">
      <c r="A28" s="661">
        <f t="shared" si="1"/>
        <v>28</v>
      </c>
      <c r="B28" s="850" t="s">
        <v>896</v>
      </c>
      <c r="C28" s="661" t="str">
        <f t="shared" si="3"/>
        <v>=&gt;</v>
      </c>
      <c r="D28" s="662" t="s">
        <v>551</v>
      </c>
      <c r="E28" s="664"/>
      <c r="F28" s="664"/>
      <c r="G28" s="664"/>
      <c r="H28" s="664"/>
      <c r="I28" s="664"/>
      <c r="J28" s="664"/>
      <c r="K28" s="664"/>
      <c r="L28" s="664"/>
      <c r="M28" s="664"/>
      <c r="N28" s="664"/>
      <c r="O28" s="664"/>
      <c r="P28" s="664"/>
      <c r="Q28" s="664"/>
      <c r="R28" s="664"/>
      <c r="S28" s="664"/>
      <c r="T28" s="664"/>
      <c r="U28" s="664"/>
      <c r="V28" s="664"/>
      <c r="W28" s="664"/>
      <c r="X28" s="664"/>
      <c r="Y28" s="664"/>
      <c r="Z28" s="664"/>
    </row>
    <row r="29">
      <c r="A29" s="661">
        <f t="shared" si="1"/>
        <v>29</v>
      </c>
      <c r="B29" s="851" t="s">
        <v>1079</v>
      </c>
      <c r="C29" s="661" t="str">
        <f t="shared" si="3"/>
        <v>=&gt;</v>
      </c>
      <c r="D29" s="662" t="s">
        <v>1305</v>
      </c>
      <c r="E29" s="664"/>
      <c r="F29" s="664"/>
      <c r="G29" s="664"/>
      <c r="H29" s="664"/>
      <c r="I29" s="664"/>
      <c r="J29" s="664"/>
      <c r="K29" s="664"/>
      <c r="L29" s="664"/>
      <c r="M29" s="664"/>
      <c r="N29" s="664"/>
      <c r="O29" s="664"/>
      <c r="P29" s="664"/>
      <c r="Q29" s="664"/>
      <c r="R29" s="664"/>
      <c r="S29" s="664"/>
      <c r="T29" s="664"/>
      <c r="U29" s="664"/>
      <c r="V29" s="664"/>
      <c r="W29" s="664"/>
      <c r="X29" s="664"/>
      <c r="Y29" s="664"/>
      <c r="Z29" s="664"/>
    </row>
    <row r="30">
      <c r="A30" s="661">
        <f t="shared" si="1"/>
        <v>30</v>
      </c>
      <c r="B30" s="852" t="s">
        <v>962</v>
      </c>
      <c r="C30" s="661" t="str">
        <f t="shared" si="3"/>
        <v>=&gt;</v>
      </c>
      <c r="D30" s="662" t="s">
        <v>1306</v>
      </c>
      <c r="E30" s="664"/>
      <c r="F30" s="664"/>
      <c r="G30" s="664"/>
      <c r="H30" s="664"/>
      <c r="I30" s="664"/>
      <c r="J30" s="664"/>
      <c r="K30" s="664"/>
      <c r="L30" s="664"/>
      <c r="M30" s="664"/>
      <c r="N30" s="664"/>
      <c r="O30" s="664"/>
      <c r="P30" s="664"/>
      <c r="Q30" s="664"/>
      <c r="R30" s="664"/>
      <c r="S30" s="664"/>
      <c r="T30" s="664"/>
      <c r="U30" s="664"/>
      <c r="V30" s="664"/>
      <c r="W30" s="664"/>
      <c r="X30" s="664"/>
      <c r="Y30" s="664"/>
      <c r="Z30" s="664"/>
    </row>
    <row r="31">
      <c r="A31" s="661">
        <f t="shared" si="1"/>
        <v>31</v>
      </c>
      <c r="B31" s="853" t="s">
        <v>963</v>
      </c>
      <c r="C31" s="661" t="str">
        <f t="shared" si="3"/>
        <v>=&gt;</v>
      </c>
      <c r="D31" s="662" t="s">
        <v>481</v>
      </c>
      <c r="E31" s="664"/>
      <c r="F31" s="664"/>
      <c r="G31" s="664"/>
      <c r="H31" s="664"/>
      <c r="I31" s="664"/>
      <c r="J31" s="664"/>
      <c r="K31" s="664"/>
      <c r="L31" s="664"/>
      <c r="M31" s="664"/>
      <c r="N31" s="664"/>
      <c r="O31" s="664"/>
      <c r="P31" s="664"/>
      <c r="Q31" s="664"/>
      <c r="R31" s="664"/>
      <c r="S31" s="664"/>
      <c r="T31" s="664"/>
      <c r="U31" s="664"/>
      <c r="V31" s="664"/>
      <c r="W31" s="664"/>
      <c r="X31" s="664"/>
      <c r="Y31" s="664"/>
      <c r="Z31" s="664"/>
    </row>
    <row r="32">
      <c r="A32" s="661">
        <f t="shared" si="1"/>
        <v>32</v>
      </c>
      <c r="B32" s="854" t="s">
        <v>1101</v>
      </c>
      <c r="C32" s="661" t="str">
        <f t="shared" si="3"/>
        <v>=&gt;</v>
      </c>
      <c r="D32" s="663" t="s">
        <v>1293</v>
      </c>
      <c r="E32" s="664"/>
      <c r="F32" s="664"/>
      <c r="G32" s="664"/>
      <c r="H32" s="664"/>
      <c r="I32" s="664"/>
      <c r="J32" s="664"/>
      <c r="K32" s="664"/>
      <c r="L32" s="664"/>
      <c r="M32" s="664"/>
      <c r="N32" s="664"/>
      <c r="O32" s="664"/>
      <c r="P32" s="664"/>
      <c r="Q32" s="664"/>
      <c r="R32" s="664"/>
      <c r="S32" s="664"/>
      <c r="T32" s="664"/>
      <c r="U32" s="664"/>
      <c r="V32" s="664"/>
      <c r="W32" s="664"/>
      <c r="X32" s="664"/>
      <c r="Y32" s="664"/>
      <c r="Z32" s="664"/>
    </row>
    <row r="33">
      <c r="A33" s="661">
        <f t="shared" si="1"/>
        <v>33</v>
      </c>
      <c r="B33" s="855" t="s">
        <v>966</v>
      </c>
      <c r="C33" s="661" t="str">
        <f t="shared" si="3"/>
        <v>=&gt;</v>
      </c>
      <c r="D33" s="662" t="s">
        <v>481</v>
      </c>
      <c r="E33" s="664"/>
      <c r="F33" s="664"/>
      <c r="G33" s="664"/>
      <c r="H33" s="664"/>
      <c r="I33" s="664"/>
      <c r="J33" s="664"/>
      <c r="K33" s="664"/>
      <c r="L33" s="664"/>
      <c r="M33" s="664"/>
      <c r="N33" s="664"/>
      <c r="O33" s="664"/>
      <c r="P33" s="664"/>
      <c r="Q33" s="664"/>
      <c r="R33" s="664"/>
      <c r="S33" s="664"/>
      <c r="T33" s="664"/>
      <c r="U33" s="664"/>
      <c r="V33" s="664"/>
      <c r="W33" s="664"/>
      <c r="X33" s="664"/>
      <c r="Y33" s="664"/>
      <c r="Z33" s="664"/>
    </row>
    <row r="34">
      <c r="A34" s="661">
        <f t="shared" si="1"/>
        <v>34</v>
      </c>
      <c r="B34" s="856" t="s">
        <v>964</v>
      </c>
      <c r="C34" s="661" t="str">
        <f t="shared" si="3"/>
        <v>=&gt;</v>
      </c>
      <c r="D34" s="662" t="s">
        <v>1306</v>
      </c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</row>
    <row r="35">
      <c r="A35" s="661">
        <f t="shared" si="1"/>
        <v>35</v>
      </c>
      <c r="B35" s="857" t="s">
        <v>1102</v>
      </c>
      <c r="C35" s="661" t="str">
        <f t="shared" si="3"/>
        <v>=&gt;</v>
      </c>
      <c r="D35" s="662" t="s">
        <v>1307</v>
      </c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  <c r="Z35" s="664"/>
    </row>
    <row r="36">
      <c r="A36" s="661">
        <f t="shared" si="1"/>
        <v>36</v>
      </c>
      <c r="B36" s="858" t="s">
        <v>1099</v>
      </c>
      <c r="C36" s="661" t="str">
        <f t="shared" si="3"/>
        <v>=&gt;</v>
      </c>
      <c r="D36" s="662" t="s">
        <v>1308</v>
      </c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</row>
    <row r="37">
      <c r="A37" s="661">
        <f t="shared" si="1"/>
        <v>37</v>
      </c>
      <c r="B37" s="859" t="s">
        <v>894</v>
      </c>
      <c r="C37" s="661" t="str">
        <f t="shared" si="3"/>
        <v>=&gt;</v>
      </c>
      <c r="D37" s="662" t="s">
        <v>1309</v>
      </c>
      <c r="E37" s="664"/>
      <c r="F37" s="664"/>
      <c r="G37" s="664"/>
      <c r="H37" s="664"/>
      <c r="I37" s="664"/>
      <c r="J37" s="664"/>
      <c r="K37" s="664"/>
      <c r="L37" s="664"/>
      <c r="M37" s="664"/>
      <c r="N37" s="664"/>
      <c r="O37" s="664"/>
      <c r="P37" s="664"/>
      <c r="Q37" s="664"/>
      <c r="R37" s="664"/>
      <c r="S37" s="664"/>
      <c r="T37" s="664"/>
      <c r="U37" s="664"/>
      <c r="V37" s="664"/>
      <c r="W37" s="664"/>
      <c r="X37" s="664"/>
      <c r="Y37" s="664"/>
      <c r="Z37" s="664"/>
    </row>
    <row r="38">
      <c r="A38" s="661">
        <f t="shared" si="1"/>
        <v>38</v>
      </c>
      <c r="B38" s="860" t="s">
        <v>1103</v>
      </c>
      <c r="C38" s="661" t="str">
        <f t="shared" si="3"/>
        <v>=&gt;</v>
      </c>
      <c r="D38" s="662" t="s">
        <v>1310</v>
      </c>
      <c r="E38" s="664"/>
      <c r="F38" s="664"/>
      <c r="G38" s="664"/>
      <c r="H38" s="664"/>
      <c r="I38" s="664"/>
      <c r="J38" s="664"/>
      <c r="K38" s="664"/>
      <c r="L38" s="664"/>
      <c r="M38" s="664"/>
      <c r="N38" s="664"/>
      <c r="O38" s="664"/>
      <c r="P38" s="664"/>
      <c r="Q38" s="664"/>
      <c r="R38" s="664"/>
      <c r="S38" s="664"/>
      <c r="T38" s="664"/>
      <c r="U38" s="664"/>
      <c r="V38" s="664"/>
      <c r="W38" s="664"/>
      <c r="X38" s="664"/>
      <c r="Y38" s="664"/>
      <c r="Z38" s="664"/>
    </row>
    <row r="39">
      <c r="A39" s="661">
        <f t="shared" si="1"/>
        <v>39</v>
      </c>
      <c r="B39" s="861" t="s">
        <v>901</v>
      </c>
      <c r="C39" s="661" t="str">
        <f t="shared" si="3"/>
        <v>=&gt;</v>
      </c>
      <c r="D39" s="662" t="s">
        <v>1310</v>
      </c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</row>
    <row r="40">
      <c r="A40" s="661">
        <f t="shared" si="1"/>
        <v>40</v>
      </c>
      <c r="B40" s="862" t="s">
        <v>1097</v>
      </c>
      <c r="C40" s="661" t="str">
        <f t="shared" si="3"/>
        <v>=&gt;</v>
      </c>
      <c r="D40" s="662" t="s">
        <v>1302</v>
      </c>
      <c r="E40" s="664"/>
      <c r="F40" s="664"/>
      <c r="G40" s="664"/>
      <c r="H40" s="664"/>
      <c r="I40" s="664"/>
      <c r="J40" s="664"/>
      <c r="K40" s="664"/>
      <c r="L40" s="664"/>
      <c r="M40" s="664"/>
      <c r="N40" s="664"/>
      <c r="O40" s="664"/>
      <c r="P40" s="664"/>
      <c r="Q40" s="664"/>
      <c r="R40" s="664"/>
      <c r="S40" s="664"/>
      <c r="T40" s="664"/>
      <c r="U40" s="664"/>
      <c r="V40" s="664"/>
      <c r="W40" s="664"/>
      <c r="X40" s="664"/>
      <c r="Y40" s="664"/>
      <c r="Z40" s="664"/>
    </row>
    <row r="41">
      <c r="A41" s="661">
        <f t="shared" si="1"/>
        <v>41</v>
      </c>
      <c r="B41" s="863" t="s">
        <v>892</v>
      </c>
      <c r="C41" s="661" t="str">
        <f t="shared" si="3"/>
        <v>=&gt;</v>
      </c>
      <c r="D41" s="662" t="s">
        <v>1311</v>
      </c>
      <c r="E41" s="664"/>
      <c r="F41" s="664"/>
      <c r="G41" s="664"/>
      <c r="H41" s="664"/>
      <c r="I41" s="664"/>
      <c r="J41" s="664"/>
      <c r="K41" s="664"/>
      <c r="L41" s="664"/>
      <c r="M41" s="664"/>
      <c r="N41" s="664"/>
      <c r="O41" s="664"/>
      <c r="P41" s="664"/>
      <c r="Q41" s="664"/>
      <c r="R41" s="664"/>
      <c r="S41" s="664"/>
      <c r="T41" s="664"/>
      <c r="U41" s="664"/>
      <c r="V41" s="664"/>
      <c r="W41" s="664"/>
      <c r="X41" s="664"/>
      <c r="Y41" s="664"/>
      <c r="Z41" s="664"/>
    </row>
    <row r="42">
      <c r="A42" s="661">
        <f t="shared" si="1"/>
        <v>42</v>
      </c>
      <c r="B42" s="864" t="s">
        <v>1104</v>
      </c>
      <c r="C42" s="661" t="str">
        <f t="shared" si="3"/>
        <v>=&gt;</v>
      </c>
      <c r="D42" s="662" t="s">
        <v>1311</v>
      </c>
      <c r="E42" s="664"/>
      <c r="F42" s="664"/>
      <c r="G42" s="664"/>
      <c r="H42" s="664"/>
      <c r="I42" s="664"/>
      <c r="J42" s="664"/>
      <c r="K42" s="664"/>
      <c r="L42" s="664"/>
      <c r="M42" s="664"/>
      <c r="N42" s="664"/>
      <c r="O42" s="664"/>
      <c r="P42" s="664"/>
      <c r="Q42" s="664"/>
      <c r="R42" s="664"/>
      <c r="S42" s="664"/>
      <c r="T42" s="664"/>
      <c r="U42" s="664"/>
      <c r="V42" s="664"/>
      <c r="W42" s="664"/>
      <c r="X42" s="664"/>
      <c r="Y42" s="664"/>
      <c r="Z42" s="664"/>
    </row>
    <row r="43">
      <c r="A43" s="661">
        <f t="shared" si="1"/>
        <v>43</v>
      </c>
      <c r="B43" s="865" t="s">
        <v>848</v>
      </c>
      <c r="C43" s="661" t="str">
        <f t="shared" si="3"/>
        <v>=&gt;</v>
      </c>
      <c r="D43" s="662" t="s">
        <v>1142</v>
      </c>
      <c r="E43" s="664"/>
      <c r="F43" s="664"/>
      <c r="G43" s="664"/>
      <c r="H43" s="664"/>
      <c r="I43" s="664"/>
      <c r="J43" s="664"/>
      <c r="K43" s="664"/>
      <c r="L43" s="664"/>
      <c r="M43" s="664"/>
      <c r="N43" s="664"/>
      <c r="O43" s="664"/>
      <c r="P43" s="664"/>
      <c r="Q43" s="664"/>
      <c r="R43" s="664"/>
      <c r="S43" s="664"/>
      <c r="T43" s="664"/>
      <c r="U43" s="664"/>
      <c r="V43" s="664"/>
      <c r="W43" s="664"/>
      <c r="X43" s="664"/>
      <c r="Y43" s="664"/>
      <c r="Z43" s="664"/>
    </row>
    <row r="44">
      <c r="A44" s="661">
        <f t="shared" si="1"/>
        <v>44</v>
      </c>
      <c r="B44" s="866" t="s">
        <v>1000</v>
      </c>
      <c r="C44" s="661" t="str">
        <f t="shared" si="3"/>
        <v>=&gt;</v>
      </c>
      <c r="D44" s="662" t="s">
        <v>1310</v>
      </c>
      <c r="E44" s="664"/>
      <c r="F44" s="664"/>
      <c r="G44" s="664"/>
      <c r="H44" s="664"/>
      <c r="I44" s="664"/>
      <c r="J44" s="664"/>
      <c r="K44" s="664"/>
      <c r="L44" s="664"/>
      <c r="M44" s="664"/>
      <c r="N44" s="664"/>
      <c r="O44" s="664"/>
      <c r="P44" s="664"/>
      <c r="Q44" s="664"/>
      <c r="R44" s="664"/>
      <c r="S44" s="664"/>
      <c r="T44" s="664"/>
      <c r="U44" s="664"/>
      <c r="V44" s="664"/>
      <c r="W44" s="664"/>
      <c r="X44" s="664"/>
      <c r="Y44" s="664"/>
      <c r="Z44" s="664"/>
    </row>
    <row r="45">
      <c r="A45" s="661">
        <f t="shared" si="1"/>
        <v>45</v>
      </c>
      <c r="B45" s="867" t="s">
        <v>1002</v>
      </c>
      <c r="C45" s="661" t="str">
        <f t="shared" si="3"/>
        <v>=&gt;</v>
      </c>
      <c r="D45" s="662" t="s">
        <v>1310</v>
      </c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</row>
    <row r="46">
      <c r="A46" s="661">
        <f t="shared" si="1"/>
        <v>46</v>
      </c>
      <c r="B46" s="868" t="s">
        <v>1080</v>
      </c>
      <c r="C46" s="661" t="str">
        <f t="shared" si="3"/>
        <v>=&gt;</v>
      </c>
      <c r="D46" s="662" t="s">
        <v>1312</v>
      </c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</row>
    <row r="47">
      <c r="A47" s="661">
        <f t="shared" si="1"/>
        <v>47</v>
      </c>
      <c r="B47" s="869" t="s">
        <v>1004</v>
      </c>
      <c r="C47" s="661" t="str">
        <f t="shared" si="3"/>
        <v>=&gt;</v>
      </c>
      <c r="D47" s="662" t="s">
        <v>481</v>
      </c>
      <c r="E47" s="664"/>
      <c r="F47" s="664"/>
      <c r="G47" s="664"/>
      <c r="H47" s="664"/>
      <c r="I47" s="664"/>
      <c r="J47" s="664"/>
      <c r="K47" s="664"/>
      <c r="L47" s="664"/>
      <c r="M47" s="664"/>
      <c r="N47" s="664"/>
      <c r="O47" s="664"/>
      <c r="P47" s="664"/>
      <c r="Q47" s="664"/>
      <c r="R47" s="664"/>
      <c r="S47" s="664"/>
      <c r="T47" s="664"/>
      <c r="U47" s="664"/>
      <c r="V47" s="664"/>
      <c r="W47" s="664"/>
      <c r="X47" s="664"/>
      <c r="Y47" s="664"/>
      <c r="Z47" s="664"/>
    </row>
    <row r="48">
      <c r="A48" s="661">
        <f t="shared" si="1"/>
        <v>48</v>
      </c>
      <c r="B48" s="870" t="s">
        <v>1105</v>
      </c>
      <c r="C48" s="661" t="str">
        <f t="shared" si="3"/>
        <v>=&gt;</v>
      </c>
      <c r="D48" s="663" t="s">
        <v>1293</v>
      </c>
      <c r="E48" s="664"/>
      <c r="F48" s="664"/>
      <c r="G48" s="664"/>
      <c r="H48" s="664"/>
      <c r="I48" s="664"/>
      <c r="J48" s="664"/>
      <c r="K48" s="664"/>
      <c r="L48" s="664"/>
      <c r="M48" s="664"/>
      <c r="N48" s="664"/>
      <c r="O48" s="664"/>
      <c r="P48" s="664"/>
      <c r="Q48" s="664"/>
      <c r="R48" s="664"/>
      <c r="S48" s="664"/>
      <c r="T48" s="664"/>
      <c r="U48" s="664"/>
      <c r="V48" s="664"/>
      <c r="W48" s="664"/>
      <c r="X48" s="664"/>
      <c r="Y48" s="664"/>
      <c r="Z48" s="664"/>
    </row>
    <row r="49">
      <c r="A49" s="661">
        <f t="shared" si="1"/>
        <v>49</v>
      </c>
      <c r="B49" s="871" t="s">
        <v>1006</v>
      </c>
      <c r="C49" s="661" t="str">
        <f t="shared" si="3"/>
        <v>=&gt;</v>
      </c>
      <c r="D49" s="662" t="s">
        <v>481</v>
      </c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</row>
    <row r="50">
      <c r="A50" s="661">
        <f t="shared" si="1"/>
        <v>50</v>
      </c>
      <c r="B50" s="872" t="s">
        <v>1106</v>
      </c>
      <c r="C50" s="661" t="str">
        <f t="shared" si="3"/>
        <v>=&gt;</v>
      </c>
      <c r="D50" s="662" t="s">
        <v>1313</v>
      </c>
      <c r="E50" s="664"/>
      <c r="F50" s="664"/>
      <c r="G50" s="664"/>
      <c r="H50" s="664"/>
      <c r="I50" s="664"/>
      <c r="J50" s="664"/>
      <c r="K50" s="664"/>
      <c r="L50" s="664"/>
      <c r="M50" s="664"/>
      <c r="N50" s="664"/>
      <c r="O50" s="664"/>
      <c r="P50" s="664"/>
      <c r="Q50" s="664"/>
      <c r="R50" s="664"/>
      <c r="S50" s="664"/>
      <c r="T50" s="664"/>
      <c r="U50" s="664"/>
      <c r="V50" s="664"/>
      <c r="W50" s="664"/>
      <c r="X50" s="664"/>
      <c r="Y50" s="664"/>
      <c r="Z50" s="664"/>
    </row>
    <row r="51">
      <c r="A51" s="661">
        <f t="shared" si="1"/>
        <v>51</v>
      </c>
      <c r="B51" s="873" t="s">
        <v>1100</v>
      </c>
      <c r="C51" s="661" t="str">
        <f t="shared" si="3"/>
        <v>=&gt;</v>
      </c>
      <c r="D51" s="662" t="s">
        <v>1294</v>
      </c>
      <c r="E51" s="664"/>
      <c r="F51" s="664"/>
      <c r="G51" s="664"/>
      <c r="H51" s="664"/>
      <c r="I51" s="664"/>
      <c r="J51" s="664"/>
      <c r="K51" s="664"/>
      <c r="L51" s="664"/>
      <c r="M51" s="664"/>
      <c r="N51" s="664"/>
      <c r="O51" s="664"/>
      <c r="P51" s="664"/>
      <c r="Q51" s="664"/>
      <c r="R51" s="664"/>
      <c r="S51" s="664"/>
      <c r="T51" s="664"/>
      <c r="U51" s="664"/>
      <c r="V51" s="664"/>
      <c r="W51" s="664"/>
      <c r="X51" s="664"/>
      <c r="Y51" s="664"/>
      <c r="Z51" s="664"/>
    </row>
    <row r="52">
      <c r="A52" s="661">
        <f t="shared" si="1"/>
        <v>52</v>
      </c>
      <c r="B52" s="874" t="s">
        <v>929</v>
      </c>
      <c r="C52" s="661" t="str">
        <f t="shared" si="3"/>
        <v>=&gt;</v>
      </c>
      <c r="D52" s="662" t="s">
        <v>1310</v>
      </c>
      <c r="E52" s="664"/>
      <c r="F52" s="664"/>
      <c r="G52" s="664"/>
      <c r="H52" s="664"/>
      <c r="I52" s="664"/>
      <c r="J52" s="664"/>
      <c r="K52" s="664"/>
      <c r="L52" s="664"/>
      <c r="M52" s="664"/>
      <c r="N52" s="664"/>
      <c r="O52" s="664"/>
      <c r="P52" s="664"/>
      <c r="Q52" s="664"/>
      <c r="R52" s="664"/>
      <c r="S52" s="664"/>
      <c r="T52" s="664"/>
      <c r="U52" s="664"/>
      <c r="V52" s="664"/>
      <c r="W52" s="664"/>
      <c r="X52" s="664"/>
      <c r="Y52" s="664"/>
      <c r="Z52" s="664"/>
    </row>
    <row r="53">
      <c r="A53" s="661">
        <f t="shared" si="1"/>
        <v>53</v>
      </c>
      <c r="B53" s="875" t="s">
        <v>1096</v>
      </c>
      <c r="C53" s="661" t="s">
        <v>199</v>
      </c>
      <c r="D53" s="662" t="s">
        <v>1302</v>
      </c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  <c r="Y53" s="664"/>
      <c r="Z53" s="664"/>
    </row>
    <row r="54">
      <c r="A54" s="661">
        <f t="shared" si="1"/>
        <v>54</v>
      </c>
      <c r="B54" s="876" t="s">
        <v>1107</v>
      </c>
      <c r="C54" s="661" t="s">
        <v>199</v>
      </c>
      <c r="D54" s="694" t="s">
        <v>1314</v>
      </c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</row>
    <row r="55">
      <c r="A55" s="661">
        <f t="shared" si="1"/>
        <v>55</v>
      </c>
      <c r="B55" s="877" t="s">
        <v>837</v>
      </c>
      <c r="C55" s="661" t="str">
        <f t="shared" ref="C55:C56" si="4">"=&gt;"</f>
        <v>=&gt;</v>
      </c>
      <c r="D55" s="662" t="s">
        <v>1196</v>
      </c>
      <c r="E55" s="664"/>
      <c r="F55" s="664"/>
      <c r="G55" s="664"/>
      <c r="H55" s="664"/>
      <c r="I55" s="664"/>
      <c r="J55" s="664"/>
      <c r="K55" s="664"/>
      <c r="L55" s="664"/>
      <c r="M55" s="664"/>
      <c r="N55" s="664"/>
      <c r="O55" s="664"/>
      <c r="P55" s="664"/>
      <c r="Q55" s="664"/>
      <c r="R55" s="664"/>
      <c r="S55" s="664"/>
      <c r="T55" s="664"/>
      <c r="U55" s="664"/>
      <c r="V55" s="664"/>
      <c r="W55" s="664"/>
      <c r="X55" s="664"/>
      <c r="Y55" s="664"/>
      <c r="Z55" s="664"/>
    </row>
    <row r="56">
      <c r="A56" s="661">
        <f t="shared" si="1"/>
        <v>56</v>
      </c>
      <c r="B56" s="878" t="s">
        <v>1108</v>
      </c>
      <c r="C56" s="661" t="str">
        <f t="shared" si="4"/>
        <v>=&gt;</v>
      </c>
      <c r="D56" s="662" t="s">
        <v>551</v>
      </c>
      <c r="E56" s="664"/>
      <c r="F56" s="664"/>
      <c r="G56" s="664"/>
      <c r="H56" s="664"/>
      <c r="I56" s="664"/>
      <c r="J56" s="664"/>
      <c r="K56" s="664"/>
      <c r="L56" s="664"/>
      <c r="M56" s="664"/>
      <c r="N56" s="664"/>
      <c r="O56" s="664"/>
      <c r="P56" s="664"/>
      <c r="Q56" s="664"/>
      <c r="R56" s="664"/>
      <c r="S56" s="664"/>
      <c r="T56" s="664"/>
      <c r="U56" s="664"/>
      <c r="V56" s="664"/>
      <c r="W56" s="664"/>
      <c r="X56" s="664"/>
      <c r="Y56" s="664"/>
      <c r="Z56" s="664"/>
    </row>
    <row r="57">
      <c r="A57" s="661">
        <f t="shared" si="1"/>
        <v>57</v>
      </c>
      <c r="B57" s="879" t="s">
        <v>1109</v>
      </c>
      <c r="C57" s="661" t="s">
        <v>199</v>
      </c>
      <c r="D57" s="662" t="s">
        <v>1290</v>
      </c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</row>
    <row r="58">
      <c r="A58" s="661">
        <f t="shared" si="1"/>
        <v>58</v>
      </c>
      <c r="B58" s="880" t="s">
        <v>1010</v>
      </c>
      <c r="C58" s="661" t="s">
        <v>199</v>
      </c>
      <c r="D58" s="663" t="s">
        <v>558</v>
      </c>
      <c r="E58" s="664"/>
      <c r="F58" s="664"/>
      <c r="G58" s="664"/>
      <c r="H58" s="664"/>
      <c r="I58" s="664"/>
      <c r="J58" s="664"/>
      <c r="K58" s="664"/>
      <c r="L58" s="664"/>
      <c r="M58" s="664"/>
      <c r="N58" s="664"/>
      <c r="O58" s="664"/>
      <c r="P58" s="664"/>
      <c r="Q58" s="664"/>
      <c r="R58" s="664"/>
      <c r="S58" s="664"/>
      <c r="T58" s="664"/>
      <c r="U58" s="664"/>
      <c r="V58" s="664"/>
      <c r="W58" s="664"/>
      <c r="X58" s="664"/>
      <c r="Y58" s="664"/>
      <c r="Z58" s="664"/>
    </row>
    <row r="59">
      <c r="A59" s="661">
        <f t="shared" si="1"/>
        <v>59</v>
      </c>
      <c r="B59" s="881" t="s">
        <v>1110</v>
      </c>
      <c r="C59" s="661" t="s">
        <v>199</v>
      </c>
      <c r="D59" s="663" t="s">
        <v>558</v>
      </c>
      <c r="E59" s="664"/>
      <c r="F59" s="664"/>
      <c r="G59" s="664"/>
      <c r="H59" s="664"/>
      <c r="I59" s="664"/>
      <c r="J59" s="664"/>
      <c r="K59" s="664"/>
      <c r="L59" s="664"/>
      <c r="M59" s="664"/>
      <c r="N59" s="664"/>
      <c r="O59" s="664"/>
      <c r="P59" s="664"/>
      <c r="Q59" s="664"/>
      <c r="R59" s="664"/>
      <c r="S59" s="664"/>
      <c r="T59" s="664"/>
      <c r="U59" s="664"/>
      <c r="V59" s="664"/>
      <c r="W59" s="664"/>
      <c r="X59" s="664"/>
      <c r="Y59" s="664"/>
      <c r="Z59" s="664"/>
    </row>
    <row r="60">
      <c r="A60" s="661">
        <v>136.0</v>
      </c>
      <c r="B60" s="882" t="s">
        <v>1111</v>
      </c>
      <c r="C60" s="661" t="s">
        <v>199</v>
      </c>
      <c r="D60" s="663" t="s">
        <v>558</v>
      </c>
      <c r="E60" s="664"/>
      <c r="F60" s="664"/>
      <c r="G60" s="664"/>
      <c r="H60" s="664"/>
      <c r="I60" s="664"/>
      <c r="J60" s="664"/>
      <c r="K60" s="664"/>
      <c r="L60" s="664"/>
      <c r="M60" s="664"/>
      <c r="N60" s="664"/>
      <c r="O60" s="664"/>
      <c r="P60" s="664"/>
      <c r="Q60" s="664"/>
      <c r="R60" s="664"/>
      <c r="S60" s="664"/>
      <c r="T60" s="664"/>
      <c r="U60" s="664"/>
      <c r="V60" s="664"/>
      <c r="W60" s="664"/>
      <c r="X60" s="664"/>
      <c r="Y60" s="664"/>
      <c r="Z60" s="664"/>
    </row>
    <row r="61">
      <c r="A61" s="661">
        <f t="shared" ref="A61:A85" si="5">ROW()</f>
        <v>61</v>
      </c>
      <c r="B61" s="883" t="s">
        <v>1112</v>
      </c>
      <c r="C61" s="661" t="s">
        <v>199</v>
      </c>
      <c r="D61" s="663" t="s">
        <v>558</v>
      </c>
      <c r="E61" s="664"/>
      <c r="F61" s="664"/>
      <c r="G61" s="664"/>
      <c r="H61" s="664"/>
      <c r="I61" s="664"/>
      <c r="J61" s="664"/>
      <c r="K61" s="664"/>
      <c r="L61" s="664"/>
      <c r="M61" s="664"/>
      <c r="N61" s="664"/>
      <c r="O61" s="664"/>
      <c r="P61" s="664"/>
      <c r="Q61" s="664"/>
      <c r="R61" s="664"/>
      <c r="S61" s="664"/>
      <c r="T61" s="664"/>
      <c r="U61" s="664"/>
      <c r="V61" s="664"/>
      <c r="W61" s="664"/>
      <c r="X61" s="664"/>
      <c r="Y61" s="664"/>
      <c r="Z61" s="664"/>
    </row>
    <row r="62">
      <c r="A62" s="661">
        <f t="shared" si="5"/>
        <v>62</v>
      </c>
      <c r="B62" s="884" t="s">
        <v>1011</v>
      </c>
      <c r="C62" s="661" t="str">
        <f t="shared" ref="C62:C85" si="6">"=&gt;"</f>
        <v>=&gt;</v>
      </c>
      <c r="D62" s="662" t="s">
        <v>551</v>
      </c>
      <c r="E62" s="664"/>
      <c r="F62" s="664"/>
      <c r="G62" s="664"/>
      <c r="H62" s="664"/>
      <c r="I62" s="664"/>
      <c r="J62" s="664"/>
      <c r="K62" s="664"/>
      <c r="L62" s="664"/>
      <c r="M62" s="664"/>
      <c r="N62" s="664"/>
      <c r="O62" s="664"/>
      <c r="P62" s="664"/>
      <c r="Q62" s="664"/>
      <c r="R62" s="664"/>
      <c r="S62" s="664"/>
      <c r="T62" s="664"/>
      <c r="U62" s="664"/>
      <c r="V62" s="664"/>
      <c r="W62" s="664"/>
      <c r="X62" s="664"/>
      <c r="Y62" s="664"/>
      <c r="Z62" s="664"/>
    </row>
    <row r="63">
      <c r="A63" s="661">
        <f t="shared" si="5"/>
        <v>63</v>
      </c>
      <c r="B63" s="885" t="s">
        <v>1012</v>
      </c>
      <c r="C63" s="661" t="str">
        <f t="shared" si="6"/>
        <v>=&gt;</v>
      </c>
      <c r="D63" s="663" t="s">
        <v>1315</v>
      </c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</row>
    <row r="64">
      <c r="A64" s="661">
        <f t="shared" si="5"/>
        <v>64</v>
      </c>
      <c r="B64" s="886" t="s">
        <v>1013</v>
      </c>
      <c r="C64" s="661" t="str">
        <f t="shared" si="6"/>
        <v>=&gt;</v>
      </c>
      <c r="D64" s="662" t="s">
        <v>1316</v>
      </c>
      <c r="E64" s="664"/>
      <c r="F64" s="664"/>
      <c r="G64" s="664"/>
      <c r="H64" s="664"/>
      <c r="I64" s="664"/>
      <c r="J64" s="664"/>
      <c r="K64" s="664"/>
      <c r="L64" s="664"/>
      <c r="M64" s="664"/>
      <c r="N64" s="664"/>
      <c r="O64" s="664"/>
      <c r="P64" s="664"/>
      <c r="Q64" s="664"/>
      <c r="R64" s="664"/>
      <c r="S64" s="664"/>
      <c r="T64" s="664"/>
      <c r="U64" s="664"/>
      <c r="V64" s="664"/>
      <c r="W64" s="664"/>
      <c r="X64" s="664"/>
      <c r="Y64" s="664"/>
      <c r="Z64" s="664"/>
    </row>
    <row r="65">
      <c r="A65" s="661">
        <f t="shared" si="5"/>
        <v>65</v>
      </c>
      <c r="B65" s="887" t="s">
        <v>1024</v>
      </c>
      <c r="C65" s="661" t="str">
        <f t="shared" si="6"/>
        <v>=&gt;</v>
      </c>
      <c r="D65" s="663" t="s">
        <v>1317</v>
      </c>
      <c r="E65" s="664"/>
      <c r="F65" s="664"/>
      <c r="G65" s="664"/>
      <c r="H65" s="664"/>
      <c r="I65" s="664"/>
      <c r="J65" s="664"/>
      <c r="K65" s="664"/>
      <c r="L65" s="664"/>
      <c r="M65" s="664"/>
      <c r="N65" s="664"/>
      <c r="O65" s="664"/>
      <c r="P65" s="664"/>
      <c r="Q65" s="664"/>
      <c r="R65" s="664"/>
      <c r="S65" s="664"/>
      <c r="T65" s="664"/>
      <c r="U65" s="664"/>
      <c r="V65" s="664"/>
      <c r="W65" s="664"/>
      <c r="X65" s="664"/>
      <c r="Y65" s="664"/>
      <c r="Z65" s="664"/>
    </row>
    <row r="66">
      <c r="A66" s="661">
        <f t="shared" si="5"/>
        <v>66</v>
      </c>
      <c r="B66" s="888" t="s">
        <v>1016</v>
      </c>
      <c r="C66" s="661" t="str">
        <f t="shared" si="6"/>
        <v>=&gt;</v>
      </c>
      <c r="D66" s="694" t="s">
        <v>1166</v>
      </c>
      <c r="E66" s="664"/>
      <c r="F66" s="664"/>
      <c r="G66" s="664"/>
      <c r="H66" s="664"/>
      <c r="I66" s="664"/>
      <c r="J66" s="664"/>
      <c r="K66" s="664"/>
      <c r="L66" s="664"/>
      <c r="M66" s="664"/>
      <c r="N66" s="664"/>
      <c r="O66" s="664"/>
      <c r="P66" s="664"/>
      <c r="Q66" s="664"/>
      <c r="R66" s="664"/>
      <c r="S66" s="664"/>
      <c r="T66" s="664"/>
      <c r="U66" s="664"/>
      <c r="V66" s="664"/>
      <c r="W66" s="664"/>
      <c r="X66" s="664"/>
      <c r="Y66" s="664"/>
      <c r="Z66" s="664"/>
    </row>
    <row r="67">
      <c r="A67" s="661">
        <f t="shared" si="5"/>
        <v>67</v>
      </c>
      <c r="B67" s="889" t="s">
        <v>1113</v>
      </c>
      <c r="C67" s="661" t="str">
        <f t="shared" si="6"/>
        <v>=&gt;</v>
      </c>
      <c r="D67" s="663" t="s">
        <v>1318</v>
      </c>
      <c r="E67" s="664"/>
      <c r="F67" s="664"/>
      <c r="G67" s="664"/>
      <c r="H67" s="664"/>
      <c r="I67" s="664"/>
      <c r="J67" s="664"/>
      <c r="K67" s="664"/>
      <c r="L67" s="664"/>
      <c r="M67" s="664"/>
      <c r="N67" s="664"/>
      <c r="O67" s="664"/>
      <c r="P67" s="664"/>
      <c r="Q67" s="664"/>
      <c r="R67" s="664"/>
      <c r="S67" s="664"/>
      <c r="T67" s="664"/>
      <c r="U67" s="664"/>
      <c r="V67" s="664"/>
      <c r="W67" s="664"/>
      <c r="X67" s="664"/>
      <c r="Y67" s="664"/>
      <c r="Z67" s="664"/>
    </row>
    <row r="68">
      <c r="A68" s="661">
        <f t="shared" si="5"/>
        <v>68</v>
      </c>
      <c r="B68" s="890" t="s">
        <v>1020</v>
      </c>
      <c r="C68" s="661" t="str">
        <f t="shared" si="6"/>
        <v>=&gt;</v>
      </c>
      <c r="D68" s="663" t="s">
        <v>1318</v>
      </c>
      <c r="E68" s="664"/>
      <c r="F68" s="664"/>
      <c r="G68" s="664"/>
      <c r="H68" s="664"/>
      <c r="I68" s="664"/>
      <c r="J68" s="664"/>
      <c r="K68" s="664"/>
      <c r="L68" s="664"/>
      <c r="M68" s="664"/>
      <c r="N68" s="664"/>
      <c r="O68" s="664"/>
      <c r="P68" s="664"/>
      <c r="Q68" s="664"/>
      <c r="R68" s="664"/>
      <c r="S68" s="664"/>
      <c r="T68" s="664"/>
      <c r="U68" s="664"/>
      <c r="V68" s="664"/>
      <c r="W68" s="664"/>
      <c r="X68" s="664"/>
      <c r="Y68" s="664"/>
      <c r="Z68" s="664"/>
    </row>
    <row r="69">
      <c r="A69" s="661">
        <f t="shared" si="5"/>
        <v>69</v>
      </c>
      <c r="B69" s="891" t="s">
        <v>1021</v>
      </c>
      <c r="C69" s="661" t="str">
        <f t="shared" si="6"/>
        <v>=&gt;</v>
      </c>
      <c r="D69" s="663" t="s">
        <v>1318</v>
      </c>
      <c r="E69" s="664"/>
      <c r="F69" s="664"/>
      <c r="G69" s="664"/>
      <c r="H69" s="664"/>
      <c r="I69" s="664"/>
      <c r="J69" s="664"/>
      <c r="K69" s="664"/>
      <c r="L69" s="664"/>
      <c r="M69" s="664"/>
      <c r="N69" s="664"/>
      <c r="O69" s="664"/>
      <c r="P69" s="664"/>
      <c r="Q69" s="664"/>
      <c r="R69" s="664"/>
      <c r="S69" s="664"/>
      <c r="T69" s="664"/>
      <c r="U69" s="664"/>
      <c r="V69" s="664"/>
      <c r="W69" s="664"/>
      <c r="X69" s="664"/>
      <c r="Y69" s="664"/>
      <c r="Z69" s="664"/>
    </row>
    <row r="70">
      <c r="A70" s="661">
        <f t="shared" si="5"/>
        <v>70</v>
      </c>
      <c r="B70" s="892" t="s">
        <v>1062</v>
      </c>
      <c r="C70" s="661" t="str">
        <f t="shared" si="6"/>
        <v>=&gt;</v>
      </c>
      <c r="D70" s="663" t="s">
        <v>1318</v>
      </c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</row>
    <row r="71">
      <c r="A71" s="661">
        <f t="shared" si="5"/>
        <v>71</v>
      </c>
      <c r="B71" s="893" t="s">
        <v>1071</v>
      </c>
      <c r="C71" s="661" t="str">
        <f t="shared" si="6"/>
        <v>=&gt;</v>
      </c>
      <c r="D71" s="663" t="s">
        <v>1318</v>
      </c>
      <c r="E71" s="664"/>
      <c r="F71" s="664"/>
      <c r="G71" s="664"/>
      <c r="H71" s="664"/>
      <c r="I71" s="664"/>
      <c r="J71" s="664"/>
      <c r="K71" s="664"/>
      <c r="L71" s="664"/>
      <c r="M71" s="664"/>
      <c r="N71" s="664"/>
      <c r="O71" s="664"/>
      <c r="P71" s="664"/>
      <c r="Q71" s="664"/>
      <c r="R71" s="664"/>
      <c r="S71" s="664"/>
      <c r="T71" s="664"/>
      <c r="U71" s="664"/>
      <c r="V71" s="664"/>
      <c r="W71" s="664"/>
      <c r="X71" s="664"/>
      <c r="Y71" s="664"/>
      <c r="Z71" s="664"/>
    </row>
    <row r="72">
      <c r="A72" s="661">
        <f t="shared" si="5"/>
        <v>72</v>
      </c>
      <c r="B72" s="894" t="s">
        <v>1043</v>
      </c>
      <c r="C72" s="661" t="str">
        <f t="shared" si="6"/>
        <v>=&gt;</v>
      </c>
      <c r="D72" s="663" t="s">
        <v>1318</v>
      </c>
      <c r="E72" s="664"/>
      <c r="F72" s="664"/>
      <c r="G72" s="664"/>
      <c r="H72" s="664"/>
      <c r="I72" s="664"/>
      <c r="J72" s="664"/>
      <c r="K72" s="664"/>
      <c r="L72" s="664"/>
      <c r="M72" s="664"/>
      <c r="N72" s="664"/>
      <c r="O72" s="664"/>
      <c r="P72" s="664"/>
      <c r="Q72" s="664"/>
      <c r="R72" s="664"/>
      <c r="S72" s="664"/>
      <c r="T72" s="664"/>
      <c r="U72" s="664"/>
      <c r="V72" s="664"/>
      <c r="W72" s="664"/>
      <c r="X72" s="664"/>
      <c r="Y72" s="664"/>
      <c r="Z72" s="664"/>
    </row>
    <row r="73">
      <c r="A73" s="661">
        <f t="shared" si="5"/>
        <v>73</v>
      </c>
      <c r="B73" s="895" t="s">
        <v>1022</v>
      </c>
      <c r="C73" s="661" t="str">
        <f t="shared" si="6"/>
        <v>=&gt;</v>
      </c>
      <c r="D73" s="663" t="s">
        <v>1318</v>
      </c>
      <c r="E73" s="664"/>
      <c r="F73" s="664"/>
      <c r="G73" s="664"/>
      <c r="H73" s="664"/>
      <c r="I73" s="664"/>
      <c r="J73" s="664"/>
      <c r="K73" s="664"/>
      <c r="L73" s="664"/>
      <c r="M73" s="664"/>
      <c r="N73" s="664"/>
      <c r="O73" s="664"/>
      <c r="P73" s="664"/>
      <c r="Q73" s="664"/>
      <c r="R73" s="664"/>
      <c r="S73" s="664"/>
      <c r="T73" s="664"/>
      <c r="U73" s="664"/>
      <c r="V73" s="664"/>
      <c r="W73" s="664"/>
      <c r="X73" s="664"/>
      <c r="Y73" s="664"/>
      <c r="Z73" s="664"/>
    </row>
    <row r="74">
      <c r="A74" s="661">
        <f t="shared" si="5"/>
        <v>74</v>
      </c>
      <c r="B74" s="896" t="s">
        <v>1027</v>
      </c>
      <c r="C74" s="661" t="str">
        <f t="shared" si="6"/>
        <v>=&gt;</v>
      </c>
      <c r="D74" s="663" t="s">
        <v>1318</v>
      </c>
      <c r="E74" s="664"/>
      <c r="F74" s="664"/>
      <c r="G74" s="664"/>
      <c r="H74" s="664"/>
      <c r="I74" s="664"/>
      <c r="J74" s="664"/>
      <c r="K74" s="664"/>
      <c r="L74" s="664"/>
      <c r="M74" s="664"/>
      <c r="N74" s="664"/>
      <c r="O74" s="664"/>
      <c r="P74" s="664"/>
      <c r="Q74" s="664"/>
      <c r="R74" s="664"/>
      <c r="S74" s="664"/>
      <c r="T74" s="664"/>
      <c r="U74" s="664"/>
      <c r="V74" s="664"/>
      <c r="W74" s="664"/>
      <c r="X74" s="664"/>
      <c r="Y74" s="664"/>
      <c r="Z74" s="664"/>
    </row>
    <row r="75">
      <c r="A75" s="661">
        <f t="shared" si="5"/>
        <v>75</v>
      </c>
      <c r="B75" s="897" t="s">
        <v>1114</v>
      </c>
      <c r="C75" s="661" t="str">
        <f t="shared" si="6"/>
        <v>=&gt;</v>
      </c>
      <c r="D75" s="662" t="s">
        <v>1319</v>
      </c>
      <c r="E75" s="664"/>
      <c r="F75" s="664"/>
      <c r="G75" s="664"/>
      <c r="H75" s="664"/>
      <c r="I75" s="664"/>
      <c r="J75" s="664"/>
      <c r="K75" s="664"/>
      <c r="L75" s="664"/>
      <c r="M75" s="664"/>
      <c r="N75" s="664"/>
      <c r="O75" s="664"/>
      <c r="P75" s="664"/>
      <c r="Q75" s="664"/>
      <c r="R75" s="664"/>
      <c r="S75" s="664"/>
      <c r="T75" s="664"/>
      <c r="U75" s="664"/>
      <c r="V75" s="664"/>
      <c r="W75" s="664"/>
      <c r="X75" s="664"/>
      <c r="Y75" s="664"/>
      <c r="Z75" s="664"/>
    </row>
    <row r="76">
      <c r="A76" s="661">
        <f t="shared" si="5"/>
        <v>76</v>
      </c>
      <c r="B76" s="898" t="s">
        <v>1030</v>
      </c>
      <c r="C76" s="661" t="str">
        <f t="shared" si="6"/>
        <v>=&gt;</v>
      </c>
      <c r="D76" s="663" t="s">
        <v>1320</v>
      </c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</row>
    <row r="77">
      <c r="A77" s="661">
        <f t="shared" si="5"/>
        <v>77</v>
      </c>
      <c r="B77" s="899" t="s">
        <v>1031</v>
      </c>
      <c r="C77" s="661" t="str">
        <f t="shared" si="6"/>
        <v>=&gt;</v>
      </c>
      <c r="D77" s="663" t="s">
        <v>1318</v>
      </c>
      <c r="E77" s="664"/>
      <c r="F77" s="664"/>
      <c r="G77" s="664"/>
      <c r="H77" s="664"/>
      <c r="I77" s="664"/>
      <c r="J77" s="664"/>
      <c r="K77" s="664"/>
      <c r="L77" s="664"/>
      <c r="M77" s="664"/>
      <c r="N77" s="664"/>
      <c r="O77" s="664"/>
      <c r="P77" s="664"/>
      <c r="Q77" s="664"/>
      <c r="R77" s="664"/>
      <c r="S77" s="664"/>
      <c r="T77" s="664"/>
      <c r="U77" s="664"/>
      <c r="V77" s="664"/>
      <c r="W77" s="664"/>
      <c r="X77" s="664"/>
      <c r="Y77" s="664"/>
      <c r="Z77" s="664"/>
    </row>
    <row r="78">
      <c r="A78" s="661">
        <f t="shared" si="5"/>
        <v>78</v>
      </c>
      <c r="B78" s="900" t="s">
        <v>1028</v>
      </c>
      <c r="C78" s="661" t="str">
        <f t="shared" si="6"/>
        <v>=&gt;</v>
      </c>
      <c r="D78" s="663" t="s">
        <v>1318</v>
      </c>
      <c r="E78" s="664"/>
      <c r="F78" s="664"/>
      <c r="G78" s="664"/>
      <c r="H78" s="664"/>
      <c r="I78" s="664"/>
      <c r="J78" s="664"/>
      <c r="K78" s="664"/>
      <c r="L78" s="664"/>
      <c r="M78" s="664"/>
      <c r="N78" s="664"/>
      <c r="O78" s="664"/>
      <c r="P78" s="664"/>
      <c r="Q78" s="664"/>
      <c r="R78" s="664"/>
      <c r="S78" s="664"/>
      <c r="T78" s="664"/>
      <c r="U78" s="664"/>
      <c r="V78" s="664"/>
      <c r="W78" s="664"/>
      <c r="X78" s="664"/>
      <c r="Y78" s="664"/>
      <c r="Z78" s="664"/>
    </row>
    <row r="79">
      <c r="A79" s="661">
        <f t="shared" si="5"/>
        <v>79</v>
      </c>
      <c r="B79" s="901" t="s">
        <v>1035</v>
      </c>
      <c r="C79" s="661" t="str">
        <f t="shared" si="6"/>
        <v>=&gt;</v>
      </c>
      <c r="D79" s="663" t="s">
        <v>1318</v>
      </c>
      <c r="E79" s="664"/>
      <c r="F79" s="664"/>
      <c r="G79" s="664"/>
      <c r="H79" s="664"/>
      <c r="I79" s="664"/>
      <c r="J79" s="664"/>
      <c r="K79" s="664"/>
      <c r="L79" s="664"/>
      <c r="M79" s="664"/>
      <c r="N79" s="664"/>
      <c r="O79" s="664"/>
      <c r="P79" s="664"/>
      <c r="Q79" s="664"/>
      <c r="R79" s="664"/>
      <c r="S79" s="664"/>
      <c r="T79" s="664"/>
      <c r="U79" s="664"/>
      <c r="V79" s="664"/>
      <c r="W79" s="664"/>
      <c r="X79" s="664"/>
      <c r="Y79" s="664"/>
      <c r="Z79" s="664"/>
    </row>
    <row r="80">
      <c r="A80" s="661">
        <f t="shared" si="5"/>
        <v>80</v>
      </c>
      <c r="B80" s="902" t="s">
        <v>1036</v>
      </c>
      <c r="C80" s="661" t="str">
        <f t="shared" si="6"/>
        <v>=&gt;</v>
      </c>
      <c r="D80" s="662" t="s">
        <v>1321</v>
      </c>
      <c r="E80" s="664"/>
      <c r="F80" s="664"/>
      <c r="G80" s="664"/>
      <c r="H80" s="664"/>
      <c r="I80" s="664"/>
      <c r="J80" s="664"/>
      <c r="K80" s="664"/>
      <c r="L80" s="664"/>
      <c r="M80" s="664"/>
      <c r="N80" s="664"/>
      <c r="O80" s="664"/>
      <c r="P80" s="664"/>
      <c r="Q80" s="664"/>
      <c r="R80" s="664"/>
      <c r="S80" s="664"/>
      <c r="T80" s="664"/>
      <c r="U80" s="664"/>
      <c r="V80" s="664"/>
      <c r="W80" s="664"/>
      <c r="X80" s="664"/>
      <c r="Y80" s="664"/>
      <c r="Z80" s="664"/>
    </row>
    <row r="81">
      <c r="A81" s="661">
        <f t="shared" si="5"/>
        <v>81</v>
      </c>
      <c r="B81" s="903" t="s">
        <v>1037</v>
      </c>
      <c r="C81" s="661" t="str">
        <f t="shared" si="6"/>
        <v>=&gt;</v>
      </c>
      <c r="D81" s="662" t="s">
        <v>508</v>
      </c>
      <c r="E81" s="664"/>
      <c r="F81" s="664"/>
      <c r="G81" s="664"/>
      <c r="H81" s="664"/>
      <c r="I81" s="664"/>
      <c r="J81" s="664"/>
      <c r="K81" s="664"/>
      <c r="L81" s="664"/>
      <c r="M81" s="664"/>
      <c r="N81" s="664"/>
      <c r="O81" s="664"/>
      <c r="P81" s="664"/>
      <c r="Q81" s="664"/>
      <c r="R81" s="664"/>
      <c r="S81" s="664"/>
      <c r="T81" s="664"/>
      <c r="U81" s="664"/>
      <c r="V81" s="664"/>
      <c r="W81" s="664"/>
      <c r="X81" s="664"/>
      <c r="Y81" s="664"/>
      <c r="Z81" s="664"/>
    </row>
    <row r="82">
      <c r="A82" s="661">
        <f t="shared" si="5"/>
        <v>82</v>
      </c>
      <c r="B82" s="904" t="s">
        <v>1049</v>
      </c>
      <c r="C82" s="661" t="str">
        <f t="shared" si="6"/>
        <v>=&gt;</v>
      </c>
      <c r="D82" s="663" t="s">
        <v>1318</v>
      </c>
      <c r="E82" s="664"/>
      <c r="F82" s="664"/>
      <c r="G82" s="664"/>
      <c r="H82" s="664"/>
      <c r="I82" s="664"/>
      <c r="J82" s="664"/>
      <c r="K82" s="664"/>
      <c r="L82" s="664"/>
      <c r="M82" s="664"/>
      <c r="N82" s="664"/>
      <c r="O82" s="664"/>
      <c r="P82" s="664"/>
      <c r="Q82" s="664"/>
      <c r="R82" s="664"/>
      <c r="S82" s="664"/>
      <c r="T82" s="664"/>
      <c r="U82" s="664"/>
      <c r="V82" s="664"/>
      <c r="W82" s="664"/>
      <c r="X82" s="664"/>
      <c r="Y82" s="664"/>
      <c r="Z82" s="664"/>
    </row>
    <row r="83">
      <c r="A83" s="661">
        <f t="shared" si="5"/>
        <v>83</v>
      </c>
      <c r="B83" s="905" t="s">
        <v>1050</v>
      </c>
      <c r="C83" s="661" t="str">
        <f t="shared" si="6"/>
        <v>=&gt;</v>
      </c>
      <c r="D83" s="663" t="s">
        <v>1318</v>
      </c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4"/>
      <c r="P83" s="664"/>
      <c r="Q83" s="664"/>
      <c r="R83" s="664"/>
      <c r="S83" s="664"/>
      <c r="T83" s="664"/>
      <c r="U83" s="664"/>
      <c r="V83" s="664"/>
      <c r="W83" s="664"/>
      <c r="X83" s="664"/>
      <c r="Y83" s="664"/>
      <c r="Z83" s="664"/>
    </row>
    <row r="84">
      <c r="A84" s="661">
        <f t="shared" si="5"/>
        <v>84</v>
      </c>
      <c r="B84" s="906" t="s">
        <v>1051</v>
      </c>
      <c r="C84" s="661" t="str">
        <f t="shared" si="6"/>
        <v>=&gt;</v>
      </c>
      <c r="D84" s="663" t="s">
        <v>1318</v>
      </c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</row>
    <row r="85">
      <c r="A85" s="661">
        <f t="shared" si="5"/>
        <v>85</v>
      </c>
      <c r="B85" s="907" t="s">
        <v>1077</v>
      </c>
      <c r="C85" s="661" t="str">
        <f t="shared" si="6"/>
        <v>=&gt;</v>
      </c>
      <c r="D85" s="662" t="s">
        <v>1289</v>
      </c>
      <c r="E85" s="664"/>
      <c r="F85" s="664"/>
      <c r="G85" s="664"/>
      <c r="H85" s="664"/>
      <c r="I85" s="664"/>
      <c r="J85" s="664"/>
      <c r="K85" s="664"/>
      <c r="L85" s="664"/>
      <c r="M85" s="664"/>
      <c r="N85" s="664"/>
      <c r="O85" s="664"/>
      <c r="P85" s="664"/>
      <c r="Q85" s="664"/>
      <c r="R85" s="664"/>
      <c r="S85" s="664"/>
      <c r="T85" s="664"/>
      <c r="U85" s="664"/>
      <c r="V85" s="664"/>
      <c r="W85" s="664"/>
      <c r="X85" s="664"/>
      <c r="Y85" s="664"/>
      <c r="Z85" s="664"/>
    </row>
    <row r="86">
      <c r="A86" s="661"/>
      <c r="B86" s="664"/>
      <c r="C86" s="661"/>
      <c r="D86" s="908"/>
      <c r="E86" s="664"/>
      <c r="F86" s="664"/>
      <c r="G86" s="664"/>
      <c r="H86" s="664"/>
      <c r="I86" s="664"/>
      <c r="J86" s="664"/>
      <c r="K86" s="664"/>
      <c r="L86" s="664"/>
      <c r="M86" s="664"/>
      <c r="N86" s="664"/>
      <c r="O86" s="664"/>
      <c r="P86" s="664"/>
      <c r="Q86" s="664"/>
      <c r="R86" s="664"/>
      <c r="S86" s="664"/>
      <c r="T86" s="664"/>
      <c r="U86" s="664"/>
      <c r="V86" s="664"/>
      <c r="W86" s="664"/>
      <c r="X86" s="664"/>
      <c r="Y86" s="664"/>
      <c r="Z86" s="664"/>
    </row>
    <row r="87">
      <c r="A87" s="661"/>
      <c r="B87" s="909"/>
      <c r="C87" s="661"/>
      <c r="D87" s="662" t="s">
        <v>1322</v>
      </c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</row>
    <row r="88">
      <c r="A88" s="661"/>
      <c r="B88" s="910" t="s">
        <v>0</v>
      </c>
      <c r="C88" s="661" t="str">
        <f>"=&gt;"</f>
        <v>=&gt;</v>
      </c>
      <c r="D88" s="662" t="s">
        <v>1323</v>
      </c>
      <c r="E88" s="664"/>
      <c r="F88" s="664"/>
      <c r="G88" s="664"/>
      <c r="H88" s="664"/>
      <c r="I88" s="664"/>
      <c r="J88" s="664"/>
      <c r="K88" s="664"/>
      <c r="L88" s="664"/>
      <c r="M88" s="664"/>
      <c r="N88" s="664"/>
      <c r="O88" s="664"/>
      <c r="P88" s="664"/>
      <c r="Q88" s="664"/>
      <c r="R88" s="664"/>
      <c r="S88" s="664"/>
      <c r="T88" s="664"/>
      <c r="U88" s="664"/>
      <c r="V88" s="664"/>
      <c r="W88" s="664"/>
      <c r="X88" s="664"/>
      <c r="Y88" s="664"/>
      <c r="Z88" s="664"/>
    </row>
    <row r="89">
      <c r="A89" s="661"/>
      <c r="B89" s="664"/>
      <c r="C89" s="661"/>
      <c r="D89" s="908"/>
      <c r="E89" s="664"/>
      <c r="F89" s="664"/>
      <c r="G89" s="664"/>
      <c r="H89" s="664"/>
      <c r="I89" s="664"/>
      <c r="J89" s="664"/>
      <c r="K89" s="664"/>
      <c r="L89" s="664"/>
      <c r="M89" s="664"/>
      <c r="N89" s="664"/>
      <c r="O89" s="664"/>
      <c r="P89" s="664"/>
      <c r="Q89" s="664"/>
      <c r="R89" s="664"/>
      <c r="S89" s="664"/>
      <c r="T89" s="664"/>
      <c r="U89" s="664"/>
      <c r="V89" s="664"/>
      <c r="W89" s="664"/>
      <c r="X89" s="664"/>
      <c r="Y89" s="664"/>
      <c r="Z89" s="664"/>
    </row>
    <row r="90">
      <c r="A90" s="661"/>
      <c r="B90" s="911" t="s">
        <v>836</v>
      </c>
      <c r="C90" s="15" t="str">
        <f>"=&gt;"</f>
        <v>=&gt;</v>
      </c>
      <c r="D90" s="912" t="s">
        <v>1324</v>
      </c>
      <c r="E90" s="664"/>
      <c r="F90" s="664"/>
      <c r="G90" s="664"/>
      <c r="H90" s="664"/>
      <c r="I90" s="664"/>
      <c r="J90" s="664"/>
      <c r="K90" s="664"/>
      <c r="L90" s="664"/>
      <c r="M90" s="664"/>
      <c r="N90" s="664"/>
      <c r="O90" s="664"/>
      <c r="P90" s="664"/>
      <c r="Q90" s="664"/>
      <c r="R90" s="664"/>
      <c r="S90" s="664"/>
      <c r="T90" s="664"/>
      <c r="U90" s="664"/>
      <c r="V90" s="664"/>
      <c r="W90" s="664"/>
      <c r="X90" s="664"/>
      <c r="Y90" s="664"/>
      <c r="Z90" s="664"/>
    </row>
    <row r="91">
      <c r="A91" s="661"/>
      <c r="B91" s="911"/>
      <c r="C91" s="15"/>
      <c r="D91" s="663" t="s">
        <v>1177</v>
      </c>
      <c r="E91" s="664"/>
      <c r="F91" s="664"/>
      <c r="G91" s="664"/>
      <c r="H91" s="664"/>
      <c r="I91" s="664"/>
      <c r="J91" s="664"/>
      <c r="K91" s="664"/>
      <c r="L91" s="664"/>
      <c r="M91" s="664"/>
      <c r="N91" s="664"/>
      <c r="O91" s="664"/>
      <c r="P91" s="664"/>
      <c r="Q91" s="664"/>
      <c r="R91" s="664"/>
      <c r="S91" s="664"/>
      <c r="T91" s="664"/>
      <c r="U91" s="664"/>
      <c r="V91" s="664"/>
      <c r="W91" s="664"/>
      <c r="X91" s="664"/>
      <c r="Y91" s="664"/>
      <c r="Z91" s="664"/>
    </row>
    <row r="92">
      <c r="A92" s="661"/>
      <c r="B92" s="911"/>
      <c r="C92" s="15"/>
      <c r="D92" s="912" t="s">
        <v>1325</v>
      </c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</row>
    <row r="93">
      <c r="A93" s="661"/>
      <c r="B93" s="911"/>
      <c r="C93" s="661"/>
      <c r="D93" s="662" t="s">
        <v>1290</v>
      </c>
      <c r="E93" s="664"/>
      <c r="F93" s="664"/>
      <c r="G93" s="664"/>
      <c r="H93" s="664"/>
      <c r="I93" s="664"/>
      <c r="J93" s="664"/>
      <c r="K93" s="664"/>
      <c r="L93" s="664"/>
      <c r="M93" s="664"/>
      <c r="N93" s="664"/>
      <c r="O93" s="664"/>
      <c r="P93" s="664"/>
      <c r="Q93" s="664"/>
      <c r="R93" s="664"/>
      <c r="S93" s="664"/>
      <c r="T93" s="664"/>
      <c r="U93" s="664"/>
      <c r="V93" s="664"/>
      <c r="W93" s="664"/>
      <c r="X93" s="664"/>
      <c r="Y93" s="664"/>
      <c r="Z93" s="664"/>
    </row>
    <row r="94">
      <c r="A94" s="661"/>
      <c r="B94" s="664"/>
      <c r="C94" s="661"/>
      <c r="D94" s="908"/>
      <c r="E94" s="664"/>
      <c r="F94" s="664"/>
      <c r="G94" s="664"/>
      <c r="H94" s="664"/>
      <c r="I94" s="664"/>
      <c r="J94" s="664"/>
      <c r="K94" s="664"/>
      <c r="L94" s="664"/>
      <c r="M94" s="664"/>
      <c r="N94" s="664"/>
      <c r="O94" s="664"/>
      <c r="P94" s="664"/>
      <c r="Q94" s="664"/>
      <c r="R94" s="664"/>
      <c r="S94" s="664"/>
      <c r="T94" s="664"/>
      <c r="U94" s="664"/>
      <c r="V94" s="664"/>
      <c r="W94" s="664"/>
      <c r="X94" s="664"/>
      <c r="Y94" s="664"/>
      <c r="Z94" s="664"/>
    </row>
    <row r="95">
      <c r="A95" s="661"/>
      <c r="B95" s="913" t="s">
        <v>1078</v>
      </c>
      <c r="C95" s="15" t="str">
        <f>"=&gt;"</f>
        <v>=&gt;</v>
      </c>
      <c r="D95" s="825" t="s">
        <v>1326</v>
      </c>
      <c r="E95" s="664"/>
      <c r="F95" s="664"/>
      <c r="G95" s="664"/>
      <c r="H95" s="664"/>
      <c r="I95" s="664"/>
      <c r="J95" s="664"/>
      <c r="K95" s="664"/>
      <c r="L95" s="664"/>
      <c r="M95" s="664"/>
      <c r="N95" s="664"/>
      <c r="O95" s="664"/>
      <c r="P95" s="664"/>
      <c r="Q95" s="664"/>
      <c r="R95" s="664"/>
      <c r="S95" s="664"/>
      <c r="T95" s="664"/>
      <c r="U95" s="664"/>
      <c r="V95" s="664"/>
      <c r="W95" s="664"/>
      <c r="X95" s="664"/>
      <c r="Y95" s="664"/>
      <c r="Z95" s="664"/>
    </row>
    <row r="96">
      <c r="A96" s="661"/>
      <c r="B96" s="913"/>
      <c r="C96" s="15"/>
      <c r="D96" s="825" t="s">
        <v>1327</v>
      </c>
      <c r="E96" s="664"/>
      <c r="F96" s="664"/>
      <c r="G96" s="664"/>
      <c r="H96" s="664"/>
      <c r="I96" s="664"/>
      <c r="J96" s="664"/>
      <c r="K96" s="664"/>
      <c r="L96" s="664"/>
      <c r="M96" s="664"/>
      <c r="N96" s="664"/>
      <c r="O96" s="664"/>
      <c r="P96" s="664"/>
      <c r="Q96" s="664"/>
      <c r="R96" s="664"/>
      <c r="S96" s="664"/>
      <c r="T96" s="664"/>
      <c r="U96" s="664"/>
      <c r="V96" s="664"/>
      <c r="W96" s="664"/>
      <c r="X96" s="664"/>
      <c r="Y96" s="664"/>
      <c r="Z96" s="664"/>
    </row>
    <row r="97">
      <c r="A97" s="661"/>
      <c r="B97" s="913"/>
      <c r="C97" s="15"/>
      <c r="D97" s="825" t="s">
        <v>1328</v>
      </c>
      <c r="E97" s="664"/>
      <c r="F97" s="664"/>
      <c r="G97" s="664"/>
      <c r="H97" s="664"/>
      <c r="I97" s="664"/>
      <c r="J97" s="664"/>
      <c r="K97" s="664"/>
      <c r="L97" s="664"/>
      <c r="M97" s="664"/>
      <c r="N97" s="664"/>
      <c r="O97" s="664"/>
      <c r="P97" s="664"/>
      <c r="Q97" s="664"/>
      <c r="R97" s="664"/>
      <c r="S97" s="664"/>
      <c r="T97" s="664"/>
      <c r="U97" s="664"/>
      <c r="V97" s="664"/>
      <c r="W97" s="664"/>
      <c r="X97" s="664"/>
      <c r="Y97" s="664"/>
      <c r="Z97" s="664"/>
    </row>
    <row r="98">
      <c r="A98" s="661"/>
      <c r="B98" s="913"/>
      <c r="C98" s="15"/>
      <c r="D98" s="825" t="s">
        <v>1329</v>
      </c>
      <c r="E98" s="664"/>
      <c r="F98" s="664"/>
      <c r="G98" s="664"/>
      <c r="H98" s="664"/>
      <c r="I98" s="664"/>
      <c r="J98" s="664"/>
      <c r="K98" s="664"/>
      <c r="L98" s="664"/>
      <c r="M98" s="664"/>
      <c r="N98" s="664"/>
      <c r="O98" s="664"/>
      <c r="P98" s="664"/>
      <c r="Q98" s="664"/>
      <c r="R98" s="664"/>
      <c r="S98" s="664"/>
      <c r="T98" s="664"/>
      <c r="U98" s="664"/>
      <c r="V98" s="664"/>
      <c r="W98" s="664"/>
      <c r="X98" s="664"/>
      <c r="Y98" s="664"/>
      <c r="Z98" s="664"/>
    </row>
    <row r="99">
      <c r="A99" s="661"/>
      <c r="B99" s="913"/>
      <c r="C99" s="15"/>
      <c r="D99" s="825" t="s">
        <v>1330</v>
      </c>
      <c r="E99" s="664"/>
      <c r="F99" s="664"/>
      <c r="G99" s="664"/>
      <c r="H99" s="664"/>
      <c r="I99" s="664"/>
      <c r="J99" s="664"/>
      <c r="K99" s="664"/>
      <c r="L99" s="664"/>
      <c r="M99" s="664"/>
      <c r="N99" s="664"/>
      <c r="O99" s="664"/>
      <c r="P99" s="664"/>
      <c r="Q99" s="664"/>
      <c r="R99" s="664"/>
      <c r="S99" s="664"/>
      <c r="T99" s="664"/>
      <c r="U99" s="664"/>
      <c r="V99" s="664"/>
      <c r="W99" s="664"/>
      <c r="X99" s="664"/>
      <c r="Y99" s="664"/>
      <c r="Z99" s="664"/>
    </row>
    <row r="100">
      <c r="A100" s="661"/>
      <c r="B100" s="913"/>
      <c r="C100" s="15"/>
      <c r="D100" s="825" t="s">
        <v>1291</v>
      </c>
      <c r="E100" s="664"/>
      <c r="F100" s="664"/>
      <c r="G100" s="664"/>
      <c r="H100" s="664"/>
      <c r="I100" s="664"/>
      <c r="J100" s="664"/>
      <c r="K100" s="664"/>
      <c r="L100" s="664"/>
      <c r="M100" s="664"/>
      <c r="N100" s="664"/>
      <c r="O100" s="664"/>
      <c r="P100" s="664"/>
      <c r="Q100" s="664"/>
      <c r="R100" s="664"/>
      <c r="S100" s="664"/>
      <c r="T100" s="664"/>
      <c r="U100" s="664"/>
      <c r="V100" s="664"/>
      <c r="W100" s="664"/>
      <c r="X100" s="664"/>
      <c r="Y100" s="664"/>
      <c r="Z100" s="664"/>
    </row>
    <row r="101">
      <c r="A101" s="661"/>
      <c r="B101" s="664"/>
      <c r="C101" s="661"/>
      <c r="D101" s="908"/>
      <c r="E101" s="664"/>
      <c r="F101" s="664"/>
      <c r="G101" s="664"/>
      <c r="H101" s="664"/>
      <c r="I101" s="664"/>
      <c r="J101" s="664"/>
      <c r="K101" s="664"/>
      <c r="L101" s="664"/>
      <c r="M101" s="664"/>
      <c r="N101" s="664"/>
      <c r="O101" s="664"/>
      <c r="P101" s="664"/>
      <c r="Q101" s="664"/>
      <c r="R101" s="664"/>
      <c r="S101" s="664"/>
      <c r="T101" s="664"/>
      <c r="U101" s="664"/>
      <c r="V101" s="664"/>
      <c r="W101" s="664"/>
      <c r="X101" s="664"/>
      <c r="Y101" s="664"/>
      <c r="Z101" s="664"/>
    </row>
    <row r="102">
      <c r="A102" s="661"/>
      <c r="B102" s="914" t="s">
        <v>1081</v>
      </c>
      <c r="C102" s="15" t="str">
        <f>"=&gt;"</f>
        <v>=&gt;</v>
      </c>
      <c r="D102" s="662" t="s">
        <v>1331</v>
      </c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</row>
    <row r="103">
      <c r="A103" s="661"/>
      <c r="B103" s="914"/>
      <c r="C103" s="15"/>
      <c r="D103" s="662" t="s">
        <v>1332</v>
      </c>
      <c r="E103" s="664"/>
      <c r="F103" s="664"/>
      <c r="G103" s="664"/>
      <c r="H103" s="664"/>
      <c r="I103" s="664"/>
      <c r="J103" s="664"/>
      <c r="K103" s="664"/>
      <c r="L103" s="664"/>
      <c r="M103" s="664"/>
      <c r="N103" s="664"/>
      <c r="O103" s="664"/>
      <c r="P103" s="664"/>
      <c r="Q103" s="664"/>
      <c r="R103" s="664"/>
      <c r="S103" s="664"/>
      <c r="T103" s="664"/>
      <c r="U103" s="664"/>
      <c r="V103" s="664"/>
      <c r="W103" s="664"/>
      <c r="X103" s="664"/>
      <c r="Y103" s="664"/>
      <c r="Z103" s="664"/>
    </row>
    <row r="104">
      <c r="A104" s="661"/>
      <c r="B104" s="914"/>
      <c r="C104" s="15"/>
      <c r="D104" s="662" t="s">
        <v>1333</v>
      </c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</row>
    <row r="105">
      <c r="A105" s="661"/>
      <c r="B105" s="664"/>
      <c r="C105" s="15"/>
      <c r="D105" s="662"/>
      <c r="E105" s="664"/>
      <c r="F105" s="664"/>
      <c r="G105" s="664"/>
      <c r="H105" s="664"/>
      <c r="I105" s="664"/>
      <c r="J105" s="664"/>
      <c r="K105" s="664"/>
      <c r="L105" s="664"/>
      <c r="M105" s="664"/>
      <c r="N105" s="664"/>
      <c r="O105" s="664"/>
      <c r="P105" s="664"/>
      <c r="Q105" s="664"/>
      <c r="R105" s="664"/>
      <c r="S105" s="664"/>
      <c r="T105" s="664"/>
      <c r="U105" s="664"/>
      <c r="V105" s="664"/>
      <c r="W105" s="664"/>
      <c r="X105" s="664"/>
      <c r="Y105" s="664"/>
      <c r="Z105" s="664"/>
    </row>
    <row r="106">
      <c r="A106" s="661"/>
      <c r="B106" s="915" t="s">
        <v>1082</v>
      </c>
      <c r="C106" s="15" t="str">
        <f>"=&gt;"</f>
        <v>=&gt;</v>
      </c>
      <c r="D106" s="662" t="s">
        <v>1334</v>
      </c>
      <c r="E106" s="664"/>
      <c r="F106" s="664"/>
      <c r="G106" s="664"/>
      <c r="H106" s="664"/>
      <c r="I106" s="664"/>
      <c r="J106" s="664"/>
      <c r="K106" s="664"/>
      <c r="L106" s="664"/>
      <c r="M106" s="664"/>
      <c r="N106" s="664"/>
      <c r="O106" s="664"/>
      <c r="P106" s="664"/>
      <c r="Q106" s="664"/>
      <c r="R106" s="664"/>
      <c r="S106" s="664"/>
      <c r="T106" s="664"/>
      <c r="U106" s="664"/>
      <c r="V106" s="664"/>
      <c r="W106" s="664"/>
      <c r="X106" s="664"/>
      <c r="Y106" s="664"/>
      <c r="Z106" s="664"/>
    </row>
    <row r="107">
      <c r="A107" s="661"/>
      <c r="B107" s="915"/>
      <c r="C107" s="15"/>
      <c r="D107" s="662" t="s">
        <v>481</v>
      </c>
      <c r="E107" s="664"/>
      <c r="F107" s="664"/>
      <c r="G107" s="664"/>
      <c r="H107" s="664"/>
      <c r="I107" s="664"/>
      <c r="J107" s="664"/>
      <c r="K107" s="664"/>
      <c r="L107" s="664"/>
      <c r="M107" s="664"/>
      <c r="N107" s="664"/>
      <c r="O107" s="664"/>
      <c r="P107" s="664"/>
      <c r="Q107" s="664"/>
      <c r="R107" s="664"/>
      <c r="S107" s="664"/>
      <c r="T107" s="664"/>
      <c r="U107" s="664"/>
      <c r="V107" s="664"/>
      <c r="W107" s="664"/>
      <c r="X107" s="664"/>
      <c r="Y107" s="664"/>
      <c r="Z107" s="664"/>
    </row>
    <row r="108">
      <c r="A108" s="661"/>
      <c r="B108" s="664"/>
      <c r="C108" s="15"/>
      <c r="D108" s="662"/>
      <c r="E108" s="664"/>
      <c r="F108" s="664"/>
      <c r="G108" s="664"/>
      <c r="H108" s="664"/>
      <c r="I108" s="664"/>
      <c r="J108" s="664"/>
      <c r="K108" s="664"/>
      <c r="L108" s="664"/>
      <c r="M108" s="664"/>
      <c r="N108" s="664"/>
      <c r="O108" s="664"/>
      <c r="P108" s="664"/>
      <c r="Q108" s="664"/>
      <c r="R108" s="664"/>
      <c r="S108" s="664"/>
      <c r="T108" s="664"/>
      <c r="U108" s="664"/>
      <c r="V108" s="664"/>
      <c r="W108" s="664"/>
      <c r="X108" s="664"/>
      <c r="Y108" s="664"/>
      <c r="Z108" s="664"/>
    </row>
    <row r="109">
      <c r="A109" s="661"/>
      <c r="B109" s="697" t="s">
        <v>1083</v>
      </c>
      <c r="C109" s="15" t="str">
        <f>"=&gt;"</f>
        <v>=&gt;</v>
      </c>
      <c r="D109" s="662" t="s">
        <v>1335</v>
      </c>
      <c r="E109" s="664"/>
      <c r="F109" s="664"/>
      <c r="G109" s="664"/>
      <c r="H109" s="664"/>
      <c r="I109" s="664"/>
      <c r="J109" s="664"/>
      <c r="K109" s="664"/>
      <c r="L109" s="664"/>
      <c r="M109" s="664"/>
      <c r="N109" s="664"/>
      <c r="O109" s="664"/>
      <c r="P109" s="664"/>
      <c r="Q109" s="664"/>
      <c r="R109" s="664"/>
      <c r="S109" s="664"/>
      <c r="T109" s="664"/>
      <c r="U109" s="664"/>
      <c r="V109" s="664"/>
      <c r="W109" s="664"/>
      <c r="X109" s="664"/>
      <c r="Y109" s="664"/>
      <c r="Z109" s="664"/>
    </row>
    <row r="110">
      <c r="A110" s="661"/>
      <c r="B110" s="697"/>
      <c r="C110" s="15"/>
      <c r="D110" s="662" t="s">
        <v>1336</v>
      </c>
      <c r="E110" s="664"/>
      <c r="F110" s="664"/>
      <c r="G110" s="664"/>
      <c r="H110" s="664"/>
      <c r="I110" s="664"/>
      <c r="J110" s="664"/>
      <c r="K110" s="664"/>
      <c r="L110" s="664"/>
      <c r="M110" s="664"/>
      <c r="N110" s="664"/>
      <c r="O110" s="664"/>
      <c r="P110" s="664"/>
      <c r="Q110" s="664"/>
      <c r="R110" s="664"/>
      <c r="S110" s="664"/>
      <c r="T110" s="664"/>
      <c r="U110" s="664"/>
      <c r="V110" s="664"/>
      <c r="W110" s="664"/>
      <c r="X110" s="664"/>
      <c r="Y110" s="664"/>
      <c r="Z110" s="664"/>
    </row>
    <row r="111">
      <c r="A111" s="661"/>
      <c r="B111" s="697"/>
      <c r="C111" s="15"/>
      <c r="D111" s="662" t="s">
        <v>1337</v>
      </c>
      <c r="E111" s="664"/>
      <c r="F111" s="664"/>
      <c r="G111" s="664"/>
      <c r="H111" s="664"/>
      <c r="I111" s="664"/>
      <c r="J111" s="664"/>
      <c r="K111" s="664"/>
      <c r="L111" s="664"/>
      <c r="M111" s="664"/>
      <c r="N111" s="664"/>
      <c r="O111" s="664"/>
      <c r="P111" s="664"/>
      <c r="Q111" s="664"/>
      <c r="R111" s="664"/>
      <c r="S111" s="664"/>
      <c r="T111" s="664"/>
      <c r="U111" s="664"/>
      <c r="V111" s="664"/>
      <c r="W111" s="664"/>
      <c r="X111" s="664"/>
      <c r="Y111" s="664"/>
      <c r="Z111" s="664"/>
    </row>
    <row r="112">
      <c r="A112" s="661"/>
      <c r="B112" s="697"/>
      <c r="C112" s="15"/>
      <c r="D112" s="662" t="s">
        <v>1338</v>
      </c>
      <c r="E112" s="664"/>
      <c r="F112" s="664"/>
      <c r="G112" s="664"/>
      <c r="H112" s="664"/>
      <c r="I112" s="664"/>
      <c r="J112" s="664"/>
      <c r="K112" s="664"/>
      <c r="L112" s="664"/>
      <c r="M112" s="664"/>
      <c r="N112" s="664"/>
      <c r="O112" s="664"/>
      <c r="P112" s="664"/>
      <c r="Q112" s="664"/>
      <c r="R112" s="664"/>
      <c r="S112" s="664"/>
      <c r="T112" s="664"/>
      <c r="U112" s="664"/>
      <c r="V112" s="664"/>
      <c r="W112" s="664"/>
      <c r="X112" s="664"/>
      <c r="Y112" s="664"/>
      <c r="Z112" s="664"/>
    </row>
    <row r="113">
      <c r="A113" s="661"/>
      <c r="B113" s="697"/>
      <c r="C113" s="15"/>
      <c r="D113" s="662" t="s">
        <v>1293</v>
      </c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</row>
    <row r="114">
      <c r="A114" s="661"/>
      <c r="B114" s="664"/>
      <c r="C114" s="15"/>
      <c r="D114" s="662"/>
      <c r="E114" s="664"/>
      <c r="F114" s="664"/>
      <c r="G114" s="664"/>
      <c r="H114" s="664"/>
      <c r="I114" s="664"/>
      <c r="J114" s="664"/>
      <c r="K114" s="664"/>
      <c r="L114" s="664"/>
      <c r="M114" s="664"/>
      <c r="N114" s="664"/>
      <c r="O114" s="664"/>
      <c r="P114" s="664"/>
      <c r="Q114" s="664"/>
      <c r="R114" s="664"/>
      <c r="S114" s="664"/>
      <c r="T114" s="664"/>
      <c r="U114" s="664"/>
      <c r="V114" s="664"/>
      <c r="W114" s="664"/>
      <c r="X114" s="664"/>
      <c r="Y114" s="664"/>
      <c r="Z114" s="664"/>
    </row>
    <row r="115">
      <c r="A115" s="661"/>
      <c r="B115" s="602" t="s">
        <v>1084</v>
      </c>
      <c r="C115" s="3" t="str">
        <f>"=&gt;"</f>
        <v>=&gt;</v>
      </c>
      <c r="D115" s="662" t="s">
        <v>1339</v>
      </c>
      <c r="E115" s="664"/>
      <c r="F115" s="664"/>
      <c r="G115" s="664"/>
      <c r="H115" s="664"/>
      <c r="I115" s="664"/>
      <c r="J115" s="664"/>
      <c r="K115" s="664"/>
      <c r="L115" s="664"/>
      <c r="M115" s="664"/>
      <c r="N115" s="664"/>
      <c r="O115" s="664"/>
      <c r="P115" s="664"/>
      <c r="Q115" s="664"/>
      <c r="R115" s="664"/>
      <c r="S115" s="664"/>
      <c r="T115" s="664"/>
      <c r="U115" s="664"/>
      <c r="V115" s="664"/>
      <c r="W115" s="664"/>
      <c r="X115" s="664"/>
      <c r="Y115" s="664"/>
      <c r="Z115" s="664"/>
    </row>
    <row r="116">
      <c r="A116" s="661"/>
      <c r="B116" s="602"/>
      <c r="C116" s="3"/>
      <c r="D116" s="662" t="s">
        <v>481</v>
      </c>
      <c r="E116" s="664"/>
      <c r="F116" s="664"/>
      <c r="G116" s="664"/>
      <c r="H116" s="664"/>
      <c r="I116" s="664"/>
      <c r="J116" s="664"/>
      <c r="K116" s="664"/>
      <c r="L116" s="664"/>
      <c r="M116" s="664"/>
      <c r="N116" s="664"/>
      <c r="O116" s="664"/>
      <c r="P116" s="664"/>
      <c r="Q116" s="664"/>
      <c r="R116" s="664"/>
      <c r="S116" s="664"/>
      <c r="T116" s="664"/>
      <c r="U116" s="664"/>
      <c r="V116" s="664"/>
      <c r="W116" s="664"/>
      <c r="X116" s="664"/>
      <c r="Y116" s="664"/>
      <c r="Z116" s="664"/>
    </row>
    <row r="117">
      <c r="A117" s="661"/>
      <c r="B117" s="602"/>
      <c r="C117" s="3"/>
      <c r="D117" s="916" t="s">
        <v>1293</v>
      </c>
      <c r="E117" s="664"/>
      <c r="F117" s="664"/>
      <c r="G117" s="664"/>
      <c r="H117" s="664"/>
      <c r="I117" s="664"/>
      <c r="J117" s="664"/>
      <c r="K117" s="664"/>
      <c r="L117" s="664"/>
      <c r="M117" s="664"/>
      <c r="N117" s="664"/>
      <c r="O117" s="664"/>
      <c r="P117" s="664"/>
      <c r="Q117" s="664"/>
      <c r="R117" s="664"/>
      <c r="S117" s="664"/>
      <c r="T117" s="664"/>
      <c r="U117" s="664"/>
      <c r="V117" s="664"/>
      <c r="W117" s="664"/>
      <c r="X117" s="664"/>
      <c r="Y117" s="664"/>
      <c r="Z117" s="664"/>
    </row>
    <row r="118">
      <c r="A118" s="661"/>
      <c r="B118" s="664"/>
      <c r="C118" s="15"/>
      <c r="D118" s="662"/>
      <c r="E118" s="664"/>
      <c r="F118" s="664"/>
      <c r="G118" s="664"/>
      <c r="H118" s="664"/>
      <c r="I118" s="664"/>
      <c r="J118" s="664"/>
      <c r="K118" s="664"/>
      <c r="L118" s="664"/>
      <c r="M118" s="664"/>
      <c r="N118" s="664"/>
      <c r="O118" s="664"/>
      <c r="P118" s="664"/>
      <c r="Q118" s="664"/>
      <c r="R118" s="664"/>
      <c r="S118" s="664"/>
      <c r="T118" s="664"/>
      <c r="U118" s="664"/>
      <c r="V118" s="664"/>
      <c r="W118" s="664"/>
      <c r="X118" s="664"/>
      <c r="Y118" s="664"/>
      <c r="Z118" s="664"/>
    </row>
    <row r="119">
      <c r="A119" s="661"/>
      <c r="B119" s="917" t="s">
        <v>1085</v>
      </c>
      <c r="C119" s="15" t="str">
        <f>"=&gt;"</f>
        <v>=&gt;</v>
      </c>
      <c r="D119" s="662" t="s">
        <v>1340</v>
      </c>
      <c r="E119" s="664"/>
      <c r="F119" s="664"/>
      <c r="G119" s="664"/>
      <c r="H119" s="664"/>
      <c r="I119" s="664"/>
      <c r="J119" s="664"/>
      <c r="K119" s="664"/>
      <c r="L119" s="664"/>
      <c r="M119" s="664"/>
      <c r="N119" s="664"/>
      <c r="O119" s="664"/>
      <c r="P119" s="664"/>
      <c r="Q119" s="664"/>
      <c r="R119" s="664"/>
      <c r="S119" s="664"/>
      <c r="T119" s="664"/>
      <c r="U119" s="664"/>
      <c r="V119" s="664"/>
      <c r="W119" s="664"/>
      <c r="X119" s="664"/>
      <c r="Y119" s="664"/>
      <c r="Z119" s="664"/>
    </row>
    <row r="120">
      <c r="A120" s="661"/>
      <c r="B120" s="917"/>
      <c r="C120" s="15"/>
      <c r="D120" s="662" t="s">
        <v>1341</v>
      </c>
      <c r="E120" s="664"/>
      <c r="F120" s="664"/>
      <c r="G120" s="664"/>
      <c r="H120" s="664"/>
      <c r="I120" s="664"/>
      <c r="J120" s="664"/>
      <c r="K120" s="664"/>
      <c r="L120" s="664"/>
      <c r="M120" s="664"/>
      <c r="N120" s="664"/>
      <c r="O120" s="664"/>
      <c r="P120" s="664"/>
      <c r="Q120" s="664"/>
      <c r="R120" s="664"/>
      <c r="S120" s="664"/>
      <c r="T120" s="664"/>
      <c r="U120" s="664"/>
      <c r="V120" s="664"/>
      <c r="W120" s="664"/>
      <c r="X120" s="664"/>
      <c r="Y120" s="664"/>
      <c r="Z120" s="664"/>
    </row>
    <row r="121">
      <c r="A121" s="661"/>
      <c r="B121" s="917"/>
      <c r="C121" s="15"/>
      <c r="D121" s="662" t="s">
        <v>1294</v>
      </c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</row>
    <row r="122">
      <c r="A122" s="661"/>
      <c r="B122" s="664"/>
      <c r="C122" s="15"/>
      <c r="D122" s="662"/>
      <c r="E122" s="664"/>
      <c r="F122" s="664"/>
      <c r="G122" s="664"/>
      <c r="H122" s="664"/>
      <c r="I122" s="664"/>
      <c r="J122" s="664"/>
      <c r="K122" s="664"/>
      <c r="L122" s="664"/>
      <c r="M122" s="664"/>
      <c r="N122" s="664"/>
      <c r="O122" s="664"/>
      <c r="P122" s="664"/>
      <c r="Q122" s="664"/>
      <c r="R122" s="664"/>
      <c r="S122" s="664"/>
      <c r="T122" s="664"/>
      <c r="U122" s="664"/>
      <c r="V122" s="664"/>
      <c r="W122" s="664"/>
      <c r="X122" s="664"/>
      <c r="Y122" s="664"/>
      <c r="Z122" s="664"/>
    </row>
    <row r="123">
      <c r="A123" s="661"/>
      <c r="B123" s="918" t="s">
        <v>1086</v>
      </c>
      <c r="C123" s="15" t="s">
        <v>199</v>
      </c>
      <c r="D123" s="912" t="s">
        <v>1342</v>
      </c>
      <c r="E123" s="664"/>
      <c r="F123" s="664"/>
      <c r="G123" s="664"/>
      <c r="H123" s="664"/>
      <c r="I123" s="664"/>
      <c r="J123" s="664"/>
      <c r="K123" s="664"/>
      <c r="L123" s="664"/>
      <c r="M123" s="664"/>
      <c r="N123" s="664"/>
      <c r="O123" s="664"/>
      <c r="P123" s="664"/>
      <c r="Q123" s="664"/>
      <c r="R123" s="664"/>
      <c r="S123" s="664"/>
      <c r="T123" s="664"/>
      <c r="U123" s="664"/>
      <c r="V123" s="664"/>
      <c r="W123" s="664"/>
      <c r="X123" s="664"/>
      <c r="Y123" s="664"/>
      <c r="Z123" s="664"/>
    </row>
    <row r="124">
      <c r="A124" s="661"/>
      <c r="B124" s="918"/>
      <c r="C124" s="15"/>
      <c r="D124" s="662" t="s">
        <v>1294</v>
      </c>
      <c r="E124" s="664"/>
      <c r="F124" s="664"/>
      <c r="G124" s="664"/>
      <c r="H124" s="664"/>
      <c r="I124" s="664"/>
      <c r="J124" s="664"/>
      <c r="K124" s="664"/>
      <c r="L124" s="664"/>
      <c r="M124" s="664"/>
      <c r="N124" s="664"/>
      <c r="O124" s="664"/>
      <c r="P124" s="664"/>
      <c r="Q124" s="664"/>
      <c r="R124" s="664"/>
      <c r="S124" s="664"/>
      <c r="T124" s="664"/>
      <c r="U124" s="664"/>
      <c r="V124" s="664"/>
      <c r="W124" s="664"/>
      <c r="X124" s="664"/>
      <c r="Y124" s="664"/>
      <c r="Z124" s="664"/>
    </row>
    <row r="125">
      <c r="A125" s="661"/>
      <c r="B125" s="664"/>
      <c r="C125" s="15"/>
      <c r="D125" s="662"/>
      <c r="E125" s="664"/>
      <c r="F125" s="664"/>
      <c r="G125" s="664"/>
      <c r="H125" s="664"/>
      <c r="I125" s="664"/>
      <c r="J125" s="664"/>
      <c r="K125" s="664"/>
      <c r="L125" s="664"/>
      <c r="M125" s="664"/>
      <c r="N125" s="664"/>
      <c r="O125" s="664"/>
      <c r="P125" s="664"/>
      <c r="Q125" s="664"/>
      <c r="R125" s="664"/>
      <c r="S125" s="664"/>
      <c r="T125" s="664"/>
      <c r="U125" s="664"/>
      <c r="V125" s="664"/>
      <c r="W125" s="664"/>
      <c r="X125" s="664"/>
      <c r="Y125" s="664"/>
      <c r="Z125" s="664"/>
    </row>
    <row r="126">
      <c r="A126" s="661"/>
      <c r="B126" s="607" t="s">
        <v>154</v>
      </c>
      <c r="C126" s="3" t="str">
        <f>"=&gt;"</f>
        <v>=&gt;</v>
      </c>
      <c r="D126" s="662" t="s">
        <v>1343</v>
      </c>
      <c r="E126" s="664"/>
      <c r="F126" s="664"/>
      <c r="G126" s="664"/>
      <c r="H126" s="664"/>
      <c r="I126" s="664"/>
      <c r="J126" s="664"/>
      <c r="K126" s="664"/>
      <c r="L126" s="664"/>
      <c r="M126" s="664"/>
      <c r="N126" s="664"/>
      <c r="O126" s="664"/>
      <c r="P126" s="664"/>
      <c r="Q126" s="664"/>
      <c r="R126" s="664"/>
      <c r="S126" s="664"/>
      <c r="T126" s="664"/>
      <c r="U126" s="664"/>
      <c r="V126" s="664"/>
      <c r="W126" s="664"/>
      <c r="X126" s="664"/>
      <c r="Y126" s="664"/>
      <c r="Z126" s="664"/>
    </row>
    <row r="127">
      <c r="A127" s="661"/>
      <c r="B127" s="607"/>
      <c r="C127" s="3"/>
      <c r="D127" s="662" t="s">
        <v>1344</v>
      </c>
      <c r="E127" s="664"/>
      <c r="F127" s="664"/>
      <c r="G127" s="664"/>
      <c r="H127" s="664"/>
      <c r="I127" s="664"/>
      <c r="J127" s="664"/>
      <c r="K127" s="664"/>
      <c r="L127" s="664"/>
      <c r="M127" s="664"/>
      <c r="N127" s="664"/>
      <c r="O127" s="664"/>
      <c r="P127" s="664"/>
      <c r="Q127" s="664"/>
      <c r="R127" s="664"/>
      <c r="S127" s="664"/>
      <c r="T127" s="664"/>
      <c r="U127" s="664"/>
      <c r="V127" s="664"/>
      <c r="W127" s="664"/>
      <c r="X127" s="664"/>
      <c r="Y127" s="664"/>
      <c r="Z127" s="664"/>
    </row>
    <row r="128">
      <c r="A128" s="661"/>
      <c r="B128" s="607"/>
      <c r="C128" s="3"/>
      <c r="D128" s="662" t="s">
        <v>1345</v>
      </c>
      <c r="E128" s="664"/>
      <c r="F128" s="664"/>
      <c r="G128" s="664"/>
      <c r="H128" s="664"/>
      <c r="I128" s="664"/>
      <c r="J128" s="664"/>
      <c r="K128" s="664"/>
      <c r="L128" s="664"/>
      <c r="M128" s="664"/>
      <c r="N128" s="664"/>
      <c r="O128" s="664"/>
      <c r="P128" s="664"/>
      <c r="Q128" s="664"/>
      <c r="R128" s="664"/>
      <c r="S128" s="664"/>
      <c r="T128" s="664"/>
      <c r="U128" s="664"/>
      <c r="V128" s="664"/>
      <c r="W128" s="664"/>
      <c r="X128" s="664"/>
      <c r="Y128" s="664"/>
      <c r="Z128" s="664"/>
    </row>
    <row r="129">
      <c r="A129" s="661"/>
      <c r="B129" s="607"/>
      <c r="C129" s="3"/>
      <c r="D129" s="662" t="s">
        <v>1346</v>
      </c>
      <c r="E129" s="664"/>
      <c r="F129" s="664"/>
      <c r="G129" s="664"/>
      <c r="H129" s="664"/>
      <c r="I129" s="664"/>
      <c r="J129" s="664"/>
      <c r="K129" s="664"/>
      <c r="L129" s="664"/>
      <c r="M129" s="664"/>
      <c r="N129" s="664"/>
      <c r="O129" s="664"/>
      <c r="P129" s="664"/>
      <c r="Q129" s="664"/>
      <c r="R129" s="664"/>
      <c r="S129" s="664"/>
      <c r="T129" s="664"/>
      <c r="U129" s="664"/>
      <c r="V129" s="664"/>
      <c r="W129" s="664"/>
      <c r="X129" s="664"/>
      <c r="Y129" s="664"/>
      <c r="Z129" s="664"/>
    </row>
    <row r="130">
      <c r="A130" s="661"/>
      <c r="B130" s="607"/>
      <c r="C130" s="3"/>
      <c r="D130" s="662" t="s">
        <v>1347</v>
      </c>
      <c r="E130" s="664"/>
      <c r="F130" s="664"/>
      <c r="G130" s="664"/>
      <c r="H130" s="664"/>
      <c r="I130" s="664"/>
      <c r="J130" s="664"/>
      <c r="K130" s="664"/>
      <c r="L130" s="664"/>
      <c r="M130" s="664"/>
      <c r="N130" s="664"/>
      <c r="O130" s="664"/>
      <c r="P130" s="664"/>
      <c r="Q130" s="664"/>
      <c r="R130" s="664"/>
      <c r="S130" s="664"/>
      <c r="T130" s="664"/>
      <c r="U130" s="664"/>
      <c r="V130" s="664"/>
      <c r="W130" s="664"/>
      <c r="X130" s="664"/>
      <c r="Y130" s="664"/>
      <c r="Z130" s="664"/>
    </row>
    <row r="131">
      <c r="A131" s="661"/>
      <c r="B131" s="607"/>
      <c r="C131" s="3"/>
      <c r="D131" s="662" t="s">
        <v>1295</v>
      </c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</row>
    <row r="132">
      <c r="A132" s="661"/>
      <c r="B132" s="664"/>
      <c r="C132" s="15"/>
      <c r="D132" s="662"/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4"/>
      <c r="P132" s="664"/>
      <c r="Q132" s="664"/>
      <c r="R132" s="664"/>
      <c r="S132" s="664"/>
      <c r="T132" s="664"/>
      <c r="U132" s="664"/>
      <c r="V132" s="664"/>
      <c r="W132" s="664"/>
      <c r="X132" s="664"/>
      <c r="Y132" s="664"/>
      <c r="Z132" s="664"/>
    </row>
    <row r="133">
      <c r="A133" s="661"/>
      <c r="B133" s="606" t="s">
        <v>155</v>
      </c>
      <c r="C133" s="3" t="str">
        <f>"=&gt;"</f>
        <v>=&gt;</v>
      </c>
      <c r="D133" s="662" t="s">
        <v>1348</v>
      </c>
      <c r="E133" s="664"/>
      <c r="F133" s="664"/>
      <c r="G133" s="664"/>
      <c r="H133" s="664"/>
      <c r="I133" s="664"/>
      <c r="J133" s="664"/>
      <c r="K133" s="664"/>
      <c r="L133" s="664"/>
      <c r="M133" s="664"/>
      <c r="N133" s="664"/>
      <c r="O133" s="664"/>
      <c r="P133" s="664"/>
      <c r="Q133" s="664"/>
      <c r="R133" s="664"/>
      <c r="S133" s="664"/>
      <c r="T133" s="664"/>
      <c r="U133" s="664"/>
      <c r="V133" s="664"/>
      <c r="W133" s="664"/>
      <c r="X133" s="664"/>
      <c r="Y133" s="664"/>
      <c r="Z133" s="664"/>
    </row>
    <row r="134">
      <c r="A134" s="661"/>
      <c r="B134" s="606"/>
      <c r="C134" s="3"/>
      <c r="D134" s="662" t="s">
        <v>1294</v>
      </c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</row>
    <row r="135">
      <c r="A135" s="661"/>
      <c r="B135" s="664"/>
      <c r="C135" s="15"/>
      <c r="D135" s="662"/>
      <c r="E135" s="664"/>
      <c r="F135" s="664"/>
      <c r="G135" s="664"/>
      <c r="H135" s="664"/>
      <c r="I135" s="664"/>
      <c r="J135" s="664"/>
      <c r="K135" s="664"/>
      <c r="L135" s="664"/>
      <c r="M135" s="664"/>
      <c r="N135" s="664"/>
      <c r="O135" s="664"/>
      <c r="P135" s="664"/>
      <c r="Q135" s="664"/>
      <c r="R135" s="664"/>
      <c r="S135" s="664"/>
      <c r="T135" s="664"/>
      <c r="U135" s="664"/>
      <c r="V135" s="664"/>
      <c r="W135" s="664"/>
      <c r="X135" s="664"/>
      <c r="Y135" s="664"/>
      <c r="Z135" s="664"/>
    </row>
    <row r="136">
      <c r="A136" s="661"/>
      <c r="B136" s="919" t="s">
        <v>1087</v>
      </c>
      <c r="C136" s="15" t="str">
        <f>"=&gt;"</f>
        <v>=&gt;</v>
      </c>
      <c r="D136" s="662" t="s">
        <v>1349</v>
      </c>
      <c r="E136" s="664"/>
      <c r="F136" s="664"/>
      <c r="G136" s="664"/>
      <c r="H136" s="664"/>
      <c r="I136" s="664"/>
      <c r="J136" s="664"/>
      <c r="K136" s="664"/>
      <c r="L136" s="664"/>
      <c r="M136" s="664"/>
      <c r="N136" s="664"/>
      <c r="O136" s="664"/>
      <c r="P136" s="664"/>
      <c r="Q136" s="664"/>
      <c r="R136" s="664"/>
      <c r="S136" s="664"/>
      <c r="T136" s="664"/>
      <c r="U136" s="664"/>
      <c r="V136" s="664"/>
      <c r="W136" s="664"/>
      <c r="X136" s="664"/>
      <c r="Y136" s="664"/>
      <c r="Z136" s="664"/>
    </row>
    <row r="137">
      <c r="A137" s="661"/>
      <c r="B137" s="919"/>
      <c r="C137" s="15"/>
      <c r="D137" s="662" t="s">
        <v>1350</v>
      </c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</row>
    <row r="138">
      <c r="A138" s="661"/>
      <c r="B138" s="919"/>
      <c r="C138" s="15"/>
      <c r="D138" s="662" t="s">
        <v>1351</v>
      </c>
      <c r="E138" s="664"/>
      <c r="F138" s="664"/>
      <c r="G138" s="664"/>
      <c r="H138" s="664"/>
      <c r="I138" s="664"/>
      <c r="J138" s="664"/>
      <c r="K138" s="664"/>
      <c r="L138" s="664"/>
      <c r="M138" s="664"/>
      <c r="N138" s="664"/>
      <c r="O138" s="664"/>
      <c r="P138" s="664"/>
      <c r="Q138" s="664"/>
      <c r="R138" s="664"/>
      <c r="S138" s="664"/>
      <c r="T138" s="664"/>
      <c r="U138" s="664"/>
      <c r="V138" s="664"/>
      <c r="W138" s="664"/>
      <c r="X138" s="664"/>
      <c r="Y138" s="664"/>
      <c r="Z138" s="664"/>
    </row>
    <row r="139">
      <c r="A139" s="661"/>
      <c r="B139" s="919"/>
      <c r="C139" s="15"/>
      <c r="D139" s="662" t="s">
        <v>1352</v>
      </c>
      <c r="E139" s="664"/>
      <c r="F139" s="664"/>
      <c r="G139" s="664"/>
      <c r="H139" s="664"/>
      <c r="I139" s="664"/>
      <c r="J139" s="664"/>
      <c r="K139" s="664"/>
      <c r="L139" s="664"/>
      <c r="M139" s="664"/>
      <c r="N139" s="664"/>
      <c r="O139" s="664"/>
      <c r="P139" s="664"/>
      <c r="Q139" s="664"/>
      <c r="R139" s="664"/>
      <c r="S139" s="664"/>
      <c r="T139" s="664"/>
      <c r="U139" s="664"/>
      <c r="V139" s="664"/>
      <c r="W139" s="664"/>
      <c r="X139" s="664"/>
      <c r="Y139" s="664"/>
      <c r="Z139" s="664"/>
    </row>
    <row r="140">
      <c r="A140" s="661"/>
      <c r="B140" s="919"/>
      <c r="C140" s="15"/>
      <c r="D140" s="662" t="s">
        <v>1353</v>
      </c>
      <c r="E140" s="664"/>
      <c r="F140" s="664"/>
      <c r="G140" s="664"/>
      <c r="H140" s="664"/>
      <c r="I140" s="664"/>
      <c r="J140" s="664"/>
      <c r="K140" s="664"/>
      <c r="L140" s="664"/>
      <c r="M140" s="664"/>
      <c r="N140" s="664"/>
      <c r="O140" s="664"/>
      <c r="P140" s="664"/>
      <c r="Q140" s="664"/>
      <c r="R140" s="664"/>
      <c r="S140" s="664"/>
      <c r="T140" s="664"/>
      <c r="U140" s="664"/>
      <c r="V140" s="664"/>
      <c r="W140" s="664"/>
      <c r="X140" s="664"/>
      <c r="Y140" s="664"/>
      <c r="Z140" s="664"/>
    </row>
    <row r="141">
      <c r="A141" s="661"/>
      <c r="B141" s="919"/>
      <c r="C141" s="15"/>
      <c r="D141" s="662" t="s">
        <v>1354</v>
      </c>
      <c r="E141" s="664"/>
      <c r="F141" s="664"/>
      <c r="G141" s="664"/>
      <c r="H141" s="664"/>
      <c r="I141" s="664"/>
      <c r="J141" s="664"/>
      <c r="K141" s="664"/>
      <c r="L141" s="664"/>
      <c r="M141" s="664"/>
      <c r="N141" s="664"/>
      <c r="O141" s="664"/>
      <c r="P141" s="664"/>
      <c r="Q141" s="664"/>
      <c r="R141" s="664"/>
      <c r="S141" s="664"/>
      <c r="T141" s="664"/>
      <c r="U141" s="664"/>
      <c r="V141" s="664"/>
      <c r="W141" s="664"/>
      <c r="X141" s="664"/>
      <c r="Y141" s="664"/>
      <c r="Z141" s="664"/>
    </row>
    <row r="142">
      <c r="A142" s="661"/>
      <c r="B142" s="664"/>
      <c r="C142" s="15"/>
      <c r="D142" s="662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</row>
    <row r="143">
      <c r="A143" s="661"/>
      <c r="B143" s="920" t="s">
        <v>157</v>
      </c>
      <c r="C143" s="15" t="str">
        <f>"=&gt;"</f>
        <v>=&gt;</v>
      </c>
      <c r="D143" s="662" t="s">
        <v>1355</v>
      </c>
      <c r="E143" s="664"/>
      <c r="F143" s="664"/>
      <c r="G143" s="664"/>
      <c r="H143" s="664"/>
      <c r="I143" s="664"/>
      <c r="J143" s="664"/>
      <c r="K143" s="664"/>
      <c r="L143" s="664"/>
      <c r="M143" s="664"/>
      <c r="N143" s="664"/>
      <c r="O143" s="664"/>
      <c r="P143" s="664"/>
      <c r="Q143" s="664"/>
      <c r="R143" s="664"/>
      <c r="S143" s="664"/>
      <c r="T143" s="664"/>
      <c r="U143" s="664"/>
      <c r="V143" s="664"/>
      <c r="W143" s="664"/>
      <c r="X143" s="664"/>
      <c r="Y143" s="664"/>
      <c r="Z143" s="664"/>
    </row>
    <row r="144">
      <c r="A144" s="661"/>
      <c r="B144" s="920"/>
      <c r="C144" s="15"/>
      <c r="D144" s="662" t="s">
        <v>1297</v>
      </c>
      <c r="E144" s="664"/>
      <c r="F144" s="664"/>
      <c r="G144" s="664"/>
      <c r="H144" s="664"/>
      <c r="I144" s="664"/>
      <c r="J144" s="664"/>
      <c r="K144" s="664"/>
      <c r="L144" s="664"/>
      <c r="M144" s="664"/>
      <c r="N144" s="664"/>
      <c r="O144" s="664"/>
      <c r="P144" s="664"/>
      <c r="Q144" s="664"/>
      <c r="R144" s="664"/>
      <c r="S144" s="664"/>
      <c r="T144" s="664"/>
      <c r="U144" s="664"/>
      <c r="V144" s="664"/>
      <c r="W144" s="664"/>
      <c r="X144" s="664"/>
      <c r="Y144" s="664"/>
      <c r="Z144" s="664"/>
    </row>
    <row r="145">
      <c r="A145" s="661"/>
      <c r="B145" s="664"/>
      <c r="C145" s="15"/>
      <c r="D145" s="662"/>
      <c r="E145" s="664"/>
      <c r="F145" s="664"/>
      <c r="G145" s="664"/>
      <c r="H145" s="664"/>
      <c r="I145" s="664"/>
      <c r="J145" s="664"/>
      <c r="K145" s="664"/>
      <c r="L145" s="664"/>
      <c r="M145" s="664"/>
      <c r="N145" s="664"/>
      <c r="O145" s="664"/>
      <c r="P145" s="664"/>
      <c r="Q145" s="664"/>
      <c r="R145" s="664"/>
      <c r="S145" s="664"/>
      <c r="T145" s="664"/>
      <c r="U145" s="664"/>
      <c r="V145" s="664"/>
      <c r="W145" s="664"/>
      <c r="X145" s="664"/>
      <c r="Y145" s="664"/>
      <c r="Z145" s="664"/>
    </row>
    <row r="146">
      <c r="A146" s="661"/>
      <c r="B146" s="921" t="s">
        <v>110</v>
      </c>
      <c r="C146" s="15" t="str">
        <f>"=&gt;"</f>
        <v>=&gt;</v>
      </c>
      <c r="D146" s="662" t="s">
        <v>1356</v>
      </c>
      <c r="E146" s="664"/>
      <c r="F146" s="664"/>
      <c r="G146" s="664"/>
      <c r="H146" s="664"/>
      <c r="I146" s="664"/>
      <c r="J146" s="664"/>
      <c r="K146" s="664"/>
      <c r="L146" s="664"/>
      <c r="M146" s="664"/>
      <c r="N146" s="664"/>
      <c r="O146" s="664"/>
      <c r="P146" s="664"/>
      <c r="Q146" s="664"/>
      <c r="R146" s="664"/>
      <c r="S146" s="664"/>
      <c r="T146" s="664"/>
      <c r="U146" s="664"/>
      <c r="V146" s="664"/>
      <c r="W146" s="664"/>
      <c r="X146" s="664"/>
      <c r="Y146" s="664"/>
      <c r="Z146" s="664"/>
    </row>
    <row r="147">
      <c r="A147" s="661"/>
      <c r="B147" s="921"/>
      <c r="C147" s="15"/>
      <c r="D147" s="662" t="s">
        <v>1357</v>
      </c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</row>
    <row r="148">
      <c r="A148" s="661"/>
      <c r="B148" s="921"/>
      <c r="C148" s="15"/>
      <c r="D148" s="662" t="s">
        <v>1358</v>
      </c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4"/>
      <c r="P148" s="664"/>
      <c r="Q148" s="664"/>
      <c r="R148" s="664"/>
      <c r="S148" s="664"/>
      <c r="T148" s="664"/>
      <c r="U148" s="664"/>
      <c r="V148" s="664"/>
      <c r="W148" s="664"/>
      <c r="X148" s="664"/>
      <c r="Y148" s="664"/>
      <c r="Z148" s="664"/>
    </row>
    <row r="149">
      <c r="A149" s="661"/>
      <c r="B149" s="921"/>
      <c r="C149" s="15"/>
      <c r="D149" s="662" t="s">
        <v>1359</v>
      </c>
      <c r="E149" s="664"/>
      <c r="F149" s="664"/>
      <c r="G149" s="664"/>
      <c r="H149" s="664"/>
      <c r="I149" s="664"/>
      <c r="J149" s="664"/>
      <c r="K149" s="664"/>
      <c r="L149" s="664"/>
      <c r="M149" s="664"/>
      <c r="N149" s="664"/>
      <c r="O149" s="664"/>
      <c r="P149" s="664"/>
      <c r="Q149" s="664"/>
      <c r="R149" s="664"/>
      <c r="S149" s="664"/>
      <c r="T149" s="664"/>
      <c r="U149" s="664"/>
      <c r="V149" s="664"/>
      <c r="W149" s="664"/>
      <c r="X149" s="664"/>
      <c r="Y149" s="664"/>
      <c r="Z149" s="664"/>
    </row>
    <row r="150">
      <c r="A150" s="661"/>
      <c r="B150" s="921"/>
      <c r="C150" s="15"/>
      <c r="D150" s="662" t="s">
        <v>1360</v>
      </c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</row>
    <row r="151">
      <c r="A151" s="661"/>
      <c r="B151" s="921"/>
      <c r="C151" s="15"/>
      <c r="D151" s="662" t="s">
        <v>1298</v>
      </c>
      <c r="E151" s="664"/>
      <c r="F151" s="664"/>
      <c r="G151" s="664"/>
      <c r="H151" s="664"/>
      <c r="I151" s="664"/>
      <c r="J151" s="664"/>
      <c r="K151" s="664"/>
      <c r="L151" s="664"/>
      <c r="M151" s="664"/>
      <c r="N151" s="664"/>
      <c r="O151" s="664"/>
      <c r="P151" s="664"/>
      <c r="Q151" s="664"/>
      <c r="R151" s="664"/>
      <c r="S151" s="664"/>
      <c r="T151" s="664"/>
      <c r="U151" s="664"/>
      <c r="V151" s="664"/>
      <c r="W151" s="664"/>
      <c r="X151" s="664"/>
      <c r="Y151" s="664"/>
      <c r="Z151" s="664"/>
    </row>
    <row r="152">
      <c r="A152" s="661"/>
      <c r="B152" s="664"/>
      <c r="C152" s="15"/>
      <c r="D152" s="662"/>
      <c r="E152" s="664"/>
      <c r="F152" s="664"/>
      <c r="G152" s="664"/>
      <c r="H152" s="664"/>
      <c r="I152" s="664"/>
      <c r="J152" s="664"/>
      <c r="K152" s="664"/>
      <c r="L152" s="664"/>
      <c r="M152" s="664"/>
      <c r="N152" s="664"/>
      <c r="O152" s="664"/>
      <c r="P152" s="664"/>
      <c r="Q152" s="664"/>
      <c r="R152" s="664"/>
      <c r="S152" s="664"/>
      <c r="T152" s="664"/>
      <c r="U152" s="664"/>
      <c r="V152" s="664"/>
      <c r="W152" s="664"/>
      <c r="X152" s="664"/>
      <c r="Y152" s="664"/>
      <c r="Z152" s="664"/>
    </row>
    <row r="153">
      <c r="A153" s="661"/>
      <c r="B153" s="612" t="s">
        <v>1088</v>
      </c>
      <c r="C153" s="3" t="str">
        <f>"=&gt;"</f>
        <v>=&gt;</v>
      </c>
      <c r="D153" s="662" t="s">
        <v>1361</v>
      </c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</row>
    <row r="154">
      <c r="A154" s="661"/>
      <c r="B154" s="612"/>
      <c r="C154" s="3"/>
      <c r="D154" s="662" t="s">
        <v>1362</v>
      </c>
      <c r="E154" s="664"/>
      <c r="F154" s="664"/>
      <c r="G154" s="664"/>
      <c r="H154" s="664"/>
      <c r="I154" s="664"/>
      <c r="J154" s="664"/>
      <c r="K154" s="664"/>
      <c r="L154" s="664"/>
      <c r="M154" s="664"/>
      <c r="N154" s="664"/>
      <c r="O154" s="664"/>
      <c r="P154" s="664"/>
      <c r="Q154" s="664"/>
      <c r="R154" s="664"/>
      <c r="S154" s="664"/>
      <c r="T154" s="664"/>
      <c r="U154" s="664"/>
      <c r="V154" s="664"/>
      <c r="W154" s="664"/>
      <c r="X154" s="664"/>
      <c r="Y154" s="664"/>
      <c r="Z154" s="664"/>
    </row>
    <row r="155">
      <c r="A155" s="661"/>
      <c r="B155" s="664"/>
      <c r="C155" s="15"/>
      <c r="D155" s="662"/>
      <c r="E155" s="664"/>
      <c r="F155" s="664"/>
      <c r="G155" s="664"/>
      <c r="H155" s="664"/>
      <c r="I155" s="664"/>
      <c r="J155" s="664"/>
      <c r="K155" s="664"/>
      <c r="L155" s="664"/>
      <c r="M155" s="664"/>
      <c r="N155" s="664"/>
      <c r="O155" s="664"/>
      <c r="P155" s="664"/>
      <c r="Q155" s="664"/>
      <c r="R155" s="664"/>
      <c r="S155" s="664"/>
      <c r="T155" s="664"/>
      <c r="U155" s="664"/>
      <c r="V155" s="664"/>
      <c r="W155" s="664"/>
      <c r="X155" s="664"/>
      <c r="Y155" s="664"/>
      <c r="Z155" s="664"/>
    </row>
    <row r="156">
      <c r="A156" s="661"/>
      <c r="B156" s="613" t="s">
        <v>1089</v>
      </c>
      <c r="C156" s="3" t="str">
        <f>"=&gt;"</f>
        <v>=&gt;</v>
      </c>
      <c r="D156" s="662" t="s">
        <v>1363</v>
      </c>
      <c r="E156" s="664"/>
      <c r="F156" s="664"/>
      <c r="G156" s="664"/>
      <c r="H156" s="664"/>
      <c r="I156" s="664"/>
      <c r="J156" s="664"/>
      <c r="K156" s="664"/>
      <c r="L156" s="664"/>
      <c r="M156" s="664"/>
      <c r="N156" s="664"/>
      <c r="O156" s="664"/>
      <c r="P156" s="664"/>
      <c r="Q156" s="664"/>
      <c r="R156" s="664"/>
      <c r="S156" s="664"/>
      <c r="T156" s="664"/>
      <c r="U156" s="664"/>
      <c r="V156" s="664"/>
      <c r="W156" s="664"/>
      <c r="X156" s="664"/>
      <c r="Y156" s="664"/>
      <c r="Z156" s="664"/>
    </row>
    <row r="157">
      <c r="A157" s="661"/>
      <c r="B157" s="613"/>
      <c r="C157" s="3"/>
      <c r="D157" s="662" t="s">
        <v>1364</v>
      </c>
      <c r="E157" s="664"/>
      <c r="F157" s="664"/>
      <c r="G157" s="664"/>
      <c r="H157" s="664"/>
      <c r="I157" s="664"/>
      <c r="J157" s="664"/>
      <c r="K157" s="664"/>
      <c r="L157" s="664"/>
      <c r="M157" s="664"/>
      <c r="N157" s="664"/>
      <c r="O157" s="664"/>
      <c r="P157" s="664"/>
      <c r="Q157" s="664"/>
      <c r="R157" s="664"/>
      <c r="S157" s="664"/>
      <c r="T157" s="664"/>
      <c r="U157" s="664"/>
      <c r="V157" s="664"/>
      <c r="W157" s="664"/>
      <c r="X157" s="664"/>
      <c r="Y157" s="664"/>
      <c r="Z157" s="664"/>
    </row>
    <row r="158">
      <c r="A158" s="661"/>
      <c r="B158" s="613"/>
      <c r="C158" s="3"/>
      <c r="D158" s="662" t="s">
        <v>1365</v>
      </c>
      <c r="E158" s="664"/>
      <c r="F158" s="664"/>
      <c r="G158" s="664"/>
      <c r="H158" s="664"/>
      <c r="I158" s="664"/>
      <c r="J158" s="664"/>
      <c r="K158" s="664"/>
      <c r="L158" s="664"/>
      <c r="M158" s="664"/>
      <c r="N158" s="664"/>
      <c r="O158" s="664"/>
      <c r="P158" s="664"/>
      <c r="Q158" s="664"/>
      <c r="R158" s="664"/>
      <c r="S158" s="664"/>
      <c r="T158" s="664"/>
      <c r="U158" s="664"/>
      <c r="V158" s="664"/>
      <c r="W158" s="664"/>
      <c r="X158" s="664"/>
      <c r="Y158" s="664"/>
      <c r="Z158" s="664"/>
    </row>
    <row r="159">
      <c r="A159" s="661"/>
      <c r="B159" s="613"/>
      <c r="C159" s="3"/>
      <c r="D159" s="662" t="s">
        <v>1366</v>
      </c>
      <c r="E159" s="664"/>
      <c r="F159" s="664"/>
      <c r="G159" s="664"/>
      <c r="H159" s="664"/>
      <c r="I159" s="664"/>
      <c r="J159" s="664"/>
      <c r="K159" s="664"/>
      <c r="L159" s="664"/>
      <c r="M159" s="664"/>
      <c r="N159" s="664"/>
      <c r="O159" s="664"/>
      <c r="P159" s="664"/>
      <c r="Q159" s="664"/>
      <c r="R159" s="664"/>
      <c r="S159" s="664"/>
      <c r="T159" s="664"/>
      <c r="U159" s="664"/>
      <c r="V159" s="664"/>
      <c r="W159" s="664"/>
      <c r="X159" s="664"/>
      <c r="Y159" s="664"/>
      <c r="Z159" s="664"/>
    </row>
    <row r="160">
      <c r="A160" s="661"/>
      <c r="B160" s="613"/>
      <c r="C160" s="3"/>
      <c r="D160" s="662" t="s">
        <v>1367</v>
      </c>
      <c r="E160" s="664"/>
      <c r="F160" s="664"/>
      <c r="G160" s="664"/>
      <c r="H160" s="664"/>
      <c r="I160" s="664"/>
      <c r="J160" s="664"/>
      <c r="K160" s="664"/>
      <c r="L160" s="664"/>
      <c r="M160" s="664"/>
      <c r="N160" s="664"/>
      <c r="O160" s="664"/>
      <c r="P160" s="664"/>
      <c r="Q160" s="664"/>
      <c r="R160" s="664"/>
      <c r="S160" s="664"/>
      <c r="T160" s="664"/>
      <c r="U160" s="664"/>
      <c r="V160" s="664"/>
      <c r="W160" s="664"/>
      <c r="X160" s="664"/>
      <c r="Y160" s="664"/>
      <c r="Z160" s="664"/>
    </row>
    <row r="161">
      <c r="A161" s="661"/>
      <c r="B161" s="613"/>
      <c r="C161" s="3"/>
      <c r="D161" s="662" t="s">
        <v>1300</v>
      </c>
      <c r="E161" s="664"/>
      <c r="F161" s="664"/>
      <c r="G161" s="664"/>
      <c r="H161" s="664"/>
      <c r="I161" s="664"/>
      <c r="J161" s="664"/>
      <c r="K161" s="664"/>
      <c r="L161" s="664"/>
      <c r="M161" s="664"/>
      <c r="N161" s="664"/>
      <c r="O161" s="664"/>
      <c r="P161" s="664"/>
      <c r="Q161" s="664"/>
      <c r="R161" s="664"/>
      <c r="S161" s="664"/>
      <c r="T161" s="664"/>
      <c r="U161" s="664"/>
      <c r="V161" s="664"/>
      <c r="W161" s="664"/>
      <c r="X161" s="664"/>
      <c r="Y161" s="664"/>
      <c r="Z161" s="664"/>
    </row>
    <row r="162">
      <c r="A162" s="661"/>
      <c r="B162" s="664"/>
      <c r="C162" s="15"/>
      <c r="D162" s="662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</row>
    <row r="163">
      <c r="A163" s="661"/>
      <c r="B163" s="922" t="s">
        <v>1090</v>
      </c>
      <c r="C163" s="15" t="str">
        <f>"=&gt;"</f>
        <v>=&gt;</v>
      </c>
      <c r="D163" s="662" t="s">
        <v>1368</v>
      </c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</row>
    <row r="164">
      <c r="A164" s="661"/>
      <c r="B164" s="922"/>
      <c r="C164" s="15"/>
      <c r="D164" s="662" t="s">
        <v>1298</v>
      </c>
      <c r="E164" s="664"/>
      <c r="F164" s="664"/>
      <c r="G164" s="664"/>
      <c r="H164" s="664"/>
      <c r="I164" s="664"/>
      <c r="J164" s="664"/>
      <c r="K164" s="664"/>
      <c r="L164" s="664"/>
      <c r="M164" s="664"/>
      <c r="N164" s="664"/>
      <c r="O164" s="664"/>
      <c r="P164" s="664"/>
      <c r="Q164" s="664"/>
      <c r="R164" s="664"/>
      <c r="S164" s="664"/>
      <c r="T164" s="664"/>
      <c r="U164" s="664"/>
      <c r="V164" s="664"/>
      <c r="W164" s="664"/>
      <c r="X164" s="664"/>
      <c r="Y164" s="664"/>
      <c r="Z164" s="664"/>
    </row>
    <row r="165">
      <c r="A165" s="661"/>
      <c r="B165" s="664"/>
      <c r="C165" s="15"/>
      <c r="D165" s="662"/>
      <c r="E165" s="664"/>
      <c r="F165" s="664"/>
      <c r="G165" s="664"/>
      <c r="H165" s="664"/>
      <c r="I165" s="664"/>
      <c r="J165" s="664"/>
      <c r="K165" s="664"/>
      <c r="L165" s="664"/>
      <c r="M165" s="664"/>
      <c r="N165" s="664"/>
      <c r="O165" s="664"/>
      <c r="P165" s="664"/>
      <c r="Q165" s="664"/>
      <c r="R165" s="664"/>
      <c r="S165" s="664"/>
      <c r="T165" s="664"/>
      <c r="U165" s="664"/>
      <c r="V165" s="664"/>
      <c r="W165" s="664"/>
      <c r="X165" s="664"/>
      <c r="Y165" s="664"/>
      <c r="Z165" s="664"/>
    </row>
    <row r="166">
      <c r="A166" s="661"/>
      <c r="B166" s="923" t="s">
        <v>1091</v>
      </c>
      <c r="C166" s="15" t="str">
        <f>"=&gt;"</f>
        <v>=&gt;</v>
      </c>
      <c r="D166" s="662" t="s">
        <v>1369</v>
      </c>
      <c r="E166" s="664"/>
      <c r="F166" s="664"/>
      <c r="G166" s="664"/>
      <c r="H166" s="664"/>
      <c r="I166" s="664"/>
      <c r="J166" s="664"/>
      <c r="K166" s="664"/>
      <c r="L166" s="664"/>
      <c r="M166" s="664"/>
      <c r="N166" s="664"/>
      <c r="O166" s="664"/>
      <c r="P166" s="664"/>
      <c r="Q166" s="664"/>
      <c r="R166" s="664"/>
      <c r="S166" s="664"/>
      <c r="T166" s="664"/>
      <c r="U166" s="664"/>
      <c r="V166" s="664"/>
      <c r="W166" s="664"/>
      <c r="X166" s="664"/>
      <c r="Y166" s="664"/>
      <c r="Z166" s="664"/>
    </row>
    <row r="167">
      <c r="A167" s="661"/>
      <c r="B167" s="923"/>
      <c r="C167" s="15"/>
      <c r="D167" s="662" t="s">
        <v>1370</v>
      </c>
      <c r="E167" s="664"/>
      <c r="F167" s="664"/>
      <c r="G167" s="664"/>
      <c r="H167" s="664"/>
      <c r="I167" s="664"/>
      <c r="J167" s="664"/>
      <c r="K167" s="664"/>
      <c r="L167" s="664"/>
      <c r="M167" s="664"/>
      <c r="N167" s="664"/>
      <c r="O167" s="664"/>
      <c r="P167" s="664"/>
      <c r="Q167" s="664"/>
      <c r="R167" s="664"/>
      <c r="S167" s="664"/>
      <c r="T167" s="664"/>
      <c r="U167" s="664"/>
      <c r="V167" s="664"/>
      <c r="W167" s="664"/>
      <c r="X167" s="664"/>
      <c r="Y167" s="664"/>
      <c r="Z167" s="664"/>
    </row>
    <row r="168">
      <c r="A168" s="661"/>
      <c r="B168" s="923"/>
      <c r="C168" s="15"/>
      <c r="D168" s="662" t="s">
        <v>1371</v>
      </c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</row>
    <row r="169">
      <c r="A169" s="661"/>
      <c r="B169" s="923"/>
      <c r="C169" s="15"/>
      <c r="D169" s="662" t="s">
        <v>1372</v>
      </c>
      <c r="E169" s="664"/>
      <c r="F169" s="664"/>
      <c r="G169" s="664"/>
      <c r="H169" s="664"/>
      <c r="I169" s="664"/>
      <c r="J169" s="664"/>
      <c r="K169" s="664"/>
      <c r="L169" s="664"/>
      <c r="M169" s="664"/>
      <c r="N169" s="664"/>
      <c r="O169" s="664"/>
      <c r="P169" s="664"/>
      <c r="Q169" s="664"/>
      <c r="R169" s="664"/>
      <c r="S169" s="664"/>
      <c r="T169" s="664"/>
      <c r="U169" s="664"/>
      <c r="V169" s="664"/>
      <c r="W169" s="664"/>
      <c r="X169" s="664"/>
      <c r="Y169" s="664"/>
      <c r="Z169" s="664"/>
    </row>
    <row r="170">
      <c r="A170" s="661"/>
      <c r="B170" s="923"/>
      <c r="C170" s="15"/>
      <c r="D170" s="662" t="s">
        <v>1373</v>
      </c>
      <c r="E170" s="664"/>
      <c r="F170" s="664"/>
      <c r="G170" s="664"/>
      <c r="H170" s="664"/>
      <c r="I170" s="664"/>
      <c r="J170" s="664"/>
      <c r="K170" s="664"/>
      <c r="L170" s="664"/>
      <c r="M170" s="664"/>
      <c r="N170" s="664"/>
      <c r="O170" s="664"/>
      <c r="P170" s="664"/>
      <c r="Q170" s="664"/>
      <c r="R170" s="664"/>
      <c r="S170" s="664"/>
      <c r="T170" s="664"/>
      <c r="U170" s="664"/>
      <c r="V170" s="664"/>
      <c r="W170" s="664"/>
      <c r="X170" s="664"/>
      <c r="Y170" s="664"/>
      <c r="Z170" s="664"/>
    </row>
    <row r="171">
      <c r="A171" s="661"/>
      <c r="B171" s="923"/>
      <c r="C171" s="15"/>
      <c r="D171" s="662" t="s">
        <v>1301</v>
      </c>
      <c r="E171" s="664"/>
      <c r="F171" s="664"/>
      <c r="G171" s="664"/>
      <c r="H171" s="664"/>
      <c r="I171" s="664"/>
      <c r="J171" s="664"/>
      <c r="K171" s="664"/>
      <c r="L171" s="664"/>
      <c r="M171" s="664"/>
      <c r="N171" s="664"/>
      <c r="O171" s="664"/>
      <c r="P171" s="664"/>
      <c r="Q171" s="664"/>
      <c r="R171" s="664"/>
      <c r="S171" s="664"/>
      <c r="T171" s="664"/>
      <c r="U171" s="664"/>
      <c r="V171" s="664"/>
      <c r="W171" s="664"/>
      <c r="X171" s="664"/>
      <c r="Y171" s="664"/>
      <c r="Z171" s="664"/>
    </row>
    <row r="172">
      <c r="A172" s="661"/>
      <c r="B172" s="664"/>
      <c r="C172" s="15"/>
      <c r="D172" s="662"/>
      <c r="E172" s="664"/>
      <c r="F172" s="664"/>
      <c r="G172" s="664"/>
      <c r="H172" s="664"/>
      <c r="I172" s="664"/>
      <c r="J172" s="664"/>
      <c r="K172" s="664"/>
      <c r="L172" s="664"/>
      <c r="M172" s="664"/>
      <c r="N172" s="664"/>
      <c r="O172" s="664"/>
      <c r="P172" s="664"/>
      <c r="Q172" s="664"/>
      <c r="R172" s="664"/>
      <c r="S172" s="664"/>
      <c r="T172" s="664"/>
      <c r="U172" s="664"/>
      <c r="V172" s="664"/>
      <c r="W172" s="664"/>
      <c r="X172" s="664"/>
      <c r="Y172" s="664"/>
      <c r="Z172" s="664"/>
    </row>
    <row r="173">
      <c r="A173" s="661"/>
      <c r="B173" s="617" t="s">
        <v>1092</v>
      </c>
      <c r="C173" s="3" t="str">
        <f>"=&gt;"</f>
        <v>=&gt;</v>
      </c>
      <c r="D173" s="662" t="s">
        <v>1374</v>
      </c>
      <c r="E173" s="664"/>
      <c r="F173" s="664"/>
      <c r="G173" s="664"/>
      <c r="H173" s="664"/>
      <c r="I173" s="664"/>
      <c r="J173" s="664"/>
      <c r="K173" s="664"/>
      <c r="L173" s="664"/>
      <c r="M173" s="664"/>
      <c r="N173" s="664"/>
      <c r="O173" s="664"/>
      <c r="P173" s="664"/>
      <c r="Q173" s="664"/>
      <c r="R173" s="664"/>
      <c r="S173" s="664"/>
      <c r="T173" s="664"/>
      <c r="U173" s="664"/>
      <c r="V173" s="664"/>
      <c r="W173" s="664"/>
      <c r="X173" s="664"/>
      <c r="Y173" s="664"/>
      <c r="Z173" s="664"/>
    </row>
    <row r="174">
      <c r="A174" s="661"/>
      <c r="B174" s="617"/>
      <c r="C174" s="3"/>
      <c r="D174" s="662" t="s">
        <v>1300</v>
      </c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</row>
    <row r="175">
      <c r="A175" s="661"/>
      <c r="B175" s="664"/>
      <c r="C175" s="15"/>
      <c r="D175" s="662"/>
      <c r="E175" s="664"/>
      <c r="F175" s="664"/>
      <c r="G175" s="664"/>
      <c r="H175" s="664"/>
      <c r="I175" s="664"/>
      <c r="J175" s="664"/>
      <c r="K175" s="664"/>
      <c r="L175" s="664"/>
      <c r="M175" s="664"/>
      <c r="N175" s="664"/>
      <c r="O175" s="664"/>
      <c r="P175" s="664"/>
      <c r="Q175" s="664"/>
      <c r="R175" s="664"/>
      <c r="S175" s="664"/>
      <c r="T175" s="664"/>
      <c r="U175" s="664"/>
      <c r="V175" s="664"/>
      <c r="W175" s="664"/>
      <c r="X175" s="664"/>
      <c r="Y175" s="664"/>
      <c r="Z175" s="664"/>
    </row>
    <row r="176">
      <c r="A176" s="661"/>
      <c r="B176" s="924" t="s">
        <v>1093</v>
      </c>
      <c r="C176" s="15" t="str">
        <f>"=&gt;"</f>
        <v>=&gt;</v>
      </c>
      <c r="D176" s="662" t="s">
        <v>1375</v>
      </c>
      <c r="E176" s="664"/>
      <c r="F176" s="664"/>
      <c r="G176" s="664"/>
      <c r="H176" s="664"/>
      <c r="I176" s="664"/>
      <c r="J176" s="664"/>
      <c r="K176" s="664"/>
      <c r="L176" s="664"/>
      <c r="M176" s="664"/>
      <c r="N176" s="664"/>
      <c r="O176" s="664"/>
      <c r="P176" s="664"/>
      <c r="Q176" s="664"/>
      <c r="R176" s="664"/>
      <c r="S176" s="664"/>
      <c r="T176" s="664"/>
      <c r="U176" s="664"/>
      <c r="V176" s="664"/>
      <c r="W176" s="664"/>
      <c r="X176" s="664"/>
      <c r="Y176" s="664"/>
      <c r="Z176" s="664"/>
    </row>
    <row r="177">
      <c r="A177" s="661"/>
      <c r="B177" s="924"/>
      <c r="C177" s="15"/>
      <c r="D177" s="662" t="s">
        <v>1376</v>
      </c>
      <c r="E177" s="664"/>
      <c r="F177" s="664"/>
      <c r="G177" s="664"/>
      <c r="H177" s="664"/>
      <c r="I177" s="664"/>
      <c r="J177" s="664"/>
      <c r="K177" s="664"/>
      <c r="L177" s="664"/>
      <c r="M177" s="664"/>
      <c r="N177" s="664"/>
      <c r="O177" s="664"/>
      <c r="P177" s="664"/>
      <c r="Q177" s="664"/>
      <c r="R177" s="664"/>
      <c r="S177" s="664"/>
      <c r="T177" s="664"/>
      <c r="U177" s="664"/>
      <c r="V177" s="664"/>
      <c r="W177" s="664"/>
      <c r="X177" s="664"/>
      <c r="Y177" s="664"/>
      <c r="Z177" s="664"/>
    </row>
    <row r="178">
      <c r="A178" s="661"/>
      <c r="B178" s="924"/>
      <c r="C178" s="15"/>
      <c r="D178" s="662" t="s">
        <v>1377</v>
      </c>
      <c r="E178" s="664"/>
      <c r="F178" s="664"/>
      <c r="G178" s="664"/>
      <c r="H178" s="664"/>
      <c r="I178" s="664"/>
      <c r="J178" s="664"/>
      <c r="K178" s="664"/>
      <c r="L178" s="664"/>
      <c r="M178" s="664"/>
      <c r="N178" s="664"/>
      <c r="O178" s="664"/>
      <c r="P178" s="664"/>
      <c r="Q178" s="664"/>
      <c r="R178" s="664"/>
      <c r="S178" s="664"/>
      <c r="T178" s="664"/>
      <c r="U178" s="664"/>
      <c r="V178" s="664"/>
      <c r="W178" s="664"/>
      <c r="X178" s="664"/>
      <c r="Y178" s="664"/>
      <c r="Z178" s="664"/>
    </row>
    <row r="179">
      <c r="A179" s="661"/>
      <c r="B179" s="924"/>
      <c r="C179" s="15"/>
      <c r="D179" s="662" t="s">
        <v>1378</v>
      </c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</row>
    <row r="180">
      <c r="A180" s="661"/>
      <c r="B180" s="924"/>
      <c r="C180" s="15"/>
      <c r="D180" s="662" t="s">
        <v>1379</v>
      </c>
      <c r="E180" s="664"/>
      <c r="F180" s="664"/>
      <c r="G180" s="664"/>
      <c r="H180" s="664"/>
      <c r="I180" s="664"/>
      <c r="J180" s="664"/>
      <c r="K180" s="664"/>
      <c r="L180" s="664"/>
      <c r="M180" s="664"/>
      <c r="N180" s="664"/>
      <c r="O180" s="664"/>
      <c r="P180" s="664"/>
      <c r="Q180" s="664"/>
      <c r="R180" s="664"/>
      <c r="S180" s="664"/>
      <c r="T180" s="664"/>
      <c r="U180" s="664"/>
      <c r="V180" s="664"/>
      <c r="W180" s="664"/>
      <c r="X180" s="664"/>
      <c r="Y180" s="664"/>
      <c r="Z180" s="664"/>
    </row>
    <row r="181">
      <c r="A181" s="661"/>
      <c r="B181" s="924"/>
      <c r="C181" s="15"/>
      <c r="D181" s="662" t="s">
        <v>1302</v>
      </c>
      <c r="E181" s="664"/>
      <c r="F181" s="664"/>
      <c r="G181" s="664"/>
      <c r="H181" s="664"/>
      <c r="I181" s="664"/>
      <c r="J181" s="664"/>
      <c r="K181" s="664"/>
      <c r="L181" s="664"/>
      <c r="M181" s="664"/>
      <c r="N181" s="664"/>
      <c r="O181" s="664"/>
      <c r="P181" s="664"/>
      <c r="Q181" s="664"/>
      <c r="R181" s="664"/>
      <c r="S181" s="664"/>
      <c r="T181" s="664"/>
      <c r="U181" s="664"/>
      <c r="V181" s="664"/>
      <c r="W181" s="664"/>
      <c r="X181" s="664"/>
      <c r="Y181" s="664"/>
      <c r="Z181" s="664"/>
    </row>
    <row r="182">
      <c r="A182" s="661"/>
      <c r="B182" s="664"/>
      <c r="C182" s="15"/>
      <c r="D182" s="662"/>
      <c r="E182" s="664"/>
      <c r="F182" s="664"/>
      <c r="G182" s="664"/>
      <c r="H182" s="664"/>
      <c r="I182" s="664"/>
      <c r="J182" s="664"/>
      <c r="K182" s="664"/>
      <c r="L182" s="664"/>
      <c r="M182" s="664"/>
      <c r="N182" s="664"/>
      <c r="O182" s="664"/>
      <c r="P182" s="664"/>
      <c r="Q182" s="664"/>
      <c r="R182" s="664"/>
      <c r="S182" s="664"/>
      <c r="T182" s="664"/>
      <c r="U182" s="664"/>
      <c r="V182" s="664"/>
      <c r="W182" s="664"/>
      <c r="X182" s="664"/>
      <c r="Y182" s="664"/>
      <c r="Z182" s="664"/>
    </row>
    <row r="183">
      <c r="A183" s="661"/>
      <c r="B183" s="925" t="s">
        <v>1094</v>
      </c>
      <c r="C183" s="15" t="str">
        <f>"=&gt;"</f>
        <v>=&gt;</v>
      </c>
      <c r="D183" s="662" t="s">
        <v>1380</v>
      </c>
      <c r="E183" s="664"/>
      <c r="F183" s="664"/>
      <c r="G183" s="664"/>
      <c r="H183" s="664"/>
      <c r="I183" s="664"/>
      <c r="J183" s="664"/>
      <c r="K183" s="664"/>
      <c r="L183" s="664"/>
      <c r="M183" s="664"/>
      <c r="N183" s="664"/>
      <c r="O183" s="664"/>
      <c r="P183" s="664"/>
      <c r="Q183" s="664"/>
      <c r="R183" s="664"/>
      <c r="S183" s="664"/>
      <c r="T183" s="664"/>
      <c r="U183" s="664"/>
      <c r="V183" s="664"/>
      <c r="W183" s="664"/>
      <c r="X183" s="664"/>
      <c r="Y183" s="664"/>
      <c r="Z183" s="664"/>
    </row>
    <row r="184">
      <c r="A184" s="661"/>
      <c r="B184" s="925"/>
      <c r="C184" s="15"/>
      <c r="D184" s="662" t="s">
        <v>1301</v>
      </c>
      <c r="E184" s="664"/>
      <c r="F184" s="664"/>
      <c r="G184" s="664"/>
      <c r="H184" s="664"/>
      <c r="I184" s="664"/>
      <c r="J184" s="664"/>
      <c r="K184" s="664"/>
      <c r="L184" s="664"/>
      <c r="M184" s="664"/>
      <c r="N184" s="664"/>
      <c r="O184" s="664"/>
      <c r="P184" s="664"/>
      <c r="Q184" s="664"/>
      <c r="R184" s="664"/>
      <c r="S184" s="664"/>
      <c r="T184" s="664"/>
      <c r="U184" s="664"/>
      <c r="V184" s="664"/>
      <c r="W184" s="664"/>
      <c r="X184" s="664"/>
      <c r="Y184" s="664"/>
      <c r="Z184" s="664"/>
    </row>
    <row r="185">
      <c r="A185" s="661"/>
      <c r="B185" s="664"/>
      <c r="C185" s="15"/>
      <c r="D185" s="662"/>
      <c r="E185" s="664"/>
      <c r="F185" s="664"/>
      <c r="G185" s="664"/>
      <c r="H185" s="664"/>
      <c r="I185" s="664"/>
      <c r="J185" s="664"/>
      <c r="K185" s="664"/>
      <c r="L185" s="664"/>
      <c r="M185" s="664"/>
      <c r="N185" s="664"/>
      <c r="O185" s="664"/>
      <c r="P185" s="664"/>
      <c r="Q185" s="664"/>
      <c r="R185" s="664"/>
      <c r="S185" s="664"/>
      <c r="T185" s="664"/>
      <c r="U185" s="664"/>
      <c r="V185" s="664"/>
      <c r="W185" s="664"/>
      <c r="X185" s="664"/>
      <c r="Y185" s="664"/>
      <c r="Z185" s="664"/>
    </row>
    <row r="186">
      <c r="A186" s="661"/>
      <c r="B186" s="624" t="s">
        <v>1095</v>
      </c>
      <c r="C186" s="3" t="str">
        <f>"=&gt;"</f>
        <v>=&gt;</v>
      </c>
      <c r="D186" s="662" t="s">
        <v>1381</v>
      </c>
      <c r="E186" s="664"/>
      <c r="F186" s="664"/>
      <c r="G186" s="664"/>
      <c r="H186" s="664"/>
      <c r="I186" s="664"/>
      <c r="J186" s="664"/>
      <c r="K186" s="664"/>
      <c r="L186" s="664"/>
      <c r="M186" s="664"/>
      <c r="N186" s="664"/>
      <c r="O186" s="664"/>
      <c r="P186" s="664"/>
      <c r="Q186" s="664"/>
      <c r="R186" s="664"/>
      <c r="S186" s="664"/>
      <c r="T186" s="664"/>
      <c r="U186" s="664"/>
      <c r="V186" s="664"/>
      <c r="W186" s="664"/>
      <c r="X186" s="664"/>
      <c r="Y186" s="664"/>
      <c r="Z186" s="664"/>
    </row>
    <row r="187">
      <c r="A187" s="661"/>
      <c r="B187" s="624"/>
      <c r="C187" s="3"/>
      <c r="D187" s="662" t="s">
        <v>1302</v>
      </c>
      <c r="E187" s="664"/>
      <c r="F187" s="664"/>
      <c r="G187" s="664"/>
      <c r="H187" s="664"/>
      <c r="I187" s="664"/>
      <c r="J187" s="664"/>
      <c r="K187" s="664"/>
      <c r="L187" s="664"/>
      <c r="M187" s="664"/>
      <c r="N187" s="664"/>
      <c r="O187" s="664"/>
      <c r="P187" s="664"/>
      <c r="Q187" s="664"/>
      <c r="R187" s="664"/>
      <c r="S187" s="664"/>
      <c r="T187" s="664"/>
      <c r="U187" s="664"/>
      <c r="V187" s="664"/>
      <c r="W187" s="664"/>
      <c r="X187" s="664"/>
      <c r="Y187" s="664"/>
      <c r="Z187" s="664"/>
    </row>
    <row r="188">
      <c r="A188" s="661"/>
      <c r="B188" s="664"/>
      <c r="C188" s="15"/>
      <c r="D188" s="662"/>
      <c r="E188" s="664"/>
      <c r="F188" s="664"/>
      <c r="G188" s="664"/>
      <c r="H188" s="664"/>
      <c r="I188" s="664"/>
      <c r="J188" s="664"/>
      <c r="K188" s="664"/>
      <c r="L188" s="664"/>
      <c r="M188" s="664"/>
      <c r="N188" s="664"/>
      <c r="O188" s="664"/>
      <c r="P188" s="664"/>
      <c r="Q188" s="664"/>
      <c r="R188" s="664"/>
      <c r="S188" s="664"/>
      <c r="T188" s="664"/>
      <c r="U188" s="664"/>
      <c r="V188" s="664"/>
      <c r="W188" s="664"/>
      <c r="X188" s="664"/>
      <c r="Y188" s="664"/>
      <c r="Z188" s="664"/>
    </row>
    <row r="189">
      <c r="A189" s="661"/>
      <c r="B189" s="627" t="s">
        <v>1098</v>
      </c>
      <c r="C189" s="3" t="str">
        <f>"=&gt;"</f>
        <v>=&gt;</v>
      </c>
      <c r="D189" s="662" t="s">
        <v>1382</v>
      </c>
      <c r="E189" s="664"/>
      <c r="F189" s="664"/>
      <c r="G189" s="664"/>
      <c r="H189" s="664"/>
      <c r="I189" s="664"/>
      <c r="J189" s="664"/>
      <c r="K189" s="664"/>
      <c r="L189" s="664"/>
      <c r="M189" s="664"/>
      <c r="N189" s="664"/>
      <c r="O189" s="664"/>
      <c r="P189" s="664"/>
      <c r="Q189" s="664"/>
      <c r="R189" s="664"/>
      <c r="S189" s="664"/>
      <c r="T189" s="664"/>
      <c r="U189" s="664"/>
      <c r="V189" s="664"/>
      <c r="W189" s="664"/>
      <c r="X189" s="664"/>
      <c r="Y189" s="664"/>
      <c r="Z189" s="664"/>
    </row>
    <row r="190">
      <c r="A190" s="661"/>
      <c r="B190" s="627"/>
      <c r="C190" s="3"/>
      <c r="D190" s="662" t="s">
        <v>1383</v>
      </c>
      <c r="E190" s="664"/>
      <c r="F190" s="664"/>
      <c r="G190" s="664"/>
      <c r="H190" s="664"/>
      <c r="I190" s="664"/>
      <c r="J190" s="664"/>
      <c r="K190" s="664"/>
      <c r="L190" s="664"/>
      <c r="M190" s="664"/>
      <c r="N190" s="664"/>
      <c r="O190" s="664"/>
      <c r="P190" s="664"/>
      <c r="Q190" s="664"/>
      <c r="R190" s="664"/>
      <c r="S190" s="664"/>
      <c r="T190" s="664"/>
      <c r="U190" s="664"/>
      <c r="V190" s="664"/>
      <c r="W190" s="664"/>
      <c r="X190" s="664"/>
      <c r="Y190" s="664"/>
      <c r="Z190" s="664"/>
    </row>
    <row r="191">
      <c r="A191" s="661"/>
      <c r="B191" s="627"/>
      <c r="C191" s="3"/>
      <c r="D191" s="662" t="s">
        <v>1384</v>
      </c>
      <c r="E191" s="664"/>
      <c r="F191" s="664"/>
      <c r="G191" s="664"/>
      <c r="H191" s="664"/>
      <c r="I191" s="664"/>
      <c r="J191" s="664"/>
      <c r="K191" s="664"/>
      <c r="L191" s="664"/>
      <c r="M191" s="664"/>
      <c r="N191" s="664"/>
      <c r="O191" s="664"/>
      <c r="P191" s="664"/>
      <c r="Q191" s="664"/>
      <c r="R191" s="664"/>
      <c r="S191" s="664"/>
      <c r="T191" s="664"/>
      <c r="U191" s="664"/>
      <c r="V191" s="664"/>
      <c r="W191" s="664"/>
      <c r="X191" s="664"/>
      <c r="Y191" s="664"/>
      <c r="Z191" s="664"/>
    </row>
    <row r="192">
      <c r="A192" s="661"/>
      <c r="B192" s="627"/>
      <c r="C192" s="3"/>
      <c r="D192" s="662" t="s">
        <v>1303</v>
      </c>
      <c r="E192" s="664"/>
      <c r="F192" s="664"/>
      <c r="G192" s="664"/>
      <c r="H192" s="664"/>
      <c r="I192" s="664"/>
      <c r="J192" s="664"/>
      <c r="K192" s="664"/>
      <c r="L192" s="664"/>
      <c r="M192" s="664"/>
      <c r="N192" s="664"/>
      <c r="O192" s="664"/>
      <c r="P192" s="664"/>
      <c r="Q192" s="664"/>
      <c r="R192" s="664"/>
      <c r="S192" s="664"/>
      <c r="T192" s="664"/>
      <c r="U192" s="664"/>
      <c r="V192" s="664"/>
      <c r="W192" s="664"/>
      <c r="X192" s="664"/>
      <c r="Y192" s="664"/>
      <c r="Z192" s="664"/>
    </row>
    <row r="193">
      <c r="A193" s="661"/>
      <c r="B193" s="664"/>
      <c r="C193" s="15"/>
      <c r="D193" s="662"/>
      <c r="E193" s="664"/>
      <c r="F193" s="664"/>
      <c r="G193" s="664"/>
      <c r="H193" s="664"/>
      <c r="I193" s="664"/>
      <c r="J193" s="664"/>
      <c r="K193" s="664"/>
      <c r="L193" s="664"/>
      <c r="M193" s="664"/>
      <c r="N193" s="664"/>
      <c r="O193" s="664"/>
      <c r="P193" s="664"/>
      <c r="Q193" s="664"/>
      <c r="R193" s="664"/>
      <c r="S193" s="664"/>
      <c r="T193" s="664"/>
      <c r="U193" s="664"/>
      <c r="V193" s="664"/>
      <c r="W193" s="664"/>
      <c r="X193" s="664"/>
      <c r="Y193" s="664"/>
      <c r="Z193" s="664"/>
    </row>
    <row r="194">
      <c r="A194" s="661"/>
      <c r="B194" s="628" t="s">
        <v>1026</v>
      </c>
      <c r="C194" s="3" t="str">
        <f>"=&gt;"</f>
        <v>=&gt;</v>
      </c>
      <c r="D194" s="662" t="s">
        <v>1385</v>
      </c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</row>
    <row r="195">
      <c r="A195" s="661"/>
      <c r="B195" s="628"/>
      <c r="C195" s="3"/>
      <c r="D195" s="662" t="s">
        <v>600</v>
      </c>
      <c r="E195" s="664"/>
      <c r="F195" s="664"/>
      <c r="G195" s="664"/>
      <c r="H195" s="664"/>
      <c r="I195" s="664"/>
      <c r="J195" s="664"/>
      <c r="K195" s="664"/>
      <c r="L195" s="664"/>
      <c r="M195" s="664"/>
      <c r="N195" s="664"/>
      <c r="O195" s="664"/>
      <c r="P195" s="664"/>
      <c r="Q195" s="664"/>
      <c r="R195" s="664"/>
      <c r="S195" s="664"/>
      <c r="T195" s="664"/>
      <c r="U195" s="664"/>
      <c r="V195" s="664"/>
      <c r="W195" s="664"/>
      <c r="X195" s="664"/>
      <c r="Y195" s="664"/>
      <c r="Z195" s="664"/>
    </row>
    <row r="196">
      <c r="A196" s="661"/>
      <c r="B196" s="664"/>
      <c r="C196" s="15"/>
      <c r="D196" s="662"/>
      <c r="E196" s="664"/>
      <c r="F196" s="664"/>
      <c r="G196" s="664"/>
      <c r="H196" s="664"/>
      <c r="I196" s="664"/>
      <c r="J196" s="664"/>
      <c r="K196" s="664"/>
      <c r="L196" s="664"/>
      <c r="M196" s="664"/>
      <c r="N196" s="664"/>
      <c r="O196" s="664"/>
      <c r="P196" s="664"/>
      <c r="Q196" s="664"/>
      <c r="R196" s="664"/>
      <c r="S196" s="664"/>
      <c r="T196" s="664"/>
      <c r="U196" s="664"/>
      <c r="V196" s="664"/>
      <c r="W196" s="664"/>
      <c r="X196" s="664"/>
      <c r="Y196" s="664"/>
      <c r="Z196" s="664"/>
    </row>
    <row r="197">
      <c r="A197" s="661"/>
      <c r="B197" s="546" t="s">
        <v>1025</v>
      </c>
      <c r="C197" s="3" t="str">
        <f>"=&gt;"</f>
        <v>=&gt;</v>
      </c>
      <c r="D197" s="662" t="s">
        <v>1386</v>
      </c>
      <c r="E197" s="664"/>
      <c r="F197" s="664"/>
      <c r="G197" s="664"/>
      <c r="H197" s="664"/>
      <c r="I197" s="664"/>
      <c r="J197" s="664"/>
      <c r="K197" s="664"/>
      <c r="L197" s="664"/>
      <c r="M197" s="664"/>
      <c r="N197" s="664"/>
      <c r="O197" s="664"/>
      <c r="P197" s="664"/>
      <c r="Q197" s="664"/>
      <c r="R197" s="664"/>
      <c r="S197" s="664"/>
      <c r="T197" s="664"/>
      <c r="U197" s="664"/>
      <c r="V197" s="664"/>
      <c r="W197" s="664"/>
      <c r="X197" s="664"/>
      <c r="Y197" s="664"/>
      <c r="Z197" s="664"/>
    </row>
    <row r="198">
      <c r="A198" s="661"/>
      <c r="B198" s="546"/>
      <c r="C198" s="3"/>
      <c r="D198" s="662" t="s">
        <v>1303</v>
      </c>
      <c r="E198" s="664"/>
      <c r="F198" s="664"/>
      <c r="G198" s="664"/>
      <c r="H198" s="664"/>
      <c r="I198" s="664"/>
      <c r="J198" s="664"/>
      <c r="K198" s="664"/>
      <c r="L198" s="664"/>
      <c r="M198" s="664"/>
      <c r="N198" s="664"/>
      <c r="O198" s="664"/>
      <c r="P198" s="664"/>
      <c r="Q198" s="664"/>
      <c r="R198" s="664"/>
      <c r="S198" s="664"/>
      <c r="T198" s="664"/>
      <c r="U198" s="664"/>
      <c r="V198" s="664"/>
      <c r="W198" s="664"/>
      <c r="X198" s="664"/>
      <c r="Y198" s="664"/>
      <c r="Z198" s="664"/>
    </row>
    <row r="199">
      <c r="A199" s="661"/>
      <c r="B199" s="664"/>
      <c r="C199" s="15"/>
      <c r="D199" s="662"/>
      <c r="E199" s="664"/>
      <c r="F199" s="664"/>
      <c r="G199" s="664"/>
      <c r="H199" s="664"/>
      <c r="I199" s="664"/>
      <c r="J199" s="664"/>
      <c r="K199" s="664"/>
      <c r="L199" s="664"/>
      <c r="M199" s="664"/>
      <c r="N199" s="664"/>
      <c r="O199" s="664"/>
      <c r="P199" s="664"/>
      <c r="Q199" s="664"/>
      <c r="R199" s="664"/>
      <c r="S199" s="664"/>
      <c r="T199" s="664"/>
      <c r="U199" s="664"/>
      <c r="V199" s="664"/>
      <c r="W199" s="664"/>
      <c r="X199" s="664"/>
      <c r="Y199" s="664"/>
      <c r="Z199" s="664"/>
    </row>
    <row r="200">
      <c r="A200" s="661"/>
      <c r="B200" s="394" t="s">
        <v>895</v>
      </c>
      <c r="C200" s="3" t="str">
        <f>"=&gt;"</f>
        <v>=&gt;</v>
      </c>
      <c r="D200" s="662" t="s">
        <v>1387</v>
      </c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</row>
    <row r="201">
      <c r="A201" s="661"/>
      <c r="B201" s="394"/>
      <c r="C201" s="3"/>
      <c r="D201" s="662" t="s">
        <v>551</v>
      </c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</row>
    <row r="202">
      <c r="A202" s="661"/>
      <c r="B202" s="664"/>
      <c r="C202" s="15"/>
      <c r="D202" s="662"/>
      <c r="E202" s="664"/>
      <c r="F202" s="664"/>
      <c r="G202" s="664"/>
      <c r="H202" s="664"/>
      <c r="I202" s="664"/>
      <c r="J202" s="664"/>
      <c r="K202" s="664"/>
      <c r="L202" s="664"/>
      <c r="M202" s="664"/>
      <c r="N202" s="664"/>
      <c r="O202" s="664"/>
      <c r="P202" s="664"/>
      <c r="Q202" s="664"/>
      <c r="R202" s="664"/>
      <c r="S202" s="664"/>
      <c r="T202" s="664"/>
      <c r="U202" s="664"/>
      <c r="V202" s="664"/>
      <c r="W202" s="664"/>
      <c r="X202" s="664"/>
      <c r="Y202" s="664"/>
      <c r="Z202" s="664"/>
    </row>
    <row r="203">
      <c r="A203" s="661"/>
      <c r="B203" s="395" t="s">
        <v>28</v>
      </c>
      <c r="C203" s="3" t="str">
        <f>"=&gt;"</f>
        <v>=&gt;</v>
      </c>
      <c r="D203" s="662" t="s">
        <v>1388</v>
      </c>
      <c r="E203" s="664"/>
      <c r="F203" s="909"/>
      <c r="G203" s="909"/>
      <c r="H203" s="664"/>
      <c r="I203" s="909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</row>
    <row r="204">
      <c r="A204" s="661"/>
      <c r="B204" s="395"/>
      <c r="C204" s="3"/>
      <c r="D204" s="662" t="s">
        <v>1389</v>
      </c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</row>
    <row r="205">
      <c r="A205" s="661"/>
      <c r="B205" s="395"/>
      <c r="C205" s="3"/>
      <c r="D205" s="662" t="s">
        <v>1390</v>
      </c>
      <c r="E205" s="664"/>
      <c r="F205" s="664"/>
      <c r="G205" s="664"/>
      <c r="H205" s="664"/>
      <c r="I205" s="664"/>
      <c r="J205" s="664"/>
      <c r="K205" s="664"/>
      <c r="L205" s="664"/>
      <c r="M205" s="664"/>
      <c r="N205" s="664"/>
      <c r="O205" s="664"/>
      <c r="P205" s="664"/>
      <c r="Q205" s="664"/>
      <c r="R205" s="664"/>
      <c r="S205" s="664"/>
      <c r="T205" s="664"/>
      <c r="U205" s="664"/>
      <c r="V205" s="664"/>
      <c r="W205" s="664"/>
      <c r="X205" s="664"/>
      <c r="Y205" s="664"/>
      <c r="Z205" s="664"/>
    </row>
    <row r="206">
      <c r="A206" s="661"/>
      <c r="B206" s="395"/>
      <c r="C206" s="3"/>
      <c r="D206" s="662" t="s">
        <v>1391</v>
      </c>
      <c r="E206" s="664"/>
      <c r="F206" s="664"/>
      <c r="G206" s="664"/>
      <c r="H206" s="664"/>
      <c r="I206" s="664"/>
      <c r="J206" s="664"/>
      <c r="K206" s="664"/>
      <c r="L206" s="664"/>
      <c r="M206" s="664"/>
      <c r="N206" s="664"/>
      <c r="O206" s="664"/>
      <c r="P206" s="664"/>
      <c r="Q206" s="664"/>
      <c r="R206" s="664"/>
      <c r="S206" s="664"/>
      <c r="T206" s="664"/>
      <c r="U206" s="664"/>
      <c r="V206" s="664"/>
      <c r="W206" s="664"/>
      <c r="X206" s="664"/>
      <c r="Y206" s="664"/>
      <c r="Z206" s="664"/>
    </row>
    <row r="207">
      <c r="A207" s="661"/>
      <c r="B207" s="395"/>
      <c r="C207" s="3"/>
      <c r="D207" s="662" t="s">
        <v>1392</v>
      </c>
      <c r="E207" s="664"/>
      <c r="F207" s="664"/>
      <c r="G207" s="664"/>
      <c r="H207" s="664"/>
      <c r="I207" s="664"/>
      <c r="J207" s="664"/>
      <c r="K207" s="664"/>
      <c r="L207" s="664"/>
      <c r="M207" s="664"/>
      <c r="N207" s="664"/>
      <c r="O207" s="664"/>
      <c r="P207" s="664"/>
      <c r="Q207" s="664"/>
      <c r="R207" s="664"/>
      <c r="S207" s="664"/>
      <c r="T207" s="664"/>
      <c r="U207" s="664"/>
      <c r="V207" s="664"/>
      <c r="W207" s="664"/>
      <c r="X207" s="664"/>
      <c r="Y207" s="664"/>
      <c r="Z207" s="664"/>
    </row>
    <row r="208">
      <c r="A208" s="661"/>
      <c r="B208" s="395"/>
      <c r="C208" s="3"/>
      <c r="D208" s="662" t="s">
        <v>1393</v>
      </c>
      <c r="E208" s="664"/>
      <c r="F208" s="664"/>
      <c r="G208" s="664"/>
      <c r="H208" s="664"/>
      <c r="I208" s="664"/>
      <c r="J208" s="664"/>
      <c r="K208" s="664"/>
      <c r="L208" s="664"/>
      <c r="M208" s="664"/>
      <c r="N208" s="664"/>
      <c r="O208" s="664"/>
      <c r="P208" s="664"/>
      <c r="Q208" s="664"/>
      <c r="R208" s="664"/>
      <c r="S208" s="664"/>
      <c r="T208" s="664"/>
      <c r="U208" s="664"/>
      <c r="V208" s="664"/>
      <c r="W208" s="664"/>
      <c r="X208" s="664"/>
      <c r="Y208" s="664"/>
      <c r="Z208" s="664"/>
    </row>
    <row r="209">
      <c r="A209" s="661"/>
      <c r="B209" s="395"/>
      <c r="C209" s="3"/>
      <c r="D209" s="662" t="s">
        <v>1394</v>
      </c>
      <c r="E209" s="664"/>
      <c r="F209" s="664"/>
      <c r="G209" s="664"/>
      <c r="H209" s="909"/>
      <c r="I209" s="664"/>
      <c r="J209" s="664"/>
      <c r="K209" s="664"/>
      <c r="L209" s="664"/>
      <c r="M209" s="664"/>
      <c r="N209" s="664"/>
      <c r="O209" s="664"/>
      <c r="P209" s="664"/>
      <c r="Q209" s="664"/>
      <c r="R209" s="664"/>
      <c r="S209" s="664"/>
      <c r="T209" s="664"/>
      <c r="U209" s="664"/>
      <c r="V209" s="664"/>
      <c r="W209" s="664"/>
      <c r="X209" s="664"/>
      <c r="Y209" s="664"/>
      <c r="Z209" s="664"/>
    </row>
    <row r="210">
      <c r="A210" s="661"/>
      <c r="B210" s="395"/>
      <c r="C210" s="3"/>
      <c r="D210" s="662" t="s">
        <v>1395</v>
      </c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</row>
    <row r="211">
      <c r="A211" s="661"/>
      <c r="B211" s="395"/>
      <c r="C211" s="3"/>
      <c r="D211" s="662" t="s">
        <v>1396</v>
      </c>
      <c r="E211" s="664"/>
      <c r="F211" s="664"/>
      <c r="G211" s="664"/>
      <c r="H211" s="664"/>
      <c r="I211" s="664"/>
      <c r="J211" s="664"/>
      <c r="K211" s="664"/>
      <c r="L211" s="664"/>
      <c r="M211" s="664"/>
      <c r="N211" s="664"/>
      <c r="O211" s="664"/>
      <c r="P211" s="664"/>
      <c r="Q211" s="664"/>
      <c r="R211" s="664"/>
      <c r="S211" s="664"/>
      <c r="T211" s="664"/>
      <c r="U211" s="664"/>
      <c r="V211" s="664"/>
      <c r="W211" s="664"/>
      <c r="X211" s="664"/>
      <c r="Y211" s="664"/>
      <c r="Z211" s="664"/>
    </row>
    <row r="212">
      <c r="A212" s="661"/>
      <c r="B212" s="395"/>
      <c r="C212" s="3"/>
      <c r="D212" s="662" t="s">
        <v>1397</v>
      </c>
      <c r="E212" s="664"/>
      <c r="F212" s="664"/>
      <c r="G212" s="664"/>
      <c r="H212" s="664"/>
      <c r="I212" s="664"/>
      <c r="J212" s="664"/>
      <c r="K212" s="664"/>
      <c r="L212" s="664"/>
      <c r="M212" s="664"/>
      <c r="N212" s="664"/>
      <c r="O212" s="664"/>
      <c r="P212" s="664"/>
      <c r="Q212" s="664"/>
      <c r="R212" s="664"/>
      <c r="S212" s="664"/>
      <c r="T212" s="664"/>
      <c r="U212" s="664"/>
      <c r="V212" s="664"/>
      <c r="W212" s="664"/>
      <c r="X212" s="664"/>
      <c r="Y212" s="664"/>
      <c r="Z212" s="664"/>
    </row>
    <row r="213">
      <c r="A213" s="661"/>
      <c r="B213" s="664"/>
      <c r="C213" s="15"/>
      <c r="D213" s="662"/>
      <c r="E213" s="664"/>
      <c r="F213" s="664"/>
      <c r="G213" s="664"/>
      <c r="H213" s="664"/>
      <c r="I213" s="664"/>
      <c r="J213" s="664"/>
      <c r="K213" s="664"/>
      <c r="L213" s="664"/>
      <c r="M213" s="664"/>
      <c r="N213" s="664"/>
      <c r="O213" s="664"/>
      <c r="P213" s="664"/>
      <c r="Q213" s="664"/>
      <c r="R213" s="664"/>
      <c r="S213" s="664"/>
      <c r="T213" s="664"/>
      <c r="U213" s="664"/>
      <c r="V213" s="664"/>
      <c r="W213" s="664"/>
      <c r="X213" s="664"/>
      <c r="Y213" s="664"/>
      <c r="Z213" s="664"/>
    </row>
    <row r="214">
      <c r="A214" s="661"/>
      <c r="B214" s="396" t="s">
        <v>896</v>
      </c>
      <c r="C214" s="3" t="str">
        <f>"=&gt;"</f>
        <v>=&gt;</v>
      </c>
      <c r="D214" s="662" t="s">
        <v>1398</v>
      </c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</row>
    <row r="215">
      <c r="A215" s="661"/>
      <c r="B215" s="396"/>
      <c r="D215" s="662" t="s">
        <v>551</v>
      </c>
      <c r="E215" s="664"/>
      <c r="F215" s="664"/>
      <c r="G215" s="664"/>
      <c r="H215" s="664"/>
      <c r="I215" s="664"/>
      <c r="J215" s="664"/>
      <c r="K215" s="664"/>
      <c r="L215" s="664"/>
      <c r="M215" s="664"/>
      <c r="N215" s="664"/>
      <c r="O215" s="664"/>
      <c r="P215" s="664"/>
      <c r="Q215" s="664"/>
      <c r="R215" s="664"/>
      <c r="S215" s="664"/>
      <c r="T215" s="664"/>
      <c r="U215" s="664"/>
      <c r="V215" s="664"/>
      <c r="W215" s="664"/>
      <c r="X215" s="664"/>
      <c r="Y215" s="664"/>
      <c r="Z215" s="664"/>
    </row>
    <row r="216">
      <c r="A216" s="661"/>
      <c r="B216" s="664"/>
      <c r="C216" s="15"/>
      <c r="D216" s="662"/>
      <c r="E216" s="664"/>
      <c r="F216" s="664"/>
      <c r="G216" s="664"/>
      <c r="H216" s="664"/>
      <c r="I216" s="664"/>
      <c r="J216" s="664"/>
      <c r="K216" s="664"/>
      <c r="L216" s="664"/>
      <c r="M216" s="664"/>
      <c r="N216" s="664"/>
      <c r="O216" s="664"/>
      <c r="P216" s="664"/>
      <c r="Q216" s="664"/>
      <c r="R216" s="664"/>
      <c r="S216" s="664"/>
      <c r="T216" s="664"/>
      <c r="U216" s="664"/>
      <c r="V216" s="664"/>
      <c r="W216" s="664"/>
      <c r="X216" s="664"/>
      <c r="Y216" s="664"/>
      <c r="Z216" s="664"/>
    </row>
    <row r="217">
      <c r="A217" s="661"/>
      <c r="B217" s="926" t="s">
        <v>1079</v>
      </c>
      <c r="C217" s="3" t="str">
        <f>"=&gt;"</f>
        <v>=&gt;</v>
      </c>
      <c r="D217" s="662" t="s">
        <v>1399</v>
      </c>
      <c r="E217" s="664"/>
      <c r="F217" s="664"/>
      <c r="G217" s="664"/>
      <c r="H217" s="664"/>
      <c r="I217" s="664"/>
      <c r="J217" s="664"/>
      <c r="K217" s="664"/>
      <c r="L217" s="664"/>
      <c r="M217" s="664"/>
      <c r="N217" s="664"/>
      <c r="O217" s="664"/>
      <c r="P217" s="664"/>
      <c r="Q217" s="664"/>
      <c r="R217" s="664"/>
      <c r="S217" s="664"/>
      <c r="T217" s="664"/>
      <c r="U217" s="664"/>
      <c r="V217" s="664"/>
      <c r="W217" s="664"/>
      <c r="X217" s="664"/>
      <c r="Y217" s="664"/>
      <c r="Z217" s="664"/>
    </row>
    <row r="218">
      <c r="A218" s="661"/>
      <c r="B218" s="926"/>
      <c r="C218" s="3"/>
      <c r="D218" s="662" t="s">
        <v>1400</v>
      </c>
      <c r="E218" s="664"/>
      <c r="F218" s="664"/>
      <c r="G218" s="664"/>
      <c r="H218" s="664"/>
      <c r="I218" s="664"/>
      <c r="J218" s="664"/>
      <c r="K218" s="664"/>
      <c r="L218" s="664"/>
      <c r="M218" s="664"/>
      <c r="N218" s="664"/>
      <c r="O218" s="664"/>
      <c r="P218" s="664"/>
      <c r="Q218" s="664"/>
      <c r="R218" s="664"/>
      <c r="S218" s="664"/>
      <c r="T218" s="664"/>
      <c r="U218" s="664"/>
      <c r="V218" s="664"/>
      <c r="W218" s="664"/>
      <c r="X218" s="664"/>
      <c r="Y218" s="664"/>
      <c r="Z218" s="664"/>
    </row>
    <row r="219">
      <c r="A219" s="661"/>
      <c r="B219" s="926"/>
      <c r="C219" s="3"/>
      <c r="D219" s="662" t="s">
        <v>1401</v>
      </c>
      <c r="E219" s="664"/>
      <c r="F219" s="664"/>
      <c r="G219" s="664"/>
      <c r="H219" s="664"/>
      <c r="I219" s="664"/>
      <c r="J219" s="664"/>
      <c r="K219" s="664"/>
      <c r="L219" s="664"/>
      <c r="M219" s="664"/>
      <c r="N219" s="664"/>
      <c r="O219" s="664"/>
      <c r="P219" s="664"/>
      <c r="Q219" s="664"/>
      <c r="R219" s="664"/>
      <c r="S219" s="664"/>
      <c r="T219" s="664"/>
      <c r="U219" s="664"/>
      <c r="V219" s="664"/>
      <c r="W219" s="664"/>
      <c r="X219" s="664"/>
      <c r="Y219" s="664"/>
      <c r="Z219" s="664"/>
    </row>
    <row r="220">
      <c r="A220" s="661"/>
      <c r="B220" s="926"/>
      <c r="C220" s="3"/>
      <c r="D220" s="662" t="s">
        <v>1402</v>
      </c>
      <c r="E220" s="664"/>
      <c r="F220" s="664"/>
      <c r="G220" s="664"/>
      <c r="H220" s="664"/>
      <c r="I220" s="664"/>
      <c r="J220" s="664"/>
      <c r="K220" s="664"/>
      <c r="L220" s="664"/>
      <c r="M220" s="664"/>
      <c r="N220" s="664"/>
      <c r="O220" s="664"/>
      <c r="P220" s="664"/>
      <c r="Q220" s="664"/>
      <c r="R220" s="664"/>
      <c r="S220" s="664"/>
      <c r="T220" s="664"/>
      <c r="U220" s="664"/>
      <c r="V220" s="664"/>
      <c r="W220" s="664"/>
      <c r="X220" s="664"/>
      <c r="Y220" s="664"/>
      <c r="Z220" s="664"/>
    </row>
    <row r="221">
      <c r="A221" s="661"/>
      <c r="B221" s="926"/>
      <c r="C221" s="3"/>
      <c r="D221" s="662" t="s">
        <v>1403</v>
      </c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</row>
    <row r="222">
      <c r="A222" s="661"/>
      <c r="B222" s="926"/>
      <c r="C222" s="3"/>
      <c r="D222" s="662" t="s">
        <v>1404</v>
      </c>
      <c r="E222" s="664"/>
      <c r="F222" s="664"/>
      <c r="G222" s="664"/>
      <c r="H222" s="664"/>
      <c r="I222" s="664"/>
      <c r="J222" s="664"/>
      <c r="K222" s="664"/>
      <c r="L222" s="664"/>
      <c r="M222" s="664"/>
      <c r="N222" s="664"/>
      <c r="O222" s="664"/>
      <c r="P222" s="664"/>
      <c r="Q222" s="664"/>
      <c r="R222" s="664"/>
      <c r="S222" s="664"/>
      <c r="T222" s="664"/>
      <c r="U222" s="664"/>
      <c r="V222" s="664"/>
      <c r="W222" s="664"/>
      <c r="X222" s="664"/>
      <c r="Y222" s="664"/>
      <c r="Z222" s="664"/>
    </row>
    <row r="223">
      <c r="A223" s="661"/>
      <c r="B223" s="664"/>
      <c r="C223" s="15"/>
      <c r="D223" s="662"/>
      <c r="E223" s="664"/>
      <c r="F223" s="664"/>
      <c r="G223" s="664"/>
      <c r="H223" s="664"/>
      <c r="I223" s="664"/>
      <c r="J223" s="664"/>
      <c r="K223" s="664"/>
      <c r="L223" s="664"/>
      <c r="M223" s="664"/>
      <c r="N223" s="664"/>
      <c r="O223" s="664"/>
      <c r="P223" s="664"/>
      <c r="Q223" s="664"/>
      <c r="R223" s="664"/>
      <c r="S223" s="664"/>
      <c r="T223" s="664"/>
      <c r="U223" s="664"/>
      <c r="V223" s="664"/>
      <c r="W223" s="664"/>
      <c r="X223" s="664"/>
      <c r="Y223" s="664"/>
      <c r="Z223" s="664"/>
    </row>
    <row r="224">
      <c r="A224" s="661"/>
      <c r="B224" s="927" t="s">
        <v>962</v>
      </c>
      <c r="C224" s="15" t="str">
        <f>"=&gt;"</f>
        <v>=&gt;</v>
      </c>
      <c r="D224" s="662" t="s">
        <v>1405</v>
      </c>
      <c r="E224" s="664"/>
      <c r="F224" s="664"/>
      <c r="G224" s="664"/>
      <c r="H224" s="664"/>
      <c r="I224" s="664"/>
      <c r="J224" s="664"/>
      <c r="K224" s="664"/>
      <c r="L224" s="664"/>
      <c r="M224" s="664"/>
      <c r="N224" s="664"/>
      <c r="O224" s="664"/>
      <c r="P224" s="664"/>
      <c r="Q224" s="664"/>
      <c r="R224" s="664"/>
      <c r="S224" s="664"/>
      <c r="T224" s="664"/>
      <c r="U224" s="664"/>
      <c r="V224" s="664"/>
      <c r="W224" s="664"/>
      <c r="X224" s="664"/>
      <c r="Y224" s="664"/>
      <c r="Z224" s="664"/>
    </row>
    <row r="225">
      <c r="A225" s="661"/>
      <c r="B225" s="927"/>
      <c r="C225" s="15"/>
      <c r="D225" s="662" t="s">
        <v>1306</v>
      </c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</row>
    <row r="226">
      <c r="A226" s="661"/>
      <c r="B226" s="664"/>
      <c r="C226" s="15"/>
      <c r="D226" s="662"/>
      <c r="E226" s="664"/>
      <c r="F226" s="664"/>
      <c r="G226" s="664"/>
      <c r="H226" s="664"/>
      <c r="I226" s="664"/>
      <c r="J226" s="664"/>
      <c r="K226" s="664"/>
      <c r="L226" s="664"/>
      <c r="M226" s="664"/>
      <c r="N226" s="664"/>
      <c r="O226" s="664"/>
      <c r="P226" s="664"/>
      <c r="Q226" s="664"/>
      <c r="R226" s="664"/>
      <c r="S226" s="664"/>
      <c r="T226" s="664"/>
      <c r="U226" s="664"/>
      <c r="V226" s="664"/>
      <c r="W226" s="664"/>
      <c r="X226" s="664"/>
      <c r="Y226" s="664"/>
      <c r="Z226" s="664"/>
    </row>
    <row r="227">
      <c r="A227" s="661"/>
      <c r="B227" s="928" t="s">
        <v>963</v>
      </c>
      <c r="C227" s="15" t="str">
        <f>"=&gt;"</f>
        <v>=&gt;</v>
      </c>
      <c r="D227" s="662" t="s">
        <v>1406</v>
      </c>
      <c r="E227" s="664"/>
      <c r="F227" s="664"/>
      <c r="G227" s="664"/>
      <c r="H227" s="664"/>
      <c r="I227" s="664"/>
      <c r="J227" s="664"/>
      <c r="K227" s="664"/>
      <c r="L227" s="664"/>
      <c r="M227" s="664"/>
      <c r="N227" s="664"/>
      <c r="O227" s="664"/>
      <c r="P227" s="664"/>
      <c r="Q227" s="664"/>
      <c r="R227" s="664"/>
      <c r="S227" s="664"/>
      <c r="T227" s="664"/>
      <c r="U227" s="664"/>
      <c r="V227" s="664"/>
      <c r="W227" s="664"/>
      <c r="X227" s="664"/>
      <c r="Y227" s="664"/>
      <c r="Z227" s="664"/>
    </row>
    <row r="228">
      <c r="A228" s="661"/>
      <c r="B228" s="928"/>
      <c r="C228" s="15"/>
      <c r="D228" s="662" t="s">
        <v>481</v>
      </c>
      <c r="E228" s="664"/>
      <c r="F228" s="664"/>
      <c r="G228" s="664"/>
      <c r="H228" s="664"/>
      <c r="I228" s="664"/>
      <c r="J228" s="664"/>
      <c r="K228" s="664"/>
      <c r="L228" s="664"/>
      <c r="M228" s="664"/>
      <c r="N228" s="664"/>
      <c r="O228" s="664"/>
      <c r="P228" s="664"/>
      <c r="Q228" s="664"/>
      <c r="R228" s="664"/>
      <c r="S228" s="664"/>
      <c r="T228" s="664"/>
      <c r="U228" s="664"/>
      <c r="V228" s="664"/>
      <c r="W228" s="664"/>
      <c r="X228" s="664"/>
      <c r="Y228" s="664"/>
      <c r="Z228" s="664"/>
    </row>
    <row r="229">
      <c r="A229" s="661"/>
      <c r="B229" s="664"/>
      <c r="C229" s="15"/>
      <c r="D229" s="662"/>
      <c r="E229" s="664"/>
      <c r="F229" s="664"/>
      <c r="G229" s="664"/>
      <c r="H229" s="664"/>
      <c r="I229" s="664"/>
      <c r="J229" s="664"/>
      <c r="K229" s="664"/>
      <c r="L229" s="664"/>
      <c r="M229" s="664"/>
      <c r="N229" s="664"/>
      <c r="O229" s="664"/>
      <c r="P229" s="664"/>
      <c r="Q229" s="664"/>
      <c r="R229" s="664"/>
      <c r="S229" s="664"/>
      <c r="T229" s="664"/>
      <c r="U229" s="664"/>
      <c r="V229" s="664"/>
      <c r="W229" s="664"/>
      <c r="X229" s="664"/>
      <c r="Y229" s="664"/>
      <c r="Z229" s="664"/>
    </row>
    <row r="230">
      <c r="A230" s="661"/>
      <c r="B230" s="929" t="s">
        <v>1101</v>
      </c>
      <c r="C230" s="15" t="str">
        <f>"=&gt;"</f>
        <v>=&gt;</v>
      </c>
      <c r="D230" s="662" t="s">
        <v>1407</v>
      </c>
      <c r="E230" s="664"/>
      <c r="F230" s="664"/>
      <c r="G230" s="664"/>
      <c r="H230" s="664"/>
      <c r="I230" s="664"/>
      <c r="J230" s="664"/>
      <c r="K230" s="664"/>
      <c r="L230" s="664"/>
      <c r="M230" s="664"/>
      <c r="N230" s="664"/>
      <c r="O230" s="664"/>
      <c r="P230" s="664"/>
      <c r="Q230" s="664"/>
      <c r="R230" s="664"/>
      <c r="S230" s="664"/>
      <c r="T230" s="664"/>
      <c r="U230" s="664"/>
      <c r="V230" s="664"/>
      <c r="W230" s="664"/>
      <c r="X230" s="664"/>
      <c r="Y230" s="664"/>
      <c r="Z230" s="664"/>
    </row>
    <row r="231">
      <c r="A231" s="661"/>
      <c r="B231" s="929"/>
      <c r="C231" s="15"/>
      <c r="D231" s="663" t="s">
        <v>1147</v>
      </c>
      <c r="E231" s="664"/>
      <c r="F231" s="664"/>
      <c r="G231" s="664"/>
      <c r="H231" s="664"/>
      <c r="I231" s="664"/>
      <c r="J231" s="664"/>
      <c r="K231" s="664"/>
      <c r="L231" s="664"/>
      <c r="M231" s="664"/>
      <c r="N231" s="664"/>
      <c r="O231" s="664"/>
      <c r="P231" s="664"/>
      <c r="Q231" s="664"/>
      <c r="R231" s="664"/>
      <c r="S231" s="664"/>
      <c r="T231" s="664"/>
      <c r="U231" s="664"/>
      <c r="V231" s="664"/>
      <c r="W231" s="664"/>
      <c r="X231" s="664"/>
      <c r="Y231" s="664"/>
      <c r="Z231" s="664"/>
    </row>
    <row r="232">
      <c r="A232" s="661"/>
      <c r="B232" s="929"/>
      <c r="C232" s="15"/>
      <c r="D232" s="663" t="s">
        <v>1408</v>
      </c>
      <c r="E232" s="664"/>
      <c r="F232" s="664"/>
      <c r="G232" s="664"/>
      <c r="H232" s="664"/>
      <c r="I232" s="664"/>
      <c r="J232" s="664"/>
      <c r="K232" s="664"/>
      <c r="L232" s="664"/>
      <c r="M232" s="664"/>
      <c r="N232" s="664"/>
      <c r="O232" s="664"/>
      <c r="P232" s="664"/>
      <c r="Q232" s="664"/>
      <c r="R232" s="664"/>
      <c r="S232" s="664"/>
      <c r="T232" s="664"/>
      <c r="U232" s="664"/>
      <c r="V232" s="664"/>
      <c r="W232" s="664"/>
      <c r="X232" s="664"/>
      <c r="Y232" s="664"/>
      <c r="Z232" s="664"/>
    </row>
    <row r="233">
      <c r="A233" s="661"/>
      <c r="B233" s="929"/>
      <c r="C233" s="15"/>
      <c r="D233" s="663" t="s">
        <v>1293</v>
      </c>
      <c r="E233" s="664"/>
      <c r="F233" s="664"/>
      <c r="G233" s="664"/>
      <c r="H233" s="664"/>
      <c r="I233" s="664"/>
      <c r="J233" s="664"/>
      <c r="K233" s="664"/>
      <c r="L233" s="664"/>
      <c r="M233" s="664"/>
      <c r="N233" s="664"/>
      <c r="O233" s="664"/>
      <c r="P233" s="664"/>
      <c r="Q233" s="664"/>
      <c r="R233" s="664"/>
      <c r="S233" s="664"/>
      <c r="T233" s="664"/>
      <c r="U233" s="664"/>
      <c r="V233" s="664"/>
      <c r="W233" s="664"/>
      <c r="X233" s="664"/>
      <c r="Y233" s="664"/>
      <c r="Z233" s="664"/>
    </row>
    <row r="234">
      <c r="A234" s="661"/>
      <c r="B234" s="664"/>
      <c r="C234" s="15"/>
      <c r="D234" s="662"/>
      <c r="E234" s="664"/>
      <c r="F234" s="664"/>
      <c r="G234" s="664"/>
      <c r="H234" s="664"/>
      <c r="I234" s="664"/>
      <c r="J234" s="664"/>
      <c r="K234" s="664"/>
      <c r="L234" s="664"/>
      <c r="M234" s="664"/>
      <c r="N234" s="664"/>
      <c r="O234" s="664"/>
      <c r="P234" s="664"/>
      <c r="Q234" s="664"/>
      <c r="R234" s="664"/>
      <c r="S234" s="664"/>
      <c r="T234" s="664"/>
      <c r="U234" s="664"/>
      <c r="V234" s="664"/>
      <c r="W234" s="664"/>
      <c r="X234" s="664"/>
      <c r="Y234" s="664"/>
      <c r="Z234" s="664"/>
    </row>
    <row r="235">
      <c r="A235" s="661"/>
      <c r="B235" s="930" t="s">
        <v>966</v>
      </c>
      <c r="C235" s="15" t="str">
        <f>"=&gt;"</f>
        <v>=&gt;</v>
      </c>
      <c r="D235" s="662" t="s">
        <v>1409</v>
      </c>
      <c r="E235" s="664"/>
      <c r="F235" s="664"/>
      <c r="G235" s="664"/>
      <c r="H235" s="664"/>
      <c r="I235" s="664"/>
      <c r="J235" s="664"/>
      <c r="K235" s="664"/>
      <c r="L235" s="664"/>
      <c r="M235" s="664"/>
      <c r="N235" s="664"/>
      <c r="O235" s="664"/>
      <c r="P235" s="664"/>
      <c r="Q235" s="664"/>
      <c r="R235" s="664"/>
      <c r="S235" s="664"/>
      <c r="T235" s="664"/>
      <c r="U235" s="664"/>
      <c r="V235" s="664"/>
      <c r="W235" s="664"/>
      <c r="X235" s="664"/>
      <c r="Y235" s="664"/>
      <c r="Z235" s="664"/>
    </row>
    <row r="236">
      <c r="A236" s="661"/>
      <c r="B236" s="930"/>
      <c r="C236" s="15"/>
      <c r="D236" s="662" t="s">
        <v>481</v>
      </c>
      <c r="E236" s="664"/>
      <c r="F236" s="664"/>
      <c r="G236" s="664"/>
      <c r="H236" s="664"/>
      <c r="I236" s="664"/>
      <c r="J236" s="664"/>
      <c r="K236" s="664"/>
      <c r="L236" s="664"/>
      <c r="M236" s="664"/>
      <c r="N236" s="664"/>
      <c r="O236" s="664"/>
      <c r="P236" s="664"/>
      <c r="Q236" s="664"/>
      <c r="R236" s="664"/>
      <c r="S236" s="664"/>
      <c r="T236" s="664"/>
      <c r="U236" s="664"/>
      <c r="V236" s="664"/>
      <c r="W236" s="664"/>
      <c r="X236" s="664"/>
      <c r="Y236" s="664"/>
      <c r="Z236" s="664"/>
    </row>
    <row r="237">
      <c r="A237" s="661"/>
      <c r="B237" s="664"/>
      <c r="C237" s="15"/>
      <c r="D237" s="662"/>
      <c r="E237" s="664"/>
      <c r="F237" s="664"/>
      <c r="G237" s="664"/>
      <c r="H237" s="664"/>
      <c r="I237" s="664"/>
      <c r="J237" s="664"/>
      <c r="K237" s="664"/>
      <c r="L237" s="664"/>
      <c r="M237" s="664"/>
      <c r="N237" s="664"/>
      <c r="O237" s="664"/>
      <c r="P237" s="664"/>
      <c r="Q237" s="664"/>
      <c r="R237" s="664"/>
      <c r="S237" s="664"/>
      <c r="T237" s="664"/>
      <c r="U237" s="664"/>
      <c r="V237" s="664"/>
      <c r="W237" s="664"/>
      <c r="X237" s="664"/>
      <c r="Y237" s="664"/>
      <c r="Z237" s="664"/>
    </row>
    <row r="238">
      <c r="A238" s="661"/>
      <c r="B238" s="931" t="s">
        <v>964</v>
      </c>
      <c r="C238" s="15" t="str">
        <f>"=&gt;"</f>
        <v>=&gt;</v>
      </c>
      <c r="D238" s="662" t="s">
        <v>1410</v>
      </c>
      <c r="E238" s="664"/>
      <c r="F238" s="664"/>
      <c r="G238" s="664"/>
      <c r="H238" s="664"/>
      <c r="I238" s="664"/>
      <c r="J238" s="664"/>
      <c r="K238" s="664"/>
      <c r="L238" s="664"/>
      <c r="M238" s="664"/>
      <c r="N238" s="664"/>
      <c r="O238" s="664"/>
      <c r="P238" s="664"/>
      <c r="Q238" s="664"/>
      <c r="R238" s="664"/>
      <c r="S238" s="664"/>
      <c r="T238" s="664"/>
      <c r="U238" s="664"/>
      <c r="V238" s="664"/>
      <c r="W238" s="664"/>
      <c r="X238" s="664"/>
      <c r="Y238" s="664"/>
      <c r="Z238" s="664"/>
    </row>
    <row r="239">
      <c r="A239" s="661"/>
      <c r="B239" s="931"/>
      <c r="C239" s="15"/>
      <c r="D239" s="662" t="s">
        <v>1306</v>
      </c>
      <c r="E239" s="664"/>
      <c r="F239" s="664"/>
      <c r="G239" s="664"/>
      <c r="H239" s="664"/>
      <c r="I239" s="664"/>
      <c r="J239" s="664"/>
      <c r="K239" s="664"/>
      <c r="L239" s="664"/>
      <c r="M239" s="664"/>
      <c r="N239" s="664"/>
      <c r="O239" s="664"/>
      <c r="P239" s="664"/>
      <c r="Q239" s="664"/>
      <c r="R239" s="664"/>
      <c r="S239" s="664"/>
      <c r="T239" s="664"/>
      <c r="U239" s="664"/>
      <c r="V239" s="664"/>
      <c r="W239" s="664"/>
      <c r="X239" s="664"/>
      <c r="Y239" s="664"/>
      <c r="Z239" s="664"/>
    </row>
    <row r="240">
      <c r="A240" s="661"/>
      <c r="B240" s="664"/>
      <c r="C240" s="15"/>
      <c r="D240" s="662"/>
      <c r="E240" s="664"/>
      <c r="F240" s="664"/>
      <c r="G240" s="664"/>
      <c r="H240" s="664"/>
      <c r="I240" s="664"/>
      <c r="J240" s="664"/>
      <c r="K240" s="664"/>
      <c r="L240" s="664"/>
      <c r="M240" s="664"/>
      <c r="N240" s="664"/>
      <c r="O240" s="664"/>
      <c r="P240" s="664"/>
      <c r="Q240" s="664"/>
      <c r="R240" s="664"/>
      <c r="S240" s="664"/>
      <c r="T240" s="664"/>
      <c r="U240" s="664"/>
      <c r="V240" s="664"/>
      <c r="W240" s="664"/>
      <c r="X240" s="664"/>
      <c r="Y240" s="664"/>
      <c r="Z240" s="664"/>
    </row>
    <row r="241">
      <c r="A241" s="661"/>
      <c r="B241" s="932" t="s">
        <v>1102</v>
      </c>
      <c r="C241" s="15" t="str">
        <f>"=&gt;"</f>
        <v>=&gt;</v>
      </c>
      <c r="D241" s="662" t="s">
        <v>1411</v>
      </c>
      <c r="E241" s="664"/>
      <c r="F241" s="664"/>
      <c r="G241" s="664"/>
      <c r="H241" s="664"/>
      <c r="I241" s="664"/>
      <c r="J241" s="664"/>
      <c r="K241" s="664"/>
      <c r="L241" s="664"/>
      <c r="M241" s="664"/>
      <c r="N241" s="664"/>
      <c r="O241" s="664"/>
      <c r="P241" s="664"/>
      <c r="Q241" s="664"/>
      <c r="R241" s="664"/>
      <c r="S241" s="664"/>
      <c r="T241" s="664"/>
      <c r="U241" s="664"/>
      <c r="V241" s="664"/>
      <c r="W241" s="664"/>
      <c r="X241" s="664"/>
      <c r="Y241" s="664"/>
      <c r="Z241" s="664"/>
    </row>
    <row r="242">
      <c r="A242" s="661"/>
      <c r="B242" s="932"/>
      <c r="C242" s="15"/>
      <c r="D242" s="662" t="s">
        <v>1412</v>
      </c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</row>
    <row r="243">
      <c r="A243" s="661"/>
      <c r="B243" s="932"/>
      <c r="C243" s="15"/>
      <c r="D243" s="662" t="s">
        <v>1307</v>
      </c>
      <c r="E243" s="664"/>
      <c r="F243" s="664"/>
      <c r="G243" s="664"/>
      <c r="H243" s="664"/>
      <c r="I243" s="664"/>
      <c r="J243" s="664"/>
      <c r="K243" s="664"/>
      <c r="L243" s="664"/>
      <c r="M243" s="664"/>
      <c r="N243" s="664"/>
      <c r="O243" s="664"/>
      <c r="P243" s="664"/>
      <c r="Q243" s="664"/>
      <c r="R243" s="664"/>
      <c r="S243" s="664"/>
      <c r="T243" s="664"/>
      <c r="U243" s="664"/>
      <c r="V243" s="664"/>
      <c r="W243" s="664"/>
      <c r="X243" s="664"/>
      <c r="Y243" s="664"/>
      <c r="Z243" s="664"/>
    </row>
    <row r="244">
      <c r="A244" s="661"/>
      <c r="B244" s="664"/>
      <c r="C244" s="15"/>
      <c r="D244" s="662"/>
      <c r="E244" s="664"/>
      <c r="F244" s="664"/>
      <c r="G244" s="664"/>
      <c r="H244" s="664"/>
      <c r="I244" s="664"/>
      <c r="J244" s="664"/>
      <c r="K244" s="664"/>
      <c r="L244" s="664"/>
      <c r="M244" s="664"/>
      <c r="N244" s="664"/>
      <c r="O244" s="664"/>
      <c r="P244" s="664"/>
      <c r="Q244" s="664"/>
      <c r="R244" s="664"/>
      <c r="S244" s="664"/>
      <c r="T244" s="664"/>
      <c r="U244" s="664"/>
      <c r="V244" s="664"/>
      <c r="W244" s="664"/>
      <c r="X244" s="664"/>
      <c r="Y244" s="664"/>
      <c r="Z244" s="664"/>
    </row>
    <row r="245">
      <c r="A245" s="661"/>
      <c r="B245" s="933" t="s">
        <v>1099</v>
      </c>
      <c r="C245" s="15" t="str">
        <f>"=&gt;"</f>
        <v>=&gt;</v>
      </c>
      <c r="D245" s="662" t="s">
        <v>1413</v>
      </c>
      <c r="E245" s="664"/>
      <c r="F245" s="664"/>
      <c r="G245" s="664"/>
      <c r="H245" s="664"/>
      <c r="I245" s="664"/>
      <c r="J245" s="664"/>
      <c r="K245" s="664"/>
      <c r="L245" s="664"/>
      <c r="M245" s="664"/>
      <c r="N245" s="664"/>
      <c r="O245" s="664"/>
      <c r="P245" s="664"/>
      <c r="Q245" s="664"/>
      <c r="R245" s="664"/>
      <c r="S245" s="664"/>
      <c r="T245" s="664"/>
      <c r="U245" s="664"/>
      <c r="V245" s="664"/>
      <c r="W245" s="664"/>
      <c r="X245" s="664"/>
      <c r="Y245" s="664"/>
      <c r="Z245" s="664"/>
    </row>
    <row r="246">
      <c r="A246" s="661"/>
      <c r="B246" s="933"/>
      <c r="C246" s="15"/>
      <c r="D246" s="662" t="s">
        <v>1414</v>
      </c>
      <c r="E246" s="664"/>
      <c r="F246" s="664"/>
      <c r="G246" s="664"/>
      <c r="H246" s="664"/>
      <c r="I246" s="664"/>
      <c r="J246" s="664"/>
      <c r="K246" s="664"/>
      <c r="L246" s="664"/>
      <c r="M246" s="664"/>
      <c r="N246" s="664"/>
      <c r="O246" s="664"/>
      <c r="P246" s="664"/>
      <c r="Q246" s="664"/>
      <c r="R246" s="664"/>
      <c r="S246" s="664"/>
      <c r="T246" s="664"/>
      <c r="U246" s="664"/>
      <c r="V246" s="664"/>
      <c r="W246" s="664"/>
      <c r="X246" s="664"/>
      <c r="Y246" s="664"/>
      <c r="Z246" s="664"/>
    </row>
    <row r="247">
      <c r="A247" s="661"/>
      <c r="B247" s="933"/>
      <c r="C247" s="15"/>
      <c r="D247" s="662" t="s">
        <v>1308</v>
      </c>
      <c r="E247" s="664"/>
      <c r="F247" s="664"/>
      <c r="G247" s="664"/>
      <c r="H247" s="664"/>
      <c r="I247" s="664"/>
      <c r="J247" s="664"/>
      <c r="K247" s="664"/>
      <c r="L247" s="664"/>
      <c r="M247" s="664"/>
      <c r="N247" s="664"/>
      <c r="O247" s="664"/>
      <c r="P247" s="664"/>
      <c r="Q247" s="664"/>
      <c r="R247" s="664"/>
      <c r="S247" s="664"/>
      <c r="T247" s="664"/>
      <c r="U247" s="664"/>
      <c r="V247" s="664"/>
      <c r="W247" s="664"/>
      <c r="X247" s="664"/>
      <c r="Y247" s="664"/>
      <c r="Z247" s="664"/>
    </row>
    <row r="248">
      <c r="A248" s="661"/>
      <c r="B248" s="664"/>
      <c r="C248" s="15"/>
      <c r="D248" s="662"/>
      <c r="E248" s="664"/>
      <c r="F248" s="664"/>
      <c r="G248" s="664"/>
      <c r="H248" s="664"/>
      <c r="I248" s="664"/>
      <c r="J248" s="664"/>
      <c r="K248" s="664"/>
      <c r="L248" s="664"/>
      <c r="M248" s="664"/>
      <c r="N248" s="664"/>
      <c r="O248" s="664"/>
      <c r="P248" s="664"/>
      <c r="Q248" s="664"/>
      <c r="R248" s="664"/>
      <c r="S248" s="664"/>
      <c r="T248" s="664"/>
      <c r="U248" s="664"/>
      <c r="V248" s="664"/>
      <c r="W248" s="664"/>
      <c r="X248" s="664"/>
      <c r="Y248" s="664"/>
      <c r="Z248" s="664"/>
    </row>
    <row r="249">
      <c r="A249" s="661"/>
      <c r="B249" s="934" t="s">
        <v>894</v>
      </c>
      <c r="C249" s="15" t="str">
        <f>"=&gt;"</f>
        <v>=&gt;</v>
      </c>
      <c r="D249" s="662" t="s">
        <v>1415</v>
      </c>
      <c r="E249" s="664"/>
      <c r="F249" s="664"/>
      <c r="G249" s="664"/>
      <c r="H249" s="664"/>
      <c r="I249" s="664"/>
      <c r="J249" s="664"/>
      <c r="K249" s="664"/>
      <c r="L249" s="664"/>
      <c r="M249" s="664"/>
      <c r="N249" s="664"/>
      <c r="O249" s="664"/>
      <c r="P249" s="664"/>
      <c r="Q249" s="664"/>
      <c r="R249" s="664"/>
      <c r="S249" s="664"/>
      <c r="T249" s="664"/>
      <c r="U249" s="664"/>
      <c r="V249" s="664"/>
      <c r="W249" s="664"/>
      <c r="X249" s="664"/>
      <c r="Y249" s="664"/>
      <c r="Z249" s="664"/>
    </row>
    <row r="250">
      <c r="A250" s="661"/>
      <c r="B250" s="934"/>
      <c r="C250" s="15"/>
      <c r="D250" s="662" t="s">
        <v>1416</v>
      </c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</row>
    <row r="251">
      <c r="A251" s="661"/>
      <c r="B251" s="934"/>
      <c r="C251" s="15"/>
      <c r="D251" s="662" t="s">
        <v>1417</v>
      </c>
      <c r="E251" s="664"/>
      <c r="F251" s="664"/>
      <c r="G251" s="664"/>
      <c r="H251" s="664"/>
      <c r="I251" s="664"/>
      <c r="J251" s="664"/>
      <c r="K251" s="664"/>
      <c r="L251" s="664"/>
      <c r="M251" s="664"/>
      <c r="N251" s="664"/>
      <c r="O251" s="664"/>
      <c r="P251" s="664"/>
      <c r="Q251" s="664"/>
      <c r="R251" s="664"/>
      <c r="S251" s="664"/>
      <c r="T251" s="664"/>
      <c r="U251" s="664"/>
      <c r="V251" s="664"/>
      <c r="W251" s="664"/>
      <c r="X251" s="664"/>
      <c r="Y251" s="664"/>
      <c r="Z251" s="664"/>
    </row>
    <row r="252">
      <c r="A252" s="661"/>
      <c r="B252" s="934"/>
      <c r="C252" s="15"/>
      <c r="D252" s="662" t="s">
        <v>1418</v>
      </c>
      <c r="E252" s="664"/>
      <c r="F252" s="664"/>
      <c r="G252" s="664"/>
      <c r="H252" s="664"/>
      <c r="I252" s="664"/>
      <c r="J252" s="664"/>
      <c r="K252" s="664"/>
      <c r="L252" s="664"/>
      <c r="M252" s="664"/>
      <c r="N252" s="664"/>
      <c r="O252" s="664"/>
      <c r="P252" s="664"/>
      <c r="Q252" s="664"/>
      <c r="R252" s="664"/>
      <c r="S252" s="664"/>
      <c r="T252" s="664"/>
      <c r="U252" s="664"/>
      <c r="V252" s="664"/>
      <c r="W252" s="664"/>
      <c r="X252" s="664"/>
      <c r="Y252" s="664"/>
      <c r="Z252" s="664"/>
    </row>
    <row r="253">
      <c r="A253" s="661"/>
      <c r="B253" s="664"/>
      <c r="C253" s="15"/>
      <c r="D253" s="662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</row>
    <row r="254">
      <c r="A254" s="661"/>
      <c r="B254" s="803" t="s">
        <v>1103</v>
      </c>
      <c r="C254" s="15" t="str">
        <f>"=&gt;"</f>
        <v>=&gt;</v>
      </c>
      <c r="D254" s="662" t="s">
        <v>1419</v>
      </c>
      <c r="E254" s="664"/>
      <c r="F254" s="664"/>
      <c r="G254" s="664"/>
      <c r="H254" s="664"/>
      <c r="I254" s="664"/>
      <c r="J254" s="664"/>
      <c r="K254" s="664"/>
      <c r="L254" s="664"/>
      <c r="M254" s="664"/>
      <c r="N254" s="664"/>
      <c r="O254" s="664"/>
      <c r="P254" s="664"/>
      <c r="Q254" s="664"/>
      <c r="R254" s="664"/>
      <c r="S254" s="664"/>
      <c r="T254" s="664"/>
      <c r="U254" s="664"/>
      <c r="V254" s="664"/>
      <c r="W254" s="664"/>
      <c r="X254" s="664"/>
      <c r="Y254" s="664"/>
      <c r="Z254" s="664"/>
    </row>
    <row r="255">
      <c r="A255" s="661"/>
      <c r="B255" s="664"/>
      <c r="C255" s="15"/>
      <c r="D255" s="662" t="s">
        <v>1310</v>
      </c>
      <c r="E255" s="664"/>
      <c r="F255" s="664"/>
      <c r="G255" s="664"/>
      <c r="H255" s="664"/>
      <c r="I255" s="664"/>
      <c r="J255" s="664"/>
      <c r="K255" s="664"/>
      <c r="L255" s="664"/>
      <c r="M255" s="664"/>
      <c r="N255" s="664"/>
      <c r="O255" s="664"/>
      <c r="P255" s="664"/>
      <c r="Q255" s="664"/>
      <c r="R255" s="664"/>
      <c r="S255" s="664"/>
      <c r="T255" s="664"/>
      <c r="U255" s="664"/>
      <c r="V255" s="664"/>
      <c r="W255" s="664"/>
      <c r="X255" s="664"/>
      <c r="Y255" s="664"/>
      <c r="Z255" s="664"/>
    </row>
    <row r="256">
      <c r="A256" s="661"/>
      <c r="B256" s="664"/>
      <c r="C256" s="15"/>
      <c r="D256" s="662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</row>
    <row r="257">
      <c r="A257" s="661"/>
      <c r="B257" s="935" t="s">
        <v>901</v>
      </c>
      <c r="C257" s="15" t="str">
        <f>"=&gt;"</f>
        <v>=&gt;</v>
      </c>
      <c r="D257" s="662" t="s">
        <v>1420</v>
      </c>
      <c r="E257" s="664"/>
      <c r="F257" s="664"/>
      <c r="G257" s="664"/>
      <c r="H257" s="664"/>
      <c r="I257" s="664"/>
      <c r="J257" s="664"/>
      <c r="K257" s="664"/>
      <c r="L257" s="664"/>
      <c r="M257" s="664"/>
      <c r="N257" s="664"/>
      <c r="O257" s="664"/>
      <c r="P257" s="664"/>
      <c r="Q257" s="664"/>
      <c r="R257" s="664"/>
      <c r="S257" s="664"/>
      <c r="T257" s="664"/>
      <c r="U257" s="664"/>
      <c r="V257" s="664"/>
      <c r="W257" s="664"/>
      <c r="X257" s="664"/>
      <c r="Y257" s="664"/>
      <c r="Z257" s="664"/>
    </row>
    <row r="258">
      <c r="A258" s="661"/>
      <c r="B258" s="664"/>
      <c r="C258" s="15"/>
      <c r="D258" s="662" t="s">
        <v>1310</v>
      </c>
      <c r="E258" s="664"/>
      <c r="F258" s="664"/>
      <c r="G258" s="664"/>
      <c r="H258" s="664"/>
      <c r="I258" s="664"/>
      <c r="J258" s="664"/>
      <c r="K258" s="664"/>
      <c r="L258" s="664"/>
      <c r="M258" s="664"/>
      <c r="N258" s="664"/>
      <c r="O258" s="664"/>
      <c r="P258" s="664"/>
      <c r="Q258" s="664"/>
      <c r="R258" s="664"/>
      <c r="S258" s="664"/>
      <c r="T258" s="664"/>
      <c r="U258" s="664"/>
      <c r="V258" s="664"/>
      <c r="W258" s="664"/>
      <c r="X258" s="664"/>
      <c r="Y258" s="664"/>
      <c r="Z258" s="664"/>
    </row>
    <row r="259">
      <c r="A259" s="661"/>
      <c r="B259" s="664"/>
      <c r="C259" s="15"/>
      <c r="D259" s="662"/>
      <c r="E259" s="664"/>
      <c r="F259" s="664"/>
      <c r="G259" s="664"/>
      <c r="H259" s="664"/>
      <c r="I259" s="664"/>
      <c r="J259" s="664"/>
      <c r="K259" s="664"/>
      <c r="L259" s="664"/>
      <c r="M259" s="664"/>
      <c r="N259" s="664"/>
      <c r="O259" s="664"/>
      <c r="P259" s="664"/>
      <c r="Q259" s="664"/>
      <c r="R259" s="664"/>
      <c r="S259" s="664"/>
      <c r="T259" s="664"/>
      <c r="U259" s="664"/>
      <c r="V259" s="664"/>
      <c r="W259" s="664"/>
      <c r="X259" s="664"/>
      <c r="Y259" s="664"/>
      <c r="Z259" s="664"/>
    </row>
    <row r="260">
      <c r="A260" s="661"/>
      <c r="B260" s="936" t="s">
        <v>1097</v>
      </c>
      <c r="C260" s="15" t="str">
        <f>"=&gt;"</f>
        <v>=&gt;</v>
      </c>
      <c r="D260" s="662" t="s">
        <v>1421</v>
      </c>
      <c r="E260" s="664"/>
      <c r="F260" s="664"/>
      <c r="G260" s="664"/>
      <c r="H260" s="664"/>
      <c r="I260" s="664"/>
      <c r="J260" s="664"/>
      <c r="K260" s="664"/>
      <c r="L260" s="664"/>
      <c r="M260" s="664"/>
      <c r="N260" s="664"/>
      <c r="O260" s="664"/>
      <c r="P260" s="664"/>
      <c r="Q260" s="664"/>
      <c r="R260" s="664"/>
      <c r="S260" s="664"/>
      <c r="T260" s="664"/>
      <c r="U260" s="664"/>
      <c r="V260" s="664"/>
      <c r="W260" s="664"/>
      <c r="X260" s="664"/>
      <c r="Y260" s="664"/>
      <c r="Z260" s="664"/>
    </row>
    <row r="261">
      <c r="A261" s="661"/>
      <c r="B261" s="936"/>
      <c r="C261" s="15"/>
      <c r="D261" s="662" t="s">
        <v>1302</v>
      </c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</row>
    <row r="262">
      <c r="A262" s="661"/>
      <c r="B262" s="664"/>
      <c r="C262" s="15"/>
      <c r="D262" s="662"/>
      <c r="E262" s="664"/>
      <c r="F262" s="664"/>
      <c r="G262" s="664"/>
      <c r="H262" s="664"/>
      <c r="I262" s="664"/>
      <c r="J262" s="664"/>
      <c r="K262" s="664"/>
      <c r="L262" s="664"/>
      <c r="M262" s="664"/>
      <c r="N262" s="664"/>
      <c r="O262" s="664"/>
      <c r="P262" s="664"/>
      <c r="Q262" s="664"/>
      <c r="R262" s="664"/>
      <c r="S262" s="664"/>
      <c r="T262" s="664"/>
      <c r="U262" s="664"/>
      <c r="V262" s="664"/>
      <c r="W262" s="664"/>
      <c r="X262" s="664"/>
      <c r="Y262" s="664"/>
      <c r="Z262" s="664"/>
    </row>
    <row r="263">
      <c r="A263" s="661"/>
      <c r="B263" s="937" t="s">
        <v>892</v>
      </c>
      <c r="C263" s="15" t="str">
        <f>"=&gt;"</f>
        <v>=&gt;</v>
      </c>
      <c r="D263" s="662" t="s">
        <v>1422</v>
      </c>
      <c r="E263" s="664"/>
      <c r="F263" s="664"/>
      <c r="G263" s="664"/>
      <c r="H263" s="664"/>
      <c r="I263" s="664"/>
      <c r="J263" s="664"/>
      <c r="K263" s="664"/>
      <c r="L263" s="664"/>
      <c r="M263" s="664"/>
      <c r="N263" s="664"/>
      <c r="O263" s="664"/>
      <c r="P263" s="664"/>
      <c r="Q263" s="664"/>
      <c r="R263" s="664"/>
      <c r="S263" s="664"/>
      <c r="T263" s="664"/>
      <c r="U263" s="664"/>
      <c r="V263" s="664"/>
      <c r="W263" s="664"/>
      <c r="X263" s="664"/>
      <c r="Y263" s="664"/>
      <c r="Z263" s="664"/>
    </row>
    <row r="264">
      <c r="A264" s="661"/>
      <c r="B264" s="937"/>
      <c r="C264" s="15"/>
      <c r="D264" s="662" t="s">
        <v>1423</v>
      </c>
      <c r="E264" s="664"/>
      <c r="F264" s="664"/>
      <c r="G264" s="664"/>
      <c r="H264" s="664"/>
      <c r="I264" s="664"/>
      <c r="J264" s="664"/>
      <c r="K264" s="664"/>
      <c r="L264" s="664"/>
      <c r="M264" s="664"/>
      <c r="N264" s="664"/>
      <c r="O264" s="664"/>
      <c r="P264" s="664"/>
      <c r="Q264" s="664"/>
      <c r="R264" s="664"/>
      <c r="S264" s="664"/>
      <c r="T264" s="664"/>
      <c r="U264" s="664"/>
      <c r="V264" s="664"/>
      <c r="W264" s="664"/>
      <c r="X264" s="664"/>
      <c r="Y264" s="664"/>
      <c r="Z264" s="664"/>
    </row>
    <row r="265">
      <c r="A265" s="661"/>
      <c r="B265" s="937"/>
      <c r="C265" s="15"/>
      <c r="D265" s="662" t="s">
        <v>1424</v>
      </c>
      <c r="E265" s="664"/>
      <c r="F265" s="664"/>
      <c r="G265" s="664"/>
      <c r="H265" s="664"/>
      <c r="I265" s="664"/>
      <c r="J265" s="664"/>
      <c r="K265" s="664"/>
      <c r="L265" s="664"/>
      <c r="M265" s="664"/>
      <c r="N265" s="664"/>
      <c r="O265" s="664"/>
      <c r="P265" s="664"/>
      <c r="Q265" s="664"/>
      <c r="R265" s="664"/>
      <c r="S265" s="664"/>
      <c r="T265" s="664"/>
      <c r="U265" s="664"/>
      <c r="V265" s="664"/>
      <c r="W265" s="664"/>
      <c r="X265" s="664"/>
      <c r="Y265" s="664"/>
      <c r="Z265" s="664"/>
    </row>
    <row r="266">
      <c r="A266" s="661"/>
      <c r="B266" s="937"/>
      <c r="C266" s="15"/>
      <c r="D266" s="662" t="s">
        <v>1311</v>
      </c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</row>
    <row r="267">
      <c r="A267" s="661"/>
      <c r="B267" s="664"/>
      <c r="C267" s="15"/>
      <c r="D267" s="662"/>
      <c r="E267" s="664"/>
      <c r="F267" s="664"/>
      <c r="G267" s="664"/>
      <c r="H267" s="664"/>
      <c r="I267" s="664"/>
      <c r="J267" s="664"/>
      <c r="K267" s="664"/>
      <c r="L267" s="664"/>
      <c r="M267" s="664"/>
      <c r="N267" s="664"/>
      <c r="O267" s="664"/>
      <c r="P267" s="664"/>
      <c r="Q267" s="664"/>
      <c r="R267" s="664"/>
      <c r="S267" s="664"/>
      <c r="T267" s="664"/>
      <c r="U267" s="664"/>
      <c r="V267" s="664"/>
      <c r="W267" s="664"/>
      <c r="X267" s="664"/>
      <c r="Y267" s="664"/>
      <c r="Z267" s="664"/>
    </row>
    <row r="268">
      <c r="A268" s="661"/>
      <c r="B268" s="938" t="s">
        <v>1104</v>
      </c>
      <c r="C268" s="15" t="str">
        <f>"=&gt;"</f>
        <v>=&gt;</v>
      </c>
      <c r="D268" s="662" t="s">
        <v>1425</v>
      </c>
      <c r="E268" s="664"/>
      <c r="F268" s="664"/>
      <c r="G268" s="664"/>
      <c r="H268" s="664"/>
      <c r="I268" s="664"/>
      <c r="J268" s="664"/>
      <c r="K268" s="664"/>
      <c r="L268" s="664"/>
      <c r="M268" s="664"/>
      <c r="N268" s="664"/>
      <c r="O268" s="664"/>
      <c r="P268" s="664"/>
      <c r="Q268" s="664"/>
      <c r="R268" s="664"/>
      <c r="S268" s="664"/>
      <c r="T268" s="664"/>
      <c r="U268" s="664"/>
      <c r="V268" s="664"/>
      <c r="W268" s="664"/>
      <c r="X268" s="664"/>
      <c r="Y268" s="664"/>
      <c r="Z268" s="664"/>
    </row>
    <row r="269">
      <c r="A269" s="661"/>
      <c r="B269" s="938"/>
      <c r="C269" s="15"/>
      <c r="D269" s="662" t="s">
        <v>1311</v>
      </c>
      <c r="E269" s="664"/>
      <c r="F269" s="664"/>
      <c r="G269" s="664"/>
      <c r="H269" s="664"/>
      <c r="I269" s="664"/>
      <c r="J269" s="664"/>
      <c r="K269" s="664"/>
      <c r="L269" s="664"/>
      <c r="M269" s="664"/>
      <c r="N269" s="664"/>
      <c r="O269" s="664"/>
      <c r="P269" s="664"/>
      <c r="Q269" s="664"/>
      <c r="R269" s="664"/>
      <c r="S269" s="664"/>
      <c r="T269" s="664"/>
      <c r="U269" s="664"/>
      <c r="V269" s="664"/>
      <c r="W269" s="664"/>
      <c r="X269" s="664"/>
      <c r="Y269" s="664"/>
      <c r="Z269" s="664"/>
    </row>
    <row r="270">
      <c r="A270" s="661"/>
      <c r="B270" s="664"/>
      <c r="C270" s="15"/>
      <c r="D270" s="662"/>
      <c r="E270" s="664"/>
      <c r="F270" s="664"/>
      <c r="G270" s="664"/>
      <c r="H270" s="664"/>
      <c r="I270" s="664"/>
      <c r="J270" s="664"/>
      <c r="K270" s="664"/>
      <c r="L270" s="664"/>
      <c r="M270" s="664"/>
      <c r="N270" s="664"/>
      <c r="O270" s="664"/>
      <c r="P270" s="664"/>
      <c r="Q270" s="664"/>
      <c r="R270" s="664"/>
      <c r="S270" s="664"/>
      <c r="T270" s="664"/>
      <c r="U270" s="664"/>
      <c r="V270" s="664"/>
      <c r="W270" s="664"/>
      <c r="X270" s="664"/>
      <c r="Y270" s="664"/>
      <c r="Z270" s="664"/>
    </row>
    <row r="271">
      <c r="A271" s="661"/>
      <c r="B271" s="939" t="s">
        <v>848</v>
      </c>
      <c r="C271" s="15" t="str">
        <f>"=&gt;"</f>
        <v>=&gt;</v>
      </c>
      <c r="D271" s="662" t="s">
        <v>1426</v>
      </c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</row>
    <row r="272">
      <c r="A272" s="661"/>
      <c r="B272" s="939"/>
      <c r="C272" s="15"/>
      <c r="D272" s="662" t="s">
        <v>1143</v>
      </c>
      <c r="E272" s="664"/>
      <c r="F272" s="664"/>
      <c r="G272" s="664"/>
      <c r="H272" s="664"/>
      <c r="I272" s="664"/>
      <c r="J272" s="664"/>
      <c r="K272" s="664"/>
      <c r="L272" s="664"/>
      <c r="M272" s="664"/>
      <c r="N272" s="664"/>
      <c r="O272" s="664"/>
      <c r="P272" s="664"/>
      <c r="Q272" s="664"/>
      <c r="R272" s="664"/>
      <c r="S272" s="664"/>
      <c r="T272" s="664"/>
      <c r="U272" s="664"/>
      <c r="V272" s="664"/>
      <c r="W272" s="664"/>
      <c r="X272" s="664"/>
      <c r="Y272" s="664"/>
      <c r="Z272" s="664"/>
    </row>
    <row r="273">
      <c r="A273" s="661"/>
      <c r="B273" s="939"/>
      <c r="C273" s="15"/>
      <c r="D273" s="663" t="s">
        <v>1427</v>
      </c>
      <c r="E273" s="664"/>
      <c r="F273" s="664"/>
      <c r="G273" s="664"/>
      <c r="H273" s="664"/>
      <c r="I273" s="664"/>
      <c r="J273" s="664"/>
      <c r="K273" s="664"/>
      <c r="L273" s="664"/>
      <c r="M273" s="664"/>
      <c r="N273" s="664"/>
      <c r="O273" s="664"/>
      <c r="P273" s="664"/>
      <c r="Q273" s="664"/>
      <c r="R273" s="664"/>
      <c r="S273" s="664"/>
      <c r="T273" s="664"/>
      <c r="U273" s="664"/>
      <c r="V273" s="664"/>
      <c r="W273" s="664"/>
      <c r="X273" s="664"/>
      <c r="Y273" s="664"/>
      <c r="Z273" s="664"/>
    </row>
    <row r="274">
      <c r="A274" s="661"/>
      <c r="B274" s="939"/>
      <c r="C274" s="15"/>
      <c r="D274" s="662" t="s">
        <v>1142</v>
      </c>
      <c r="E274" s="664"/>
      <c r="F274" s="664"/>
      <c r="G274" s="664"/>
      <c r="H274" s="664"/>
      <c r="I274" s="664"/>
      <c r="J274" s="664"/>
      <c r="K274" s="664"/>
      <c r="L274" s="664"/>
      <c r="M274" s="664"/>
      <c r="N274" s="664"/>
      <c r="O274" s="664"/>
      <c r="P274" s="664"/>
      <c r="Q274" s="664"/>
      <c r="R274" s="664"/>
      <c r="S274" s="664"/>
      <c r="T274" s="664"/>
      <c r="U274" s="664"/>
      <c r="V274" s="664"/>
      <c r="W274" s="664"/>
      <c r="X274" s="664"/>
      <c r="Y274" s="664"/>
      <c r="Z274" s="664"/>
    </row>
    <row r="275">
      <c r="A275" s="661"/>
      <c r="B275" s="664"/>
      <c r="C275" s="15"/>
      <c r="D275" s="662"/>
      <c r="E275" s="664"/>
      <c r="F275" s="664"/>
      <c r="G275" s="664"/>
      <c r="H275" s="664"/>
      <c r="I275" s="664"/>
      <c r="J275" s="664"/>
      <c r="K275" s="664"/>
      <c r="L275" s="664"/>
      <c r="M275" s="664"/>
      <c r="N275" s="664"/>
      <c r="O275" s="664"/>
      <c r="P275" s="664"/>
      <c r="Q275" s="664"/>
      <c r="R275" s="664"/>
      <c r="S275" s="664"/>
      <c r="T275" s="664"/>
      <c r="U275" s="664"/>
      <c r="V275" s="664"/>
      <c r="W275" s="664"/>
      <c r="X275" s="664"/>
      <c r="Y275" s="664"/>
      <c r="Z275" s="664"/>
    </row>
    <row r="276">
      <c r="A276" s="661"/>
      <c r="B276" s="940" t="s">
        <v>1000</v>
      </c>
      <c r="C276" s="15" t="str">
        <f>"=&gt;"</f>
        <v>=&gt;</v>
      </c>
      <c r="D276" s="662" t="s">
        <v>1428</v>
      </c>
      <c r="E276" s="664"/>
      <c r="F276" s="664"/>
      <c r="G276" s="664"/>
      <c r="H276" s="664"/>
      <c r="I276" s="664"/>
      <c r="J276" s="664"/>
      <c r="K276" s="664"/>
      <c r="L276" s="664"/>
      <c r="M276" s="664"/>
      <c r="N276" s="664"/>
      <c r="O276" s="664"/>
      <c r="P276" s="664"/>
      <c r="Q276" s="664"/>
      <c r="R276" s="664"/>
      <c r="S276" s="664"/>
      <c r="T276" s="664"/>
      <c r="U276" s="664"/>
      <c r="V276" s="664"/>
      <c r="W276" s="664"/>
      <c r="X276" s="664"/>
      <c r="Y276" s="664"/>
      <c r="Z276" s="664"/>
    </row>
    <row r="277">
      <c r="A277" s="661"/>
      <c r="B277" s="940"/>
      <c r="C277" s="15"/>
      <c r="D277" s="662" t="s">
        <v>1310</v>
      </c>
      <c r="E277" s="664"/>
      <c r="F277" s="664"/>
      <c r="G277" s="664"/>
      <c r="H277" s="664"/>
      <c r="I277" s="664"/>
      <c r="J277" s="664"/>
      <c r="K277" s="664"/>
      <c r="L277" s="664"/>
      <c r="M277" s="664"/>
      <c r="N277" s="664"/>
      <c r="O277" s="664"/>
      <c r="P277" s="664"/>
      <c r="Q277" s="664"/>
      <c r="R277" s="664"/>
      <c r="S277" s="664"/>
      <c r="T277" s="664"/>
      <c r="U277" s="664"/>
      <c r="V277" s="664"/>
      <c r="W277" s="664"/>
      <c r="X277" s="664"/>
      <c r="Y277" s="664"/>
      <c r="Z277" s="664"/>
    </row>
    <row r="278">
      <c r="A278" s="661"/>
      <c r="B278" s="664"/>
      <c r="C278" s="15"/>
      <c r="D278" s="662"/>
      <c r="E278" s="664"/>
      <c r="F278" s="664"/>
      <c r="G278" s="664"/>
      <c r="H278" s="664"/>
      <c r="I278" s="664"/>
      <c r="J278" s="664"/>
      <c r="K278" s="664"/>
      <c r="L278" s="664"/>
      <c r="M278" s="664"/>
      <c r="N278" s="664"/>
      <c r="O278" s="664"/>
      <c r="P278" s="664"/>
      <c r="Q278" s="664"/>
      <c r="R278" s="664"/>
      <c r="S278" s="664"/>
      <c r="T278" s="664"/>
      <c r="U278" s="664"/>
      <c r="V278" s="664"/>
      <c r="W278" s="664"/>
      <c r="X278" s="664"/>
      <c r="Y278" s="664"/>
      <c r="Z278" s="664"/>
    </row>
    <row r="279">
      <c r="A279" s="661"/>
      <c r="B279" s="941" t="s">
        <v>1002</v>
      </c>
      <c r="C279" s="15" t="str">
        <f>"=&gt;"</f>
        <v>=&gt;</v>
      </c>
      <c r="D279" s="662" t="s">
        <v>1429</v>
      </c>
      <c r="E279" s="664"/>
      <c r="F279" s="664"/>
      <c r="G279" s="664"/>
      <c r="H279" s="664"/>
      <c r="I279" s="664"/>
      <c r="J279" s="664"/>
      <c r="K279" s="664"/>
      <c r="L279" s="664"/>
      <c r="M279" s="664"/>
      <c r="N279" s="664"/>
      <c r="O279" s="664"/>
      <c r="P279" s="664"/>
      <c r="Q279" s="664"/>
      <c r="R279" s="664"/>
      <c r="S279" s="664"/>
      <c r="T279" s="664"/>
      <c r="U279" s="664"/>
      <c r="V279" s="664"/>
      <c r="W279" s="664"/>
      <c r="X279" s="664"/>
      <c r="Y279" s="664"/>
      <c r="Z279" s="664"/>
    </row>
    <row r="280">
      <c r="A280" s="661"/>
      <c r="B280" s="941"/>
      <c r="C280" s="15"/>
      <c r="D280" s="662" t="s">
        <v>1310</v>
      </c>
      <c r="E280" s="664"/>
      <c r="F280" s="664"/>
      <c r="G280" s="664"/>
      <c r="H280" s="664"/>
      <c r="I280" s="664"/>
      <c r="J280" s="664"/>
      <c r="K280" s="664"/>
      <c r="L280" s="664"/>
      <c r="M280" s="664"/>
      <c r="N280" s="664"/>
      <c r="O280" s="664"/>
      <c r="P280" s="664"/>
      <c r="Q280" s="664"/>
      <c r="R280" s="664"/>
      <c r="S280" s="664"/>
      <c r="T280" s="664"/>
      <c r="U280" s="664"/>
      <c r="V280" s="664"/>
      <c r="W280" s="664"/>
      <c r="X280" s="664"/>
      <c r="Y280" s="664"/>
      <c r="Z280" s="664"/>
    </row>
    <row r="281">
      <c r="A281" s="661"/>
      <c r="B281" s="664"/>
      <c r="C281" s="15"/>
      <c r="D281" s="662"/>
      <c r="E281" s="664"/>
      <c r="F281" s="664"/>
      <c r="G281" s="664"/>
      <c r="H281" s="664"/>
      <c r="I281" s="664"/>
      <c r="J281" s="664"/>
      <c r="K281" s="664"/>
      <c r="L281" s="664"/>
      <c r="M281" s="664"/>
      <c r="N281" s="664"/>
      <c r="O281" s="664"/>
      <c r="P281" s="664"/>
      <c r="Q281" s="664"/>
      <c r="R281" s="664"/>
      <c r="S281" s="664"/>
      <c r="T281" s="664"/>
      <c r="U281" s="664"/>
      <c r="V281" s="664"/>
      <c r="W281" s="664"/>
      <c r="X281" s="664"/>
      <c r="Y281" s="664"/>
      <c r="Z281" s="664"/>
    </row>
    <row r="282">
      <c r="A282" s="661"/>
      <c r="B282" s="942" t="s">
        <v>1080</v>
      </c>
      <c r="C282" s="15" t="str">
        <f>"=&gt;"</f>
        <v>=&gt;</v>
      </c>
      <c r="D282" s="662" t="s">
        <v>1430</v>
      </c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</row>
    <row r="283">
      <c r="A283" s="661"/>
      <c r="B283" s="942"/>
      <c r="C283" s="15"/>
      <c r="D283" s="662" t="s">
        <v>1431</v>
      </c>
      <c r="E283" s="664"/>
      <c r="F283" s="664"/>
      <c r="G283" s="664"/>
      <c r="H283" s="664"/>
      <c r="I283" s="664"/>
      <c r="J283" s="664"/>
      <c r="K283" s="664"/>
      <c r="L283" s="664"/>
      <c r="M283" s="664"/>
      <c r="N283" s="664"/>
      <c r="O283" s="664"/>
      <c r="P283" s="664"/>
      <c r="Q283" s="664"/>
      <c r="R283" s="664"/>
      <c r="S283" s="664"/>
      <c r="T283" s="664"/>
      <c r="U283" s="664"/>
      <c r="V283" s="664"/>
      <c r="W283" s="664"/>
      <c r="X283" s="664"/>
      <c r="Y283" s="664"/>
      <c r="Z283" s="664"/>
    </row>
    <row r="284">
      <c r="A284" s="661"/>
      <c r="B284" s="942"/>
      <c r="C284" s="15"/>
      <c r="D284" s="662" t="s">
        <v>1432</v>
      </c>
      <c r="E284" s="664"/>
      <c r="F284" s="664"/>
      <c r="G284" s="664"/>
      <c r="H284" s="664"/>
      <c r="I284" s="664"/>
      <c r="J284" s="664"/>
      <c r="K284" s="664"/>
      <c r="L284" s="664"/>
      <c r="M284" s="664"/>
      <c r="N284" s="664"/>
      <c r="O284" s="664"/>
      <c r="P284" s="664"/>
      <c r="Q284" s="664"/>
      <c r="R284" s="664"/>
      <c r="S284" s="664"/>
      <c r="T284" s="664"/>
      <c r="U284" s="664"/>
      <c r="V284" s="664"/>
      <c r="W284" s="664"/>
      <c r="X284" s="664"/>
      <c r="Y284" s="664"/>
      <c r="Z284" s="664"/>
    </row>
    <row r="285">
      <c r="A285" s="661"/>
      <c r="B285" s="942"/>
      <c r="C285" s="15"/>
      <c r="D285" s="662" t="s">
        <v>1433</v>
      </c>
      <c r="E285" s="664"/>
      <c r="F285" s="664"/>
      <c r="G285" s="664"/>
      <c r="H285" s="664"/>
      <c r="I285" s="664"/>
      <c r="J285" s="664"/>
      <c r="K285" s="664"/>
      <c r="L285" s="664"/>
      <c r="M285" s="664"/>
      <c r="N285" s="664"/>
      <c r="O285" s="664"/>
      <c r="P285" s="664"/>
      <c r="Q285" s="664"/>
      <c r="R285" s="664"/>
      <c r="S285" s="664"/>
      <c r="T285" s="664"/>
      <c r="U285" s="664"/>
      <c r="V285" s="664"/>
      <c r="W285" s="664"/>
      <c r="X285" s="664"/>
      <c r="Y285" s="664"/>
      <c r="Z285" s="664"/>
    </row>
    <row r="286">
      <c r="A286" s="661"/>
      <c r="B286" s="942"/>
      <c r="C286" s="15"/>
      <c r="D286" s="662" t="s">
        <v>1434</v>
      </c>
      <c r="E286" s="664"/>
      <c r="F286" s="664"/>
      <c r="G286" s="664"/>
      <c r="H286" s="664"/>
      <c r="I286" s="664"/>
      <c r="J286" s="664"/>
      <c r="K286" s="664"/>
      <c r="L286" s="664"/>
      <c r="M286" s="664"/>
      <c r="N286" s="664"/>
      <c r="O286" s="664"/>
      <c r="P286" s="664"/>
      <c r="Q286" s="664"/>
      <c r="R286" s="664"/>
      <c r="S286" s="664"/>
      <c r="T286" s="664"/>
      <c r="U286" s="664"/>
      <c r="V286" s="664"/>
      <c r="W286" s="664"/>
      <c r="X286" s="664"/>
      <c r="Y286" s="664"/>
      <c r="Z286" s="664"/>
    </row>
    <row r="287">
      <c r="A287" s="661"/>
      <c r="B287" s="942"/>
      <c r="C287" s="15"/>
      <c r="D287" s="662" t="s">
        <v>1435</v>
      </c>
      <c r="E287" s="664"/>
      <c r="F287" s="664"/>
      <c r="G287" s="664"/>
      <c r="H287" s="664"/>
      <c r="I287" s="664"/>
      <c r="J287" s="664"/>
      <c r="K287" s="664"/>
      <c r="L287" s="664"/>
      <c r="M287" s="664"/>
      <c r="N287" s="664"/>
      <c r="O287" s="664"/>
      <c r="P287" s="664"/>
      <c r="Q287" s="664"/>
      <c r="R287" s="664"/>
      <c r="S287" s="664"/>
      <c r="T287" s="664"/>
      <c r="U287" s="664"/>
      <c r="V287" s="664"/>
      <c r="W287" s="664"/>
      <c r="X287" s="664"/>
      <c r="Y287" s="664"/>
      <c r="Z287" s="664"/>
    </row>
    <row r="288">
      <c r="A288" s="661"/>
      <c r="B288" s="942"/>
      <c r="C288" s="15"/>
      <c r="D288" s="662" t="s">
        <v>1436</v>
      </c>
      <c r="E288" s="664"/>
      <c r="F288" s="664"/>
      <c r="G288" s="664"/>
      <c r="H288" s="664"/>
      <c r="I288" s="664"/>
      <c r="J288" s="664"/>
      <c r="K288" s="664"/>
      <c r="L288" s="664"/>
      <c r="M288" s="664"/>
      <c r="N288" s="664"/>
      <c r="O288" s="664"/>
      <c r="P288" s="664"/>
      <c r="Q288" s="664"/>
      <c r="R288" s="664"/>
      <c r="S288" s="664"/>
      <c r="T288" s="664"/>
      <c r="U288" s="664"/>
      <c r="V288" s="664"/>
      <c r="W288" s="664"/>
      <c r="X288" s="664"/>
      <c r="Y288" s="664"/>
      <c r="Z288" s="664"/>
    </row>
    <row r="289">
      <c r="A289" s="661"/>
      <c r="B289" s="664"/>
      <c r="C289" s="15"/>
      <c r="D289" s="662"/>
      <c r="E289" s="664"/>
      <c r="F289" s="664"/>
      <c r="G289" s="664"/>
      <c r="H289" s="664"/>
      <c r="I289" s="664"/>
      <c r="J289" s="664"/>
      <c r="K289" s="664"/>
      <c r="L289" s="664"/>
      <c r="M289" s="664"/>
      <c r="N289" s="664"/>
      <c r="O289" s="664"/>
      <c r="P289" s="664"/>
      <c r="Q289" s="664"/>
      <c r="R289" s="664"/>
      <c r="S289" s="664"/>
      <c r="T289" s="664"/>
      <c r="U289" s="664"/>
      <c r="V289" s="664"/>
      <c r="W289" s="664"/>
      <c r="X289" s="664"/>
      <c r="Y289" s="664"/>
      <c r="Z289" s="664"/>
    </row>
    <row r="290">
      <c r="A290" s="661"/>
      <c r="B290" s="943" t="s">
        <v>1004</v>
      </c>
      <c r="C290" s="15" t="str">
        <f>"=&gt;"</f>
        <v>=&gt;</v>
      </c>
      <c r="D290" s="662" t="s">
        <v>1437</v>
      </c>
      <c r="E290" s="664"/>
      <c r="F290" s="664"/>
      <c r="G290" s="664"/>
      <c r="H290" s="664"/>
      <c r="I290" s="664"/>
      <c r="J290" s="664"/>
      <c r="K290" s="664"/>
      <c r="L290" s="664"/>
      <c r="M290" s="664"/>
      <c r="N290" s="664"/>
      <c r="O290" s="664"/>
      <c r="P290" s="664"/>
      <c r="Q290" s="664"/>
      <c r="R290" s="664"/>
      <c r="S290" s="664"/>
      <c r="T290" s="664"/>
      <c r="U290" s="664"/>
      <c r="V290" s="664"/>
      <c r="W290" s="664"/>
      <c r="X290" s="664"/>
      <c r="Y290" s="664"/>
      <c r="Z290" s="664"/>
    </row>
    <row r="291">
      <c r="A291" s="661"/>
      <c r="B291" s="943"/>
      <c r="C291" s="15"/>
      <c r="D291" s="662" t="s">
        <v>481</v>
      </c>
      <c r="E291" s="664"/>
      <c r="F291" s="664"/>
      <c r="G291" s="664"/>
      <c r="H291" s="664"/>
      <c r="I291" s="664"/>
      <c r="J291" s="664"/>
      <c r="K291" s="664"/>
      <c r="L291" s="664"/>
      <c r="M291" s="664"/>
      <c r="N291" s="664"/>
      <c r="O291" s="664"/>
      <c r="P291" s="664"/>
      <c r="Q291" s="664"/>
      <c r="R291" s="664"/>
      <c r="S291" s="664"/>
      <c r="T291" s="664"/>
      <c r="U291" s="664"/>
      <c r="V291" s="664"/>
      <c r="W291" s="664"/>
      <c r="X291" s="664"/>
      <c r="Y291" s="664"/>
      <c r="Z291" s="664"/>
    </row>
    <row r="292">
      <c r="A292" s="661"/>
      <c r="B292" s="664"/>
      <c r="C292" s="15"/>
      <c r="D292" s="662"/>
      <c r="E292" s="664"/>
      <c r="F292" s="664"/>
      <c r="G292" s="664"/>
      <c r="H292" s="664"/>
      <c r="I292" s="664"/>
      <c r="J292" s="664"/>
      <c r="K292" s="664"/>
      <c r="L292" s="664"/>
      <c r="M292" s="664"/>
      <c r="N292" s="664"/>
      <c r="O292" s="664"/>
      <c r="P292" s="664"/>
      <c r="Q292" s="664"/>
      <c r="R292" s="664"/>
      <c r="S292" s="664"/>
      <c r="T292" s="664"/>
      <c r="U292" s="664"/>
      <c r="V292" s="664"/>
      <c r="W292" s="664"/>
      <c r="X292" s="664"/>
      <c r="Y292" s="664"/>
      <c r="Z292" s="664"/>
    </row>
    <row r="293">
      <c r="A293" s="661"/>
      <c r="B293" s="944" t="s">
        <v>1105</v>
      </c>
      <c r="C293" s="15" t="str">
        <f>"=&gt;"</f>
        <v>=&gt;</v>
      </c>
      <c r="D293" s="662" t="s">
        <v>1438</v>
      </c>
      <c r="E293" s="664"/>
      <c r="F293" s="664"/>
      <c r="G293" s="664"/>
      <c r="H293" s="664"/>
      <c r="I293" s="664"/>
      <c r="J293" s="664"/>
      <c r="K293" s="664"/>
      <c r="L293" s="664"/>
      <c r="M293" s="664"/>
      <c r="N293" s="664"/>
      <c r="O293" s="664"/>
      <c r="P293" s="664"/>
      <c r="Q293" s="664"/>
      <c r="R293" s="664"/>
      <c r="S293" s="664"/>
      <c r="T293" s="664"/>
      <c r="U293" s="664"/>
      <c r="V293" s="664"/>
      <c r="W293" s="664"/>
      <c r="X293" s="664"/>
      <c r="Y293" s="664"/>
      <c r="Z293" s="664"/>
    </row>
    <row r="294">
      <c r="A294" s="661"/>
      <c r="B294" s="944"/>
      <c r="C294" s="15"/>
      <c r="D294" s="663" t="s">
        <v>1147</v>
      </c>
      <c r="E294" s="664"/>
      <c r="F294" s="664"/>
      <c r="G294" s="664"/>
      <c r="H294" s="664"/>
      <c r="I294" s="664"/>
      <c r="J294" s="664"/>
      <c r="K294" s="664"/>
      <c r="L294" s="664"/>
      <c r="M294" s="664"/>
      <c r="N294" s="664"/>
      <c r="O294" s="664"/>
      <c r="P294" s="664"/>
      <c r="Q294" s="664"/>
      <c r="R294" s="664"/>
      <c r="S294" s="664"/>
      <c r="T294" s="664"/>
      <c r="U294" s="664"/>
      <c r="V294" s="664"/>
      <c r="W294" s="664"/>
      <c r="X294" s="664"/>
      <c r="Y294" s="664"/>
      <c r="Z294" s="664"/>
    </row>
    <row r="295">
      <c r="A295" s="661"/>
      <c r="B295" s="944"/>
      <c r="C295" s="15"/>
      <c r="D295" s="663" t="s">
        <v>1439</v>
      </c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</row>
    <row r="296">
      <c r="A296" s="661"/>
      <c r="B296" s="944"/>
      <c r="C296" s="15"/>
      <c r="D296" s="663" t="s">
        <v>1293</v>
      </c>
      <c r="E296" s="664"/>
      <c r="F296" s="664"/>
      <c r="G296" s="664"/>
      <c r="H296" s="664"/>
      <c r="I296" s="664"/>
      <c r="J296" s="664"/>
      <c r="K296" s="664"/>
      <c r="L296" s="664"/>
      <c r="M296" s="664"/>
      <c r="N296" s="664"/>
      <c r="O296" s="664"/>
      <c r="P296" s="664"/>
      <c r="Q296" s="664"/>
      <c r="R296" s="664"/>
      <c r="S296" s="664"/>
      <c r="T296" s="664"/>
      <c r="U296" s="664"/>
      <c r="V296" s="664"/>
      <c r="W296" s="664"/>
      <c r="X296" s="664"/>
      <c r="Y296" s="664"/>
      <c r="Z296" s="664"/>
    </row>
    <row r="297">
      <c r="A297" s="661"/>
      <c r="B297" s="664"/>
      <c r="C297" s="15"/>
      <c r="D297" s="662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</row>
    <row r="298">
      <c r="A298" s="661"/>
      <c r="B298" s="945" t="s">
        <v>1006</v>
      </c>
      <c r="C298" s="15" t="str">
        <f>"=&gt;"</f>
        <v>=&gt;</v>
      </c>
      <c r="D298" s="662" t="s">
        <v>1440</v>
      </c>
      <c r="E298" s="664"/>
      <c r="F298" s="664"/>
      <c r="G298" s="664"/>
      <c r="H298" s="664"/>
      <c r="I298" s="664"/>
      <c r="J298" s="664"/>
      <c r="K298" s="664"/>
      <c r="L298" s="664"/>
      <c r="M298" s="664"/>
      <c r="N298" s="664"/>
      <c r="O298" s="664"/>
      <c r="P298" s="664"/>
      <c r="Q298" s="664"/>
      <c r="R298" s="664"/>
      <c r="S298" s="664"/>
      <c r="T298" s="664"/>
      <c r="U298" s="664"/>
      <c r="V298" s="664"/>
      <c r="W298" s="664"/>
      <c r="X298" s="664"/>
      <c r="Y298" s="664"/>
      <c r="Z298" s="664"/>
    </row>
    <row r="299">
      <c r="A299" s="661"/>
      <c r="B299" s="945"/>
      <c r="C299" s="15"/>
      <c r="D299" s="662" t="s">
        <v>481</v>
      </c>
      <c r="E299" s="664"/>
      <c r="F299" s="664"/>
      <c r="G299" s="664"/>
      <c r="H299" s="664"/>
      <c r="I299" s="664"/>
      <c r="J299" s="664"/>
      <c r="K299" s="664"/>
      <c r="L299" s="664"/>
      <c r="M299" s="664"/>
      <c r="N299" s="664"/>
      <c r="O299" s="664"/>
      <c r="P299" s="664"/>
      <c r="Q299" s="664"/>
      <c r="R299" s="664"/>
      <c r="S299" s="664"/>
      <c r="T299" s="664"/>
      <c r="U299" s="664"/>
      <c r="V299" s="664"/>
      <c r="W299" s="664"/>
      <c r="X299" s="664"/>
      <c r="Y299" s="664"/>
      <c r="Z299" s="664"/>
    </row>
    <row r="300">
      <c r="A300" s="661"/>
      <c r="B300" s="664"/>
      <c r="C300" s="15"/>
      <c r="D300" s="662"/>
      <c r="E300" s="664"/>
      <c r="F300" s="664"/>
      <c r="G300" s="664"/>
      <c r="H300" s="664"/>
      <c r="I300" s="664"/>
      <c r="J300" s="664"/>
      <c r="K300" s="664"/>
      <c r="L300" s="664"/>
      <c r="M300" s="664"/>
      <c r="N300" s="664"/>
      <c r="O300" s="664"/>
      <c r="P300" s="664"/>
      <c r="Q300" s="664"/>
      <c r="R300" s="664"/>
      <c r="S300" s="664"/>
      <c r="T300" s="664"/>
      <c r="U300" s="664"/>
      <c r="V300" s="664"/>
      <c r="W300" s="664"/>
      <c r="X300" s="664"/>
      <c r="Y300" s="664"/>
      <c r="Z300" s="664"/>
    </row>
    <row r="301">
      <c r="A301" s="661"/>
      <c r="B301" s="946" t="s">
        <v>1106</v>
      </c>
      <c r="C301" s="15" t="str">
        <f>"=&gt;"</f>
        <v>=&gt;</v>
      </c>
      <c r="D301" s="662" t="s">
        <v>1441</v>
      </c>
      <c r="E301" s="664"/>
      <c r="F301" s="664"/>
      <c r="G301" s="664"/>
      <c r="H301" s="664"/>
      <c r="I301" s="664"/>
      <c r="J301" s="664"/>
      <c r="K301" s="664"/>
      <c r="L301" s="664"/>
      <c r="M301" s="664"/>
      <c r="N301" s="664"/>
      <c r="O301" s="664"/>
      <c r="P301" s="664"/>
      <c r="Q301" s="664"/>
      <c r="R301" s="664"/>
      <c r="S301" s="664"/>
      <c r="T301" s="664"/>
      <c r="U301" s="664"/>
      <c r="V301" s="664"/>
      <c r="W301" s="664"/>
      <c r="X301" s="664"/>
      <c r="Y301" s="664"/>
      <c r="Z301" s="664"/>
    </row>
    <row r="302">
      <c r="A302" s="661"/>
      <c r="B302" s="946"/>
      <c r="C302" s="15"/>
      <c r="D302" s="662" t="s">
        <v>1313</v>
      </c>
      <c r="E302" s="664"/>
      <c r="F302" s="664"/>
      <c r="G302" s="664"/>
      <c r="H302" s="664"/>
      <c r="I302" s="664"/>
      <c r="J302" s="664"/>
      <c r="K302" s="664"/>
      <c r="L302" s="664"/>
      <c r="M302" s="664"/>
      <c r="N302" s="664"/>
      <c r="O302" s="664"/>
      <c r="P302" s="664"/>
      <c r="Q302" s="664"/>
      <c r="R302" s="664"/>
      <c r="S302" s="664"/>
      <c r="T302" s="664"/>
      <c r="U302" s="664"/>
      <c r="V302" s="664"/>
      <c r="W302" s="664"/>
      <c r="X302" s="664"/>
      <c r="Y302" s="664"/>
      <c r="Z302" s="664"/>
    </row>
    <row r="303">
      <c r="A303" s="661"/>
      <c r="B303" s="664"/>
      <c r="C303" s="15"/>
      <c r="D303" s="662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</row>
    <row r="304">
      <c r="A304" s="661"/>
      <c r="B304" s="947" t="s">
        <v>1100</v>
      </c>
      <c r="C304" s="15" t="str">
        <f>"=&gt;"</f>
        <v>=&gt;</v>
      </c>
      <c r="D304" s="662" t="s">
        <v>1442</v>
      </c>
      <c r="E304" s="664"/>
      <c r="F304" s="664"/>
      <c r="G304" s="664"/>
      <c r="H304" s="664"/>
      <c r="I304" s="664"/>
      <c r="J304" s="664"/>
      <c r="K304" s="664"/>
      <c r="L304" s="664"/>
      <c r="M304" s="664"/>
      <c r="N304" s="664"/>
      <c r="O304" s="664"/>
      <c r="P304" s="664"/>
      <c r="Q304" s="664"/>
      <c r="R304" s="664"/>
      <c r="S304" s="664"/>
      <c r="T304" s="664"/>
      <c r="U304" s="664"/>
      <c r="V304" s="664"/>
      <c r="W304" s="664"/>
      <c r="X304" s="664"/>
      <c r="Y304" s="664"/>
      <c r="Z304" s="664"/>
    </row>
    <row r="305">
      <c r="A305" s="661"/>
      <c r="B305" s="947"/>
      <c r="C305" s="15"/>
      <c r="D305" s="662" t="s">
        <v>1443</v>
      </c>
      <c r="E305" s="664"/>
      <c r="F305" s="664"/>
      <c r="G305" s="664"/>
      <c r="H305" s="664"/>
      <c r="I305" s="664"/>
      <c r="J305" s="664"/>
      <c r="K305" s="664"/>
      <c r="L305" s="664"/>
      <c r="M305" s="664"/>
      <c r="N305" s="664"/>
      <c r="O305" s="664"/>
      <c r="P305" s="664"/>
      <c r="Q305" s="664"/>
      <c r="R305" s="664"/>
      <c r="S305" s="664"/>
      <c r="T305" s="664"/>
      <c r="U305" s="664"/>
      <c r="V305" s="664"/>
      <c r="W305" s="664"/>
      <c r="X305" s="664"/>
      <c r="Y305" s="664"/>
      <c r="Z305" s="664"/>
    </row>
    <row r="306">
      <c r="A306" s="661"/>
      <c r="B306" s="947"/>
      <c r="C306" s="15"/>
      <c r="D306" s="662" t="s">
        <v>1294</v>
      </c>
      <c r="E306" s="664"/>
      <c r="F306" s="664"/>
      <c r="G306" s="664"/>
      <c r="H306" s="664"/>
      <c r="I306" s="664"/>
      <c r="J306" s="664"/>
      <c r="K306" s="664"/>
      <c r="L306" s="664"/>
      <c r="M306" s="664"/>
      <c r="N306" s="664"/>
      <c r="O306" s="664"/>
      <c r="P306" s="664"/>
      <c r="Q306" s="664"/>
      <c r="R306" s="664"/>
      <c r="S306" s="664"/>
      <c r="T306" s="664"/>
      <c r="U306" s="664"/>
      <c r="V306" s="664"/>
      <c r="W306" s="664"/>
      <c r="X306" s="664"/>
      <c r="Y306" s="664"/>
      <c r="Z306" s="664"/>
    </row>
    <row r="307">
      <c r="A307" s="661"/>
      <c r="B307" s="664"/>
      <c r="C307" s="15"/>
      <c r="D307" s="662"/>
      <c r="E307" s="664"/>
      <c r="F307" s="664"/>
      <c r="G307" s="664"/>
      <c r="H307" s="664"/>
      <c r="I307" s="664"/>
      <c r="J307" s="664"/>
      <c r="K307" s="664"/>
      <c r="L307" s="664"/>
      <c r="M307" s="664"/>
      <c r="N307" s="664"/>
      <c r="O307" s="664"/>
      <c r="P307" s="664"/>
      <c r="Q307" s="664"/>
      <c r="R307" s="664"/>
      <c r="S307" s="664"/>
      <c r="T307" s="664"/>
      <c r="U307" s="664"/>
      <c r="V307" s="664"/>
      <c r="W307" s="664"/>
      <c r="X307" s="664"/>
      <c r="Y307" s="664"/>
      <c r="Z307" s="664"/>
    </row>
    <row r="308">
      <c r="A308" s="661"/>
      <c r="B308" s="948" t="s">
        <v>929</v>
      </c>
      <c r="C308" s="15" t="str">
        <f>"=&gt;"</f>
        <v>=&gt;</v>
      </c>
      <c r="D308" s="662" t="s">
        <v>1444</v>
      </c>
      <c r="E308" s="664"/>
      <c r="F308" s="664"/>
      <c r="G308" s="664"/>
      <c r="H308" s="664"/>
      <c r="I308" s="664"/>
      <c r="J308" s="664"/>
      <c r="K308" s="664"/>
      <c r="L308" s="664"/>
      <c r="M308" s="664"/>
      <c r="N308" s="664"/>
      <c r="O308" s="664"/>
      <c r="P308" s="664"/>
      <c r="Q308" s="664"/>
      <c r="R308" s="664"/>
      <c r="S308" s="664"/>
      <c r="T308" s="664"/>
      <c r="U308" s="664"/>
      <c r="V308" s="664"/>
      <c r="W308" s="664"/>
      <c r="X308" s="664"/>
      <c r="Y308" s="664"/>
      <c r="Z308" s="664"/>
    </row>
    <row r="309">
      <c r="A309" s="661"/>
      <c r="B309" s="948"/>
      <c r="C309" s="15"/>
      <c r="D309" s="662" t="s">
        <v>1310</v>
      </c>
      <c r="E309" s="664"/>
      <c r="F309" s="664"/>
      <c r="G309" s="664"/>
      <c r="H309" s="664"/>
      <c r="I309" s="664"/>
      <c r="J309" s="664"/>
      <c r="K309" s="664"/>
      <c r="L309" s="664"/>
      <c r="M309" s="664"/>
      <c r="N309" s="664"/>
      <c r="O309" s="664"/>
      <c r="P309" s="664"/>
      <c r="Q309" s="664"/>
      <c r="R309" s="664"/>
      <c r="S309" s="664"/>
      <c r="T309" s="664"/>
      <c r="U309" s="664"/>
      <c r="V309" s="664"/>
      <c r="W309" s="664"/>
      <c r="X309" s="664"/>
      <c r="Y309" s="664"/>
      <c r="Z309" s="664"/>
    </row>
    <row r="310">
      <c r="A310" s="661"/>
      <c r="B310" s="664"/>
      <c r="C310" s="15"/>
      <c r="D310" s="662"/>
      <c r="E310" s="664"/>
      <c r="F310" s="664"/>
      <c r="G310" s="664"/>
      <c r="H310" s="664"/>
      <c r="I310" s="664"/>
      <c r="J310" s="664"/>
      <c r="K310" s="664"/>
      <c r="L310" s="664"/>
      <c r="M310" s="664"/>
      <c r="N310" s="664"/>
      <c r="O310" s="664"/>
      <c r="P310" s="664"/>
      <c r="Q310" s="664"/>
      <c r="R310" s="664"/>
      <c r="S310" s="664"/>
      <c r="T310" s="664"/>
      <c r="U310" s="664"/>
      <c r="V310" s="664"/>
      <c r="W310" s="664"/>
      <c r="X310" s="664"/>
      <c r="Y310" s="664"/>
      <c r="Z310" s="664"/>
    </row>
    <row r="311">
      <c r="A311" s="661"/>
      <c r="B311" s="949" t="s">
        <v>1096</v>
      </c>
      <c r="C311" s="15" t="s">
        <v>199</v>
      </c>
      <c r="D311" s="662" t="s">
        <v>1445</v>
      </c>
      <c r="E311" s="664"/>
      <c r="F311" s="664"/>
      <c r="G311" s="664"/>
      <c r="H311" s="664"/>
      <c r="I311" s="664"/>
      <c r="J311" s="664"/>
      <c r="K311" s="664"/>
      <c r="L311" s="664"/>
      <c r="M311" s="664"/>
      <c r="N311" s="664"/>
      <c r="O311" s="664"/>
      <c r="P311" s="664"/>
      <c r="Q311" s="664"/>
      <c r="R311" s="664"/>
      <c r="S311" s="664"/>
      <c r="T311" s="664"/>
      <c r="U311" s="664"/>
      <c r="V311" s="664"/>
      <c r="W311" s="664"/>
      <c r="X311" s="664"/>
      <c r="Y311" s="664"/>
      <c r="Z311" s="664"/>
    </row>
    <row r="312">
      <c r="A312" s="661"/>
      <c r="B312" s="949"/>
      <c r="C312" s="15"/>
      <c r="D312" s="662" t="s">
        <v>1302</v>
      </c>
      <c r="E312" s="664"/>
      <c r="F312" s="664"/>
      <c r="G312" s="664"/>
      <c r="H312" s="664"/>
      <c r="I312" s="664"/>
      <c r="J312" s="664"/>
      <c r="K312" s="664"/>
      <c r="L312" s="664"/>
      <c r="M312" s="664"/>
      <c r="N312" s="664"/>
      <c r="O312" s="664"/>
      <c r="P312" s="664"/>
      <c r="Q312" s="664"/>
      <c r="R312" s="664"/>
      <c r="S312" s="664"/>
      <c r="T312" s="664"/>
      <c r="U312" s="664"/>
      <c r="V312" s="664"/>
      <c r="W312" s="664"/>
      <c r="X312" s="664"/>
      <c r="Y312" s="664"/>
      <c r="Z312" s="664"/>
    </row>
    <row r="313">
      <c r="A313" s="661"/>
      <c r="B313" s="664"/>
      <c r="C313" s="15"/>
      <c r="D313" s="662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</row>
    <row r="314">
      <c r="A314" s="661"/>
      <c r="B314" s="950" t="s">
        <v>1107</v>
      </c>
      <c r="C314" s="15" t="s">
        <v>199</v>
      </c>
      <c r="D314" s="662" t="s">
        <v>1446</v>
      </c>
      <c r="E314" s="664"/>
      <c r="F314" s="664"/>
      <c r="G314" s="664"/>
      <c r="H314" s="664"/>
      <c r="I314" s="664"/>
      <c r="J314" s="664"/>
      <c r="K314" s="664"/>
      <c r="L314" s="664"/>
      <c r="M314" s="664"/>
      <c r="N314" s="664"/>
      <c r="O314" s="664"/>
      <c r="P314" s="664"/>
      <c r="Q314" s="664"/>
      <c r="R314" s="664"/>
      <c r="S314" s="664"/>
      <c r="T314" s="664"/>
      <c r="U314" s="664"/>
      <c r="V314" s="664"/>
      <c r="W314" s="664"/>
      <c r="X314" s="664"/>
      <c r="Y314" s="664"/>
      <c r="Z314" s="664"/>
    </row>
    <row r="315">
      <c r="A315" s="661"/>
      <c r="B315" s="950"/>
      <c r="C315" s="15"/>
      <c r="D315" s="694" t="s">
        <v>1175</v>
      </c>
      <c r="E315" s="664"/>
      <c r="F315" s="664"/>
      <c r="G315" s="664"/>
      <c r="H315" s="664"/>
      <c r="I315" s="664"/>
      <c r="J315" s="664"/>
      <c r="K315" s="664"/>
      <c r="L315" s="664"/>
      <c r="M315" s="664"/>
      <c r="N315" s="664"/>
      <c r="O315" s="664"/>
      <c r="P315" s="664"/>
      <c r="Q315" s="664"/>
      <c r="R315" s="664"/>
      <c r="S315" s="664"/>
      <c r="T315" s="664"/>
      <c r="U315" s="664"/>
      <c r="V315" s="664"/>
      <c r="W315" s="664"/>
      <c r="X315" s="664"/>
      <c r="Y315" s="664"/>
      <c r="Z315" s="664"/>
    </row>
    <row r="316">
      <c r="A316" s="661"/>
      <c r="B316" s="950"/>
      <c r="C316" s="15"/>
      <c r="D316" s="694" t="s">
        <v>1447</v>
      </c>
      <c r="E316" s="664"/>
      <c r="F316" s="664"/>
      <c r="G316" s="664"/>
      <c r="H316" s="664"/>
      <c r="I316" s="664"/>
      <c r="J316" s="664"/>
      <c r="K316" s="664"/>
      <c r="L316" s="664"/>
      <c r="M316" s="664"/>
      <c r="N316" s="664"/>
      <c r="O316" s="664"/>
      <c r="P316" s="664"/>
      <c r="Q316" s="664"/>
      <c r="R316" s="664"/>
      <c r="S316" s="664"/>
      <c r="T316" s="664"/>
      <c r="U316" s="664"/>
      <c r="V316" s="664"/>
      <c r="W316" s="664"/>
      <c r="X316" s="664"/>
      <c r="Y316" s="664"/>
      <c r="Z316" s="664"/>
    </row>
    <row r="317">
      <c r="A317" s="661"/>
      <c r="B317" s="950"/>
      <c r="C317" s="15"/>
      <c r="D317" s="694" t="s">
        <v>1314</v>
      </c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</row>
    <row r="318">
      <c r="A318" s="661"/>
      <c r="B318" s="664"/>
      <c r="C318" s="15"/>
      <c r="D318" s="662"/>
      <c r="E318" s="664"/>
      <c r="F318" s="664"/>
      <c r="G318" s="664"/>
      <c r="H318" s="664"/>
      <c r="I318" s="664"/>
      <c r="J318" s="664"/>
      <c r="K318" s="664"/>
      <c r="L318" s="664"/>
      <c r="M318" s="664"/>
      <c r="N318" s="664"/>
      <c r="O318" s="664"/>
      <c r="P318" s="664"/>
      <c r="Q318" s="664"/>
      <c r="R318" s="664"/>
      <c r="S318" s="664"/>
      <c r="T318" s="664"/>
      <c r="U318" s="664"/>
      <c r="V318" s="664"/>
      <c r="W318" s="664"/>
      <c r="X318" s="664"/>
      <c r="Y318" s="664"/>
      <c r="Z318" s="664"/>
    </row>
    <row r="319">
      <c r="A319" s="661"/>
      <c r="B319" s="951" t="s">
        <v>837</v>
      </c>
      <c r="C319" s="15" t="str">
        <f>"=&gt;"</f>
        <v>=&gt;</v>
      </c>
      <c r="D319" s="662" t="s">
        <v>1448</v>
      </c>
      <c r="E319" s="664"/>
      <c r="F319" s="664"/>
      <c r="G319" s="664"/>
      <c r="H319" s="664"/>
      <c r="I319" s="664"/>
      <c r="J319" s="664"/>
      <c r="K319" s="664"/>
      <c r="L319" s="664"/>
      <c r="M319" s="664"/>
      <c r="N319" s="664"/>
      <c r="O319" s="664"/>
      <c r="P319" s="664"/>
      <c r="Q319" s="664"/>
      <c r="R319" s="664"/>
      <c r="S319" s="664"/>
      <c r="T319" s="664"/>
      <c r="U319" s="664"/>
      <c r="V319" s="664"/>
      <c r="W319" s="664"/>
      <c r="X319" s="664"/>
      <c r="Y319" s="664"/>
      <c r="Z319" s="664"/>
    </row>
    <row r="320">
      <c r="A320" s="661"/>
      <c r="B320" s="951"/>
      <c r="C320" s="15"/>
      <c r="D320" s="662" t="s">
        <v>1196</v>
      </c>
      <c r="E320" s="664"/>
      <c r="F320" s="664"/>
      <c r="G320" s="664"/>
      <c r="H320" s="664"/>
      <c r="I320" s="664"/>
      <c r="J320" s="664"/>
      <c r="K320" s="664"/>
      <c r="L320" s="664"/>
      <c r="M320" s="664"/>
      <c r="N320" s="664"/>
      <c r="O320" s="664"/>
      <c r="P320" s="664"/>
      <c r="Q320" s="664"/>
      <c r="R320" s="664"/>
      <c r="S320" s="664"/>
      <c r="T320" s="664"/>
      <c r="U320" s="664"/>
      <c r="V320" s="664"/>
      <c r="W320" s="664"/>
      <c r="X320" s="664"/>
      <c r="Y320" s="664"/>
      <c r="Z320" s="664"/>
    </row>
    <row r="321">
      <c r="A321" s="661"/>
      <c r="B321" s="664"/>
      <c r="C321" s="15"/>
      <c r="D321" s="662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</row>
    <row r="322">
      <c r="A322" s="661"/>
      <c r="B322" s="952" t="s">
        <v>1108</v>
      </c>
      <c r="C322" s="15" t="str">
        <f>"=&gt;"</f>
        <v>=&gt;</v>
      </c>
      <c r="D322" s="662" t="s">
        <v>1449</v>
      </c>
      <c r="E322" s="664"/>
      <c r="F322" s="664"/>
      <c r="G322" s="664"/>
      <c r="H322" s="664"/>
      <c r="I322" s="664"/>
      <c r="J322" s="664"/>
      <c r="K322" s="664"/>
      <c r="L322" s="664"/>
      <c r="M322" s="664"/>
      <c r="N322" s="664"/>
      <c r="O322" s="664"/>
      <c r="P322" s="664"/>
      <c r="Q322" s="664"/>
      <c r="R322" s="664"/>
      <c r="S322" s="664"/>
      <c r="T322" s="664"/>
      <c r="U322" s="664"/>
      <c r="V322" s="664"/>
      <c r="W322" s="664"/>
      <c r="X322" s="664"/>
      <c r="Y322" s="664"/>
      <c r="Z322" s="664"/>
    </row>
    <row r="323">
      <c r="A323" s="661"/>
      <c r="B323" s="952"/>
      <c r="C323" s="15"/>
      <c r="D323" s="662" t="s">
        <v>551</v>
      </c>
      <c r="E323" s="664"/>
      <c r="F323" s="664"/>
      <c r="G323" s="664"/>
      <c r="H323" s="664"/>
      <c r="I323" s="664"/>
      <c r="J323" s="664"/>
      <c r="K323" s="664"/>
      <c r="L323" s="664"/>
      <c r="M323" s="664"/>
      <c r="N323" s="664"/>
      <c r="O323" s="664"/>
      <c r="P323" s="664"/>
      <c r="Q323" s="664"/>
      <c r="R323" s="664"/>
      <c r="S323" s="664"/>
      <c r="T323" s="664"/>
      <c r="U323" s="664"/>
      <c r="V323" s="664"/>
      <c r="W323" s="664"/>
      <c r="X323" s="664"/>
      <c r="Y323" s="664"/>
      <c r="Z323" s="664"/>
    </row>
    <row r="324">
      <c r="A324" s="661"/>
      <c r="B324" s="664"/>
      <c r="C324" s="15"/>
      <c r="D324" s="662"/>
      <c r="E324" s="664"/>
      <c r="F324" s="664"/>
      <c r="G324" s="664"/>
      <c r="H324" s="664"/>
      <c r="I324" s="664"/>
      <c r="J324" s="664"/>
      <c r="K324" s="664"/>
      <c r="L324" s="664"/>
      <c r="M324" s="664"/>
      <c r="N324" s="664"/>
      <c r="O324" s="664"/>
      <c r="P324" s="664"/>
      <c r="Q324" s="664"/>
      <c r="R324" s="664"/>
      <c r="S324" s="664"/>
      <c r="T324" s="664"/>
      <c r="U324" s="664"/>
      <c r="V324" s="664"/>
      <c r="W324" s="664"/>
      <c r="X324" s="664"/>
      <c r="Y324" s="664"/>
      <c r="Z324" s="664"/>
    </row>
    <row r="325">
      <c r="A325" s="661"/>
      <c r="B325" s="953" t="s">
        <v>1109</v>
      </c>
      <c r="C325" s="15" t="s">
        <v>199</v>
      </c>
      <c r="D325" s="662" t="s">
        <v>1450</v>
      </c>
      <c r="E325" s="664"/>
      <c r="F325" s="664"/>
      <c r="G325" s="664"/>
      <c r="H325" s="664"/>
      <c r="I325" s="664"/>
      <c r="J325" s="664"/>
      <c r="K325" s="664"/>
      <c r="L325" s="664"/>
      <c r="M325" s="664"/>
      <c r="N325" s="664"/>
      <c r="O325" s="664"/>
      <c r="P325" s="664"/>
      <c r="Q325" s="664"/>
      <c r="R325" s="664"/>
      <c r="S325" s="664"/>
      <c r="T325" s="664"/>
      <c r="U325" s="664"/>
      <c r="V325" s="664"/>
      <c r="W325" s="664"/>
      <c r="X325" s="664"/>
      <c r="Y325" s="664"/>
      <c r="Z325" s="664"/>
    </row>
    <row r="326">
      <c r="A326" s="661"/>
      <c r="B326" s="953"/>
      <c r="C326" s="15"/>
      <c r="D326" s="662" t="s">
        <v>1451</v>
      </c>
      <c r="E326" s="664"/>
      <c r="F326" s="664"/>
      <c r="G326" s="664"/>
      <c r="H326" s="664"/>
      <c r="I326" s="664"/>
      <c r="J326" s="664"/>
      <c r="K326" s="664"/>
      <c r="L326" s="664"/>
      <c r="M326" s="664"/>
      <c r="N326" s="664"/>
      <c r="O326" s="664"/>
      <c r="P326" s="664"/>
      <c r="Q326" s="664"/>
      <c r="R326" s="664"/>
      <c r="S326" s="664"/>
      <c r="T326" s="664"/>
      <c r="U326" s="664"/>
      <c r="V326" s="664"/>
      <c r="W326" s="664"/>
      <c r="X326" s="664"/>
      <c r="Y326" s="664"/>
      <c r="Z326" s="664"/>
    </row>
    <row r="327">
      <c r="A327" s="661"/>
      <c r="B327" s="953"/>
      <c r="C327" s="15"/>
      <c r="D327" s="662" t="s">
        <v>1452</v>
      </c>
      <c r="E327" s="664"/>
      <c r="F327" s="664"/>
      <c r="G327" s="664"/>
      <c r="H327" s="664"/>
      <c r="I327" s="664"/>
      <c r="J327" s="664"/>
      <c r="K327" s="664"/>
      <c r="L327" s="664"/>
      <c r="M327" s="664"/>
      <c r="N327" s="664"/>
      <c r="O327" s="664"/>
      <c r="P327" s="664"/>
      <c r="Q327" s="664"/>
      <c r="R327" s="664"/>
      <c r="S327" s="664"/>
      <c r="T327" s="664"/>
      <c r="U327" s="664"/>
      <c r="V327" s="664"/>
      <c r="W327" s="664"/>
      <c r="X327" s="664"/>
      <c r="Y327" s="664"/>
      <c r="Z327" s="664"/>
    </row>
    <row r="328">
      <c r="A328" s="661"/>
      <c r="B328" s="953"/>
      <c r="C328" s="15"/>
      <c r="D328" s="662" t="s">
        <v>1453</v>
      </c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</row>
    <row r="329">
      <c r="A329" s="661"/>
      <c r="B329" s="953"/>
      <c r="C329" s="15"/>
      <c r="D329" s="662" t="s">
        <v>1290</v>
      </c>
      <c r="E329" s="664"/>
      <c r="F329" s="664"/>
      <c r="G329" s="664"/>
      <c r="H329" s="664"/>
      <c r="I329" s="664"/>
      <c r="J329" s="664"/>
      <c r="K329" s="664"/>
      <c r="L329" s="664"/>
      <c r="M329" s="664"/>
      <c r="N329" s="664"/>
      <c r="O329" s="664"/>
      <c r="P329" s="664"/>
      <c r="Q329" s="664"/>
      <c r="R329" s="664"/>
      <c r="S329" s="664"/>
      <c r="T329" s="664"/>
      <c r="U329" s="664"/>
      <c r="V329" s="664"/>
      <c r="W329" s="664"/>
      <c r="X329" s="664"/>
      <c r="Y329" s="664"/>
      <c r="Z329" s="664"/>
    </row>
    <row r="330">
      <c r="A330" s="661"/>
      <c r="B330" s="664"/>
      <c r="C330" s="15"/>
      <c r="D330" s="662"/>
      <c r="E330" s="664"/>
      <c r="F330" s="664"/>
      <c r="G330" s="664"/>
      <c r="H330" s="664"/>
      <c r="I330" s="664"/>
      <c r="J330" s="664"/>
      <c r="K330" s="664"/>
      <c r="L330" s="664"/>
      <c r="M330" s="664"/>
      <c r="N330" s="664"/>
      <c r="O330" s="664"/>
      <c r="P330" s="664"/>
      <c r="Q330" s="664"/>
      <c r="R330" s="664"/>
      <c r="S330" s="664"/>
      <c r="T330" s="664"/>
      <c r="U330" s="664"/>
      <c r="V330" s="664"/>
      <c r="W330" s="664"/>
      <c r="X330" s="664"/>
      <c r="Y330" s="664"/>
      <c r="Z330" s="664"/>
    </row>
    <row r="331">
      <c r="A331" s="661"/>
      <c r="B331" s="954" t="s">
        <v>1010</v>
      </c>
      <c r="C331" s="15" t="s">
        <v>199</v>
      </c>
      <c r="D331" s="662" t="s">
        <v>1454</v>
      </c>
      <c r="E331" s="664"/>
      <c r="F331" s="664"/>
      <c r="G331" s="664"/>
      <c r="H331" s="664"/>
      <c r="I331" s="664"/>
      <c r="J331" s="664"/>
      <c r="K331" s="664"/>
      <c r="L331" s="664"/>
      <c r="M331" s="664"/>
      <c r="N331" s="664"/>
      <c r="O331" s="664"/>
      <c r="P331" s="664"/>
      <c r="Q331" s="664"/>
      <c r="R331" s="664"/>
      <c r="S331" s="664"/>
      <c r="T331" s="664"/>
      <c r="U331" s="664"/>
      <c r="V331" s="664"/>
      <c r="W331" s="664"/>
      <c r="X331" s="664"/>
      <c r="Y331" s="664"/>
      <c r="Z331" s="664"/>
    </row>
    <row r="332">
      <c r="A332" s="661"/>
      <c r="B332" s="954"/>
      <c r="C332" s="15"/>
      <c r="D332" s="663" t="s">
        <v>1455</v>
      </c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</row>
    <row r="333">
      <c r="A333" s="661"/>
      <c r="B333" s="954"/>
      <c r="C333" s="15"/>
      <c r="D333" s="663" t="s">
        <v>1456</v>
      </c>
      <c r="E333" s="664"/>
      <c r="F333" s="664"/>
      <c r="G333" s="664"/>
      <c r="H333" s="664"/>
      <c r="I333" s="664"/>
      <c r="J333" s="664"/>
      <c r="K333" s="664"/>
      <c r="L333" s="664"/>
      <c r="M333" s="664"/>
      <c r="N333" s="664"/>
      <c r="O333" s="664"/>
      <c r="P333" s="664"/>
      <c r="Q333" s="664"/>
      <c r="R333" s="664"/>
      <c r="S333" s="664"/>
      <c r="T333" s="664"/>
      <c r="U333" s="664"/>
      <c r="V333" s="664"/>
      <c r="W333" s="664"/>
      <c r="X333" s="664"/>
      <c r="Y333" s="664"/>
      <c r="Z333" s="664"/>
    </row>
    <row r="334">
      <c r="A334" s="661"/>
      <c r="B334" s="954"/>
      <c r="C334" s="15"/>
      <c r="D334" s="663" t="s">
        <v>1457</v>
      </c>
      <c r="E334" s="664"/>
      <c r="F334" s="664"/>
      <c r="G334" s="664"/>
      <c r="H334" s="664"/>
      <c r="I334" s="664"/>
      <c r="J334" s="664"/>
      <c r="K334" s="664"/>
      <c r="L334" s="664"/>
      <c r="M334" s="664"/>
      <c r="N334" s="664"/>
      <c r="O334" s="664"/>
      <c r="P334" s="664"/>
      <c r="Q334" s="664"/>
      <c r="R334" s="664"/>
      <c r="S334" s="664"/>
      <c r="T334" s="664"/>
      <c r="U334" s="664"/>
      <c r="V334" s="664"/>
      <c r="W334" s="664"/>
      <c r="X334" s="664"/>
      <c r="Y334" s="664"/>
      <c r="Z334" s="664"/>
    </row>
    <row r="335">
      <c r="A335" s="661"/>
      <c r="B335" s="954"/>
      <c r="C335" s="15"/>
      <c r="D335" s="663" t="s">
        <v>1458</v>
      </c>
      <c r="E335" s="664"/>
      <c r="F335" s="664"/>
      <c r="G335" s="664"/>
      <c r="H335" s="664"/>
      <c r="I335" s="664"/>
      <c r="J335" s="664"/>
      <c r="K335" s="664"/>
      <c r="L335" s="664"/>
      <c r="M335" s="664"/>
      <c r="N335" s="664"/>
      <c r="O335" s="664"/>
      <c r="P335" s="664"/>
      <c r="Q335" s="664"/>
      <c r="R335" s="664"/>
      <c r="S335" s="664"/>
      <c r="T335" s="664"/>
      <c r="U335" s="664"/>
      <c r="V335" s="664"/>
      <c r="W335" s="664"/>
      <c r="X335" s="664"/>
      <c r="Y335" s="664"/>
      <c r="Z335" s="664"/>
    </row>
    <row r="336">
      <c r="A336" s="661"/>
      <c r="B336" s="954"/>
      <c r="C336" s="15"/>
      <c r="D336" s="663" t="s">
        <v>558</v>
      </c>
      <c r="E336" s="664"/>
      <c r="F336" s="664"/>
      <c r="G336" s="664"/>
      <c r="H336" s="664"/>
      <c r="I336" s="664"/>
      <c r="J336" s="664"/>
      <c r="K336" s="664"/>
      <c r="L336" s="664"/>
      <c r="M336" s="664"/>
      <c r="N336" s="664"/>
      <c r="O336" s="664"/>
      <c r="P336" s="664"/>
      <c r="Q336" s="664"/>
      <c r="R336" s="664"/>
      <c r="S336" s="664"/>
      <c r="T336" s="664"/>
      <c r="U336" s="664"/>
      <c r="V336" s="664"/>
      <c r="W336" s="664"/>
      <c r="X336" s="664"/>
      <c r="Y336" s="664"/>
      <c r="Z336" s="664"/>
    </row>
    <row r="337">
      <c r="A337" s="661"/>
      <c r="B337" s="664"/>
      <c r="C337" s="15"/>
      <c r="D337" s="662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</row>
    <row r="338">
      <c r="A338" s="661"/>
      <c r="B338" s="955" t="s">
        <v>1110</v>
      </c>
      <c r="C338" s="15" t="s">
        <v>199</v>
      </c>
      <c r="D338" s="662" t="s">
        <v>1459</v>
      </c>
      <c r="E338" s="664"/>
      <c r="F338" s="664"/>
      <c r="G338" s="664"/>
      <c r="H338" s="664"/>
      <c r="I338" s="664"/>
      <c r="J338" s="664"/>
      <c r="K338" s="664"/>
      <c r="L338" s="664"/>
      <c r="M338" s="664"/>
      <c r="N338" s="664"/>
      <c r="O338" s="664"/>
      <c r="P338" s="664"/>
      <c r="Q338" s="664"/>
      <c r="R338" s="664"/>
      <c r="S338" s="664"/>
      <c r="T338" s="664"/>
      <c r="U338" s="664"/>
      <c r="V338" s="664"/>
      <c r="W338" s="664"/>
      <c r="X338" s="664"/>
      <c r="Y338" s="664"/>
      <c r="Z338" s="664"/>
    </row>
    <row r="339">
      <c r="A339" s="661"/>
      <c r="B339" s="955"/>
      <c r="C339" s="15"/>
      <c r="D339" s="663" t="s">
        <v>558</v>
      </c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</row>
    <row r="340">
      <c r="A340" s="661"/>
      <c r="B340" s="664"/>
      <c r="C340" s="15"/>
      <c r="D340" s="662"/>
      <c r="E340" s="664"/>
      <c r="F340" s="664"/>
      <c r="G340" s="664"/>
      <c r="H340" s="664"/>
      <c r="I340" s="664"/>
      <c r="J340" s="664"/>
      <c r="K340" s="664"/>
      <c r="L340" s="664"/>
      <c r="M340" s="664"/>
      <c r="N340" s="664"/>
      <c r="O340" s="664"/>
      <c r="P340" s="664"/>
      <c r="Q340" s="664"/>
      <c r="R340" s="664"/>
      <c r="S340" s="664"/>
      <c r="T340" s="664"/>
      <c r="U340" s="664"/>
      <c r="V340" s="664"/>
      <c r="W340" s="664"/>
      <c r="X340" s="664"/>
      <c r="Y340" s="664"/>
      <c r="Z340" s="664"/>
    </row>
    <row r="341">
      <c r="A341" s="661"/>
      <c r="B341" s="956" t="s">
        <v>1111</v>
      </c>
      <c r="C341" s="15" t="s">
        <v>199</v>
      </c>
      <c r="D341" s="662" t="s">
        <v>1460</v>
      </c>
      <c r="E341" s="664"/>
      <c r="F341" s="664"/>
      <c r="G341" s="664"/>
      <c r="H341" s="664"/>
      <c r="I341" s="664"/>
      <c r="J341" s="664"/>
      <c r="K341" s="664"/>
      <c r="L341" s="664"/>
      <c r="M341" s="664"/>
      <c r="N341" s="664"/>
      <c r="O341" s="664"/>
      <c r="P341" s="664"/>
      <c r="Q341" s="664"/>
      <c r="R341" s="664"/>
      <c r="S341" s="664"/>
      <c r="T341" s="664"/>
      <c r="U341" s="664"/>
      <c r="V341" s="664"/>
      <c r="W341" s="664"/>
      <c r="X341" s="664"/>
      <c r="Y341" s="664"/>
      <c r="Z341" s="664"/>
    </row>
    <row r="342">
      <c r="A342" s="661"/>
      <c r="B342" s="956"/>
      <c r="C342" s="15"/>
      <c r="D342" s="663" t="s">
        <v>558</v>
      </c>
      <c r="E342" s="664"/>
      <c r="F342" s="664"/>
      <c r="G342" s="664"/>
      <c r="H342" s="664"/>
      <c r="I342" s="664"/>
      <c r="J342" s="664"/>
      <c r="K342" s="664"/>
      <c r="L342" s="664"/>
      <c r="M342" s="664"/>
      <c r="N342" s="664"/>
      <c r="O342" s="664"/>
      <c r="P342" s="664"/>
      <c r="Q342" s="664"/>
      <c r="R342" s="664"/>
      <c r="S342" s="664"/>
      <c r="T342" s="664"/>
      <c r="U342" s="664"/>
      <c r="V342" s="664"/>
      <c r="W342" s="664"/>
      <c r="X342" s="664"/>
      <c r="Y342" s="664"/>
      <c r="Z342" s="664"/>
    </row>
    <row r="343">
      <c r="A343" s="661"/>
      <c r="B343" s="664"/>
      <c r="C343" s="15"/>
      <c r="D343" s="662"/>
      <c r="E343" s="664"/>
      <c r="F343" s="664"/>
      <c r="G343" s="664"/>
      <c r="H343" s="664"/>
      <c r="I343" s="664"/>
      <c r="J343" s="664"/>
      <c r="K343" s="664"/>
      <c r="L343" s="664"/>
      <c r="M343" s="664"/>
      <c r="N343" s="664"/>
      <c r="O343" s="664"/>
      <c r="P343" s="664"/>
      <c r="Q343" s="664"/>
      <c r="R343" s="664"/>
      <c r="S343" s="664"/>
      <c r="T343" s="664"/>
      <c r="U343" s="664"/>
      <c r="V343" s="664"/>
      <c r="W343" s="664"/>
      <c r="X343" s="664"/>
      <c r="Y343" s="664"/>
      <c r="Z343" s="664"/>
    </row>
    <row r="344">
      <c r="A344" s="661"/>
      <c r="B344" s="957" t="s">
        <v>1112</v>
      </c>
      <c r="C344" s="15" t="s">
        <v>199</v>
      </c>
      <c r="D344" s="662" t="s">
        <v>1461</v>
      </c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</row>
    <row r="345">
      <c r="A345" s="661"/>
      <c r="B345" s="957"/>
      <c r="C345" s="15"/>
      <c r="D345" s="663" t="s">
        <v>558</v>
      </c>
      <c r="E345" s="664"/>
      <c r="F345" s="664"/>
      <c r="G345" s="664"/>
      <c r="H345" s="664"/>
      <c r="I345" s="664"/>
      <c r="J345" s="664"/>
      <c r="K345" s="664"/>
      <c r="L345" s="664"/>
      <c r="M345" s="664"/>
      <c r="N345" s="664"/>
      <c r="O345" s="664"/>
      <c r="P345" s="664"/>
      <c r="Q345" s="664"/>
      <c r="R345" s="664"/>
      <c r="S345" s="664"/>
      <c r="T345" s="664"/>
      <c r="U345" s="664"/>
      <c r="V345" s="664"/>
      <c r="W345" s="664"/>
      <c r="X345" s="664"/>
      <c r="Y345" s="664"/>
      <c r="Z345" s="664"/>
    </row>
    <row r="346">
      <c r="A346" s="661"/>
      <c r="B346" s="664"/>
      <c r="C346" s="15"/>
      <c r="D346" s="662"/>
      <c r="E346" s="664"/>
      <c r="F346" s="664"/>
      <c r="G346" s="664"/>
      <c r="H346" s="664"/>
      <c r="I346" s="664"/>
      <c r="J346" s="664"/>
      <c r="K346" s="664"/>
      <c r="L346" s="664"/>
      <c r="M346" s="664"/>
      <c r="N346" s="664"/>
      <c r="O346" s="664"/>
      <c r="P346" s="664"/>
      <c r="Q346" s="664"/>
      <c r="R346" s="664"/>
      <c r="S346" s="664"/>
      <c r="T346" s="664"/>
      <c r="U346" s="664"/>
      <c r="V346" s="664"/>
      <c r="W346" s="664"/>
      <c r="X346" s="664"/>
      <c r="Y346" s="664"/>
      <c r="Z346" s="664"/>
    </row>
    <row r="347">
      <c r="A347" s="661"/>
      <c r="B347" s="958" t="s">
        <v>1011</v>
      </c>
      <c r="C347" s="15" t="str">
        <f>"=&gt;"</f>
        <v>=&gt;</v>
      </c>
      <c r="D347" s="662" t="s">
        <v>1462</v>
      </c>
      <c r="E347" s="664"/>
      <c r="F347" s="664"/>
      <c r="G347" s="664"/>
      <c r="H347" s="664"/>
      <c r="I347" s="664"/>
      <c r="J347" s="664"/>
      <c r="K347" s="664"/>
      <c r="L347" s="664"/>
      <c r="M347" s="664"/>
      <c r="N347" s="664"/>
      <c r="O347" s="664"/>
      <c r="P347" s="664"/>
      <c r="Q347" s="664"/>
      <c r="R347" s="664"/>
      <c r="S347" s="664"/>
      <c r="T347" s="664"/>
      <c r="U347" s="664"/>
      <c r="V347" s="664"/>
      <c r="W347" s="664"/>
      <c r="X347" s="664"/>
      <c r="Y347" s="664"/>
      <c r="Z347" s="664"/>
    </row>
    <row r="348">
      <c r="A348" s="661"/>
      <c r="B348" s="958"/>
      <c r="C348" s="15"/>
      <c r="D348" s="662" t="s">
        <v>551</v>
      </c>
      <c r="E348" s="664"/>
      <c r="F348" s="664"/>
      <c r="G348" s="664"/>
      <c r="H348" s="664"/>
      <c r="I348" s="664"/>
      <c r="J348" s="664"/>
      <c r="K348" s="664"/>
      <c r="L348" s="664"/>
      <c r="M348" s="664"/>
      <c r="N348" s="664"/>
      <c r="O348" s="664"/>
      <c r="P348" s="664"/>
      <c r="Q348" s="664"/>
      <c r="R348" s="664"/>
      <c r="S348" s="664"/>
      <c r="T348" s="664"/>
      <c r="U348" s="664"/>
      <c r="V348" s="664"/>
      <c r="W348" s="664"/>
      <c r="X348" s="664"/>
      <c r="Y348" s="664"/>
      <c r="Z348" s="664"/>
    </row>
    <row r="349">
      <c r="A349" s="661"/>
      <c r="B349" s="664"/>
      <c r="C349" s="15"/>
      <c r="D349" s="662"/>
      <c r="E349" s="664"/>
      <c r="F349" s="664"/>
      <c r="G349" s="664"/>
      <c r="H349" s="664"/>
      <c r="I349" s="664"/>
      <c r="J349" s="664"/>
      <c r="K349" s="664"/>
      <c r="L349" s="664"/>
      <c r="M349" s="664"/>
      <c r="N349" s="664"/>
      <c r="O349" s="664"/>
      <c r="P349" s="664"/>
      <c r="Q349" s="664"/>
      <c r="R349" s="664"/>
      <c r="S349" s="664"/>
      <c r="T349" s="664"/>
      <c r="U349" s="664"/>
      <c r="V349" s="664"/>
      <c r="W349" s="664"/>
      <c r="X349" s="664"/>
      <c r="Y349" s="664"/>
      <c r="Z349" s="664"/>
    </row>
    <row r="350">
      <c r="A350" s="661"/>
      <c r="B350" s="959" t="s">
        <v>1012</v>
      </c>
      <c r="C350" s="15" t="str">
        <f>"=&gt;"</f>
        <v>=&gt;</v>
      </c>
      <c r="D350" s="662" t="s">
        <v>1463</v>
      </c>
      <c r="E350" s="664"/>
      <c r="F350" s="664"/>
      <c r="G350" s="664"/>
      <c r="H350" s="664"/>
      <c r="I350" s="664"/>
      <c r="J350" s="664"/>
      <c r="K350" s="664"/>
      <c r="L350" s="664"/>
      <c r="M350" s="664"/>
      <c r="N350" s="664"/>
      <c r="O350" s="664"/>
      <c r="P350" s="664"/>
      <c r="Q350" s="664"/>
      <c r="R350" s="664"/>
      <c r="S350" s="664"/>
      <c r="T350" s="664"/>
      <c r="U350" s="664"/>
      <c r="V350" s="664"/>
      <c r="W350" s="664"/>
      <c r="X350" s="664"/>
      <c r="Y350" s="664"/>
      <c r="Z350" s="664"/>
    </row>
    <row r="351">
      <c r="A351" s="661"/>
      <c r="B351" s="959"/>
      <c r="C351" s="15"/>
      <c r="D351" s="663" t="s">
        <v>1464</v>
      </c>
      <c r="E351" s="664"/>
      <c r="F351" s="664"/>
      <c r="G351" s="664"/>
      <c r="H351" s="664"/>
      <c r="I351" s="664"/>
      <c r="J351" s="664"/>
      <c r="K351" s="664"/>
      <c r="L351" s="664"/>
      <c r="M351" s="664"/>
      <c r="N351" s="664"/>
      <c r="O351" s="664"/>
      <c r="P351" s="664"/>
      <c r="Q351" s="664"/>
      <c r="R351" s="664"/>
      <c r="S351" s="664"/>
      <c r="T351" s="664"/>
      <c r="U351" s="664"/>
      <c r="V351" s="664"/>
      <c r="W351" s="664"/>
      <c r="X351" s="664"/>
      <c r="Y351" s="664"/>
      <c r="Z351" s="664"/>
    </row>
    <row r="352">
      <c r="A352" s="661"/>
      <c r="B352" s="959"/>
      <c r="C352" s="15"/>
      <c r="D352" s="663" t="s">
        <v>1465</v>
      </c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</row>
    <row r="353">
      <c r="A353" s="661"/>
      <c r="B353" s="959"/>
      <c r="C353" s="15"/>
      <c r="D353" s="663" t="s">
        <v>1466</v>
      </c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</row>
    <row r="354">
      <c r="A354" s="661"/>
      <c r="B354" s="959"/>
      <c r="C354" s="15"/>
      <c r="D354" s="663" t="s">
        <v>1467</v>
      </c>
      <c r="E354" s="664"/>
      <c r="F354" s="664"/>
      <c r="G354" s="664"/>
      <c r="H354" s="664"/>
      <c r="I354" s="664"/>
      <c r="J354" s="664"/>
      <c r="K354" s="664"/>
      <c r="L354" s="664"/>
      <c r="M354" s="664"/>
      <c r="N354" s="664"/>
      <c r="O354" s="664"/>
      <c r="P354" s="664"/>
      <c r="Q354" s="664"/>
      <c r="R354" s="664"/>
      <c r="S354" s="664"/>
      <c r="T354" s="664"/>
      <c r="U354" s="664"/>
      <c r="V354" s="664"/>
      <c r="W354" s="664"/>
      <c r="X354" s="664"/>
      <c r="Y354" s="664"/>
      <c r="Z354" s="664"/>
    </row>
    <row r="355">
      <c r="A355" s="661"/>
      <c r="B355" s="959"/>
      <c r="C355" s="15"/>
      <c r="D355" s="663" t="s">
        <v>1315</v>
      </c>
      <c r="E355" s="664"/>
      <c r="F355" s="664"/>
      <c r="G355" s="664"/>
      <c r="H355" s="664"/>
      <c r="I355" s="664"/>
      <c r="J355" s="664"/>
      <c r="K355" s="664"/>
      <c r="L355" s="664"/>
      <c r="M355" s="664"/>
      <c r="N355" s="664"/>
      <c r="O355" s="664"/>
      <c r="P355" s="664"/>
      <c r="Q355" s="664"/>
      <c r="R355" s="664"/>
      <c r="S355" s="664"/>
      <c r="T355" s="664"/>
      <c r="U355" s="664"/>
      <c r="V355" s="664"/>
      <c r="W355" s="664"/>
      <c r="X355" s="664"/>
      <c r="Y355" s="664"/>
      <c r="Z355" s="664"/>
    </row>
    <row r="356">
      <c r="A356" s="661"/>
      <c r="B356" s="664"/>
      <c r="C356" s="15"/>
      <c r="D356" s="662"/>
      <c r="E356" s="664"/>
      <c r="F356" s="664"/>
      <c r="G356" s="664"/>
      <c r="H356" s="664"/>
      <c r="I356" s="664"/>
      <c r="J356" s="664"/>
      <c r="K356" s="664"/>
      <c r="L356" s="664"/>
      <c r="M356" s="664"/>
      <c r="N356" s="664"/>
      <c r="O356" s="664"/>
      <c r="P356" s="664"/>
      <c r="Q356" s="664"/>
      <c r="R356" s="664"/>
      <c r="S356" s="664"/>
      <c r="T356" s="664"/>
      <c r="U356" s="664"/>
      <c r="V356" s="664"/>
      <c r="W356" s="664"/>
      <c r="X356" s="664"/>
      <c r="Y356" s="664"/>
      <c r="Z356" s="664"/>
    </row>
    <row r="357">
      <c r="A357" s="661"/>
      <c r="B357" s="960" t="s">
        <v>1013</v>
      </c>
      <c r="C357" s="15" t="str">
        <f>"=&gt;"</f>
        <v>=&gt;</v>
      </c>
      <c r="D357" s="662" t="s">
        <v>1468</v>
      </c>
      <c r="E357" s="664"/>
      <c r="F357" s="664"/>
      <c r="G357" s="664"/>
      <c r="H357" s="664"/>
      <c r="I357" s="664"/>
      <c r="J357" s="664"/>
      <c r="K357" s="664"/>
      <c r="L357" s="664"/>
      <c r="M357" s="664"/>
      <c r="N357" s="664"/>
      <c r="O357" s="664"/>
      <c r="P357" s="664"/>
      <c r="Q357" s="664"/>
      <c r="R357" s="664"/>
      <c r="S357" s="664"/>
      <c r="T357" s="664"/>
      <c r="U357" s="664"/>
      <c r="V357" s="664"/>
      <c r="W357" s="664"/>
      <c r="X357" s="664"/>
      <c r="Y357" s="664"/>
      <c r="Z357" s="664"/>
    </row>
    <row r="358">
      <c r="A358" s="661"/>
      <c r="B358" s="960"/>
      <c r="C358" s="15"/>
      <c r="D358" s="662" t="s">
        <v>1469</v>
      </c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</row>
    <row r="359">
      <c r="A359" s="661"/>
      <c r="B359" s="960"/>
      <c r="C359" s="15"/>
      <c r="D359" s="662" t="s">
        <v>1470</v>
      </c>
      <c r="E359" s="664"/>
      <c r="F359" s="664"/>
      <c r="G359" s="664"/>
      <c r="H359" s="664"/>
      <c r="I359" s="664"/>
      <c r="J359" s="664"/>
      <c r="K359" s="664"/>
      <c r="L359" s="664"/>
      <c r="M359" s="664"/>
      <c r="N359" s="664"/>
      <c r="O359" s="664"/>
      <c r="P359" s="664"/>
      <c r="Q359" s="664"/>
      <c r="R359" s="664"/>
      <c r="S359" s="664"/>
      <c r="T359" s="664"/>
      <c r="U359" s="664"/>
      <c r="V359" s="664"/>
      <c r="W359" s="664"/>
      <c r="X359" s="664"/>
      <c r="Y359" s="664"/>
      <c r="Z359" s="664"/>
    </row>
    <row r="360">
      <c r="A360" s="661"/>
      <c r="B360" s="960"/>
      <c r="C360" s="15"/>
      <c r="D360" s="662" t="s">
        <v>1471</v>
      </c>
      <c r="E360" s="664"/>
      <c r="F360" s="664"/>
      <c r="G360" s="664"/>
      <c r="H360" s="664"/>
      <c r="I360" s="664"/>
      <c r="J360" s="664"/>
      <c r="K360" s="664"/>
      <c r="L360" s="664"/>
      <c r="M360" s="664"/>
      <c r="N360" s="664"/>
      <c r="O360" s="664"/>
      <c r="P360" s="664"/>
      <c r="Q360" s="664"/>
      <c r="R360" s="664"/>
      <c r="S360" s="664"/>
      <c r="T360" s="664"/>
      <c r="U360" s="664"/>
      <c r="V360" s="664"/>
      <c r="W360" s="664"/>
      <c r="X360" s="664"/>
      <c r="Y360" s="664"/>
      <c r="Z360" s="664"/>
    </row>
    <row r="361">
      <c r="A361" s="661"/>
      <c r="B361" s="960"/>
      <c r="C361" s="15"/>
      <c r="D361" s="662" t="s">
        <v>1316</v>
      </c>
      <c r="E361" s="664"/>
      <c r="F361" s="664"/>
      <c r="G361" s="664"/>
      <c r="H361" s="664"/>
      <c r="I361" s="664"/>
      <c r="J361" s="664"/>
      <c r="K361" s="664"/>
      <c r="L361" s="664"/>
      <c r="M361" s="664"/>
      <c r="N361" s="664"/>
      <c r="O361" s="664"/>
      <c r="P361" s="664"/>
      <c r="Q361" s="664"/>
      <c r="R361" s="664"/>
      <c r="S361" s="664"/>
      <c r="T361" s="664"/>
      <c r="U361" s="664"/>
      <c r="V361" s="664"/>
      <c r="W361" s="664"/>
      <c r="X361" s="664"/>
      <c r="Y361" s="664"/>
      <c r="Z361" s="664"/>
    </row>
    <row r="362">
      <c r="A362" s="661"/>
      <c r="B362" s="664"/>
      <c r="C362" s="15"/>
      <c r="D362" s="662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</row>
    <row r="363">
      <c r="A363" s="661"/>
      <c r="B363" s="961" t="s">
        <v>1024</v>
      </c>
      <c r="C363" s="15" t="str">
        <f>"=&gt;"</f>
        <v>=&gt;</v>
      </c>
      <c r="D363" s="662" t="s">
        <v>1472</v>
      </c>
      <c r="E363" s="664"/>
      <c r="F363" s="664"/>
      <c r="G363" s="664"/>
      <c r="H363" s="664"/>
      <c r="I363" s="664"/>
      <c r="J363" s="664"/>
      <c r="K363" s="664"/>
      <c r="L363" s="664"/>
      <c r="M363" s="664"/>
      <c r="N363" s="664"/>
      <c r="O363" s="664"/>
      <c r="P363" s="664"/>
      <c r="Q363" s="664"/>
      <c r="R363" s="664"/>
      <c r="S363" s="664"/>
      <c r="T363" s="664"/>
      <c r="U363" s="664"/>
      <c r="V363" s="664"/>
      <c r="W363" s="664"/>
      <c r="X363" s="664"/>
      <c r="Y363" s="664"/>
      <c r="Z363" s="664"/>
    </row>
    <row r="364">
      <c r="A364" s="661"/>
      <c r="B364" s="961"/>
      <c r="C364" s="15"/>
      <c r="D364" s="663" t="s">
        <v>1473</v>
      </c>
      <c r="E364" s="664"/>
      <c r="F364" s="664"/>
      <c r="G364" s="664"/>
      <c r="H364" s="664"/>
      <c r="I364" s="664"/>
      <c r="J364" s="664"/>
      <c r="K364" s="664"/>
      <c r="L364" s="664"/>
      <c r="M364" s="664"/>
      <c r="N364" s="664"/>
      <c r="O364" s="664"/>
      <c r="P364" s="664"/>
      <c r="Q364" s="664"/>
      <c r="R364" s="664"/>
      <c r="S364" s="664"/>
      <c r="T364" s="664"/>
      <c r="U364" s="664"/>
      <c r="V364" s="664"/>
      <c r="W364" s="664"/>
      <c r="X364" s="664"/>
      <c r="Y364" s="664"/>
      <c r="Z364" s="664"/>
    </row>
    <row r="365">
      <c r="A365" s="661"/>
      <c r="B365" s="961"/>
      <c r="C365" s="15"/>
      <c r="D365" s="663" t="s">
        <v>1474</v>
      </c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</row>
    <row r="366">
      <c r="A366" s="661"/>
      <c r="B366" s="961"/>
      <c r="C366" s="15"/>
      <c r="D366" s="663" t="s">
        <v>1475</v>
      </c>
      <c r="E366" s="664"/>
      <c r="F366" s="664"/>
      <c r="G366" s="664"/>
      <c r="H366" s="664"/>
      <c r="I366" s="664"/>
      <c r="J366" s="664"/>
      <c r="K366" s="664"/>
      <c r="L366" s="664"/>
      <c r="M366" s="664"/>
      <c r="N366" s="664"/>
      <c r="O366" s="664"/>
      <c r="P366" s="664"/>
      <c r="Q366" s="664"/>
      <c r="R366" s="664"/>
      <c r="S366" s="664"/>
      <c r="T366" s="664"/>
      <c r="U366" s="664"/>
      <c r="V366" s="664"/>
      <c r="W366" s="664"/>
      <c r="X366" s="664"/>
      <c r="Y366" s="664"/>
      <c r="Z366" s="664"/>
    </row>
    <row r="367">
      <c r="A367" s="661"/>
      <c r="B367" s="962"/>
      <c r="C367" s="15"/>
      <c r="D367" s="663" t="s">
        <v>1317</v>
      </c>
      <c r="E367" s="664"/>
      <c r="F367" s="664"/>
      <c r="G367" s="664"/>
      <c r="H367" s="664"/>
      <c r="I367" s="664"/>
      <c r="J367" s="664"/>
      <c r="K367" s="664"/>
      <c r="L367" s="664"/>
      <c r="M367" s="664"/>
      <c r="N367" s="664"/>
      <c r="O367" s="664"/>
      <c r="P367" s="664"/>
      <c r="Q367" s="664"/>
      <c r="R367" s="664"/>
      <c r="S367" s="664"/>
      <c r="T367" s="664"/>
      <c r="U367" s="664"/>
      <c r="V367" s="664"/>
      <c r="W367" s="664"/>
      <c r="X367" s="664"/>
      <c r="Y367" s="664"/>
      <c r="Z367" s="664"/>
    </row>
    <row r="368">
      <c r="A368" s="661"/>
      <c r="B368" s="664"/>
      <c r="C368" s="15"/>
      <c r="D368" s="662"/>
      <c r="E368" s="664"/>
      <c r="F368" s="664"/>
      <c r="G368" s="664"/>
      <c r="H368" s="664"/>
      <c r="I368" s="664"/>
      <c r="J368" s="664"/>
      <c r="K368" s="664"/>
      <c r="L368" s="664"/>
      <c r="M368" s="664"/>
      <c r="N368" s="664"/>
      <c r="O368" s="664"/>
      <c r="P368" s="664"/>
      <c r="Q368" s="664"/>
      <c r="R368" s="664"/>
      <c r="S368" s="664"/>
      <c r="T368" s="664"/>
      <c r="U368" s="664"/>
      <c r="V368" s="664"/>
      <c r="W368" s="664"/>
      <c r="X368" s="664"/>
      <c r="Y368" s="664"/>
      <c r="Z368" s="664"/>
    </row>
    <row r="369">
      <c r="A369" s="661"/>
      <c r="B369" s="963" t="s">
        <v>1016</v>
      </c>
      <c r="C369" s="15" t="str">
        <f>"=&gt;"</f>
        <v>=&gt;</v>
      </c>
      <c r="D369" s="662" t="s">
        <v>1476</v>
      </c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</row>
    <row r="370">
      <c r="A370" s="661"/>
      <c r="B370" s="963"/>
      <c r="C370" s="15"/>
      <c r="D370" s="694" t="s">
        <v>1166</v>
      </c>
      <c r="E370" s="664"/>
      <c r="F370" s="664"/>
      <c r="G370" s="664"/>
      <c r="H370" s="664"/>
      <c r="I370" s="664"/>
      <c r="J370" s="664"/>
      <c r="K370" s="664"/>
      <c r="L370" s="664"/>
      <c r="M370" s="664"/>
      <c r="N370" s="664"/>
      <c r="O370" s="664"/>
      <c r="P370" s="664"/>
      <c r="Q370" s="664"/>
      <c r="R370" s="664"/>
      <c r="S370" s="664"/>
      <c r="T370" s="664"/>
      <c r="U370" s="664"/>
      <c r="V370" s="664"/>
      <c r="W370" s="664"/>
      <c r="X370" s="664"/>
      <c r="Y370" s="664"/>
      <c r="Z370" s="664"/>
    </row>
    <row r="371">
      <c r="A371" s="661"/>
      <c r="B371" s="664"/>
      <c r="C371" s="15"/>
      <c r="D371" s="662"/>
      <c r="E371" s="664"/>
      <c r="F371" s="664"/>
      <c r="G371" s="664"/>
      <c r="H371" s="664"/>
      <c r="I371" s="664"/>
      <c r="J371" s="664"/>
      <c r="K371" s="664"/>
      <c r="L371" s="664"/>
      <c r="M371" s="664"/>
      <c r="N371" s="664"/>
      <c r="O371" s="664"/>
      <c r="P371" s="664"/>
      <c r="Q371" s="664"/>
      <c r="R371" s="664"/>
      <c r="S371" s="664"/>
      <c r="T371" s="664"/>
      <c r="U371" s="664"/>
      <c r="V371" s="664"/>
      <c r="W371" s="664"/>
      <c r="X371" s="664"/>
      <c r="Y371" s="664"/>
      <c r="Z371" s="664"/>
    </row>
    <row r="372">
      <c r="A372" s="661"/>
      <c r="B372" s="645" t="s">
        <v>1113</v>
      </c>
      <c r="C372" s="3" t="str">
        <f>"=&gt;"</f>
        <v>=&gt;</v>
      </c>
      <c r="D372" s="662" t="s">
        <v>1477</v>
      </c>
      <c r="E372" s="664"/>
      <c r="F372" s="664"/>
      <c r="G372" s="664"/>
      <c r="H372" s="664"/>
      <c r="I372" s="664"/>
      <c r="J372" s="664"/>
      <c r="K372" s="664"/>
      <c r="L372" s="664"/>
      <c r="M372" s="664"/>
      <c r="N372" s="664"/>
      <c r="O372" s="664"/>
      <c r="P372" s="664"/>
      <c r="Q372" s="664"/>
      <c r="R372" s="664"/>
      <c r="S372" s="664"/>
      <c r="T372" s="664"/>
      <c r="U372" s="664"/>
      <c r="V372" s="664"/>
      <c r="W372" s="664"/>
      <c r="X372" s="664"/>
      <c r="Y372" s="664"/>
      <c r="Z372" s="664"/>
    </row>
    <row r="373">
      <c r="A373" s="661"/>
      <c r="B373" s="645"/>
      <c r="C373" s="3"/>
      <c r="D373" s="663" t="s">
        <v>1180</v>
      </c>
      <c r="E373" s="664"/>
      <c r="F373" s="664"/>
      <c r="G373" s="664"/>
      <c r="H373" s="664"/>
      <c r="I373" s="664"/>
      <c r="J373" s="664"/>
      <c r="K373" s="664"/>
      <c r="L373" s="664"/>
      <c r="M373" s="664"/>
      <c r="N373" s="664"/>
      <c r="O373" s="664"/>
      <c r="P373" s="664"/>
      <c r="Q373" s="664"/>
      <c r="R373" s="664"/>
      <c r="S373" s="664"/>
      <c r="T373" s="664"/>
      <c r="U373" s="664"/>
      <c r="V373" s="664"/>
      <c r="W373" s="664"/>
      <c r="X373" s="664"/>
      <c r="Y373" s="664"/>
      <c r="Z373" s="664"/>
    </row>
    <row r="374">
      <c r="A374" s="661"/>
      <c r="B374" s="645"/>
      <c r="C374" s="3"/>
      <c r="D374" s="663" t="s">
        <v>1478</v>
      </c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</row>
    <row r="375">
      <c r="A375" s="661"/>
      <c r="B375" s="645"/>
      <c r="C375" s="3"/>
      <c r="D375" s="663" t="s">
        <v>1318</v>
      </c>
      <c r="E375" s="664"/>
      <c r="F375" s="664"/>
      <c r="G375" s="664"/>
      <c r="H375" s="664"/>
      <c r="I375" s="664"/>
      <c r="J375" s="664"/>
      <c r="K375" s="664"/>
      <c r="L375" s="664"/>
      <c r="M375" s="664"/>
      <c r="N375" s="664"/>
      <c r="O375" s="664"/>
      <c r="P375" s="664"/>
      <c r="Q375" s="664"/>
      <c r="R375" s="664"/>
      <c r="S375" s="664"/>
      <c r="T375" s="664"/>
      <c r="U375" s="664"/>
      <c r="V375" s="664"/>
      <c r="W375" s="664"/>
      <c r="X375" s="664"/>
      <c r="Y375" s="664"/>
      <c r="Z375" s="664"/>
    </row>
    <row r="376">
      <c r="A376" s="661"/>
      <c r="B376" s="664"/>
      <c r="C376" s="15"/>
      <c r="D376" s="662"/>
      <c r="E376" s="664"/>
      <c r="F376" s="664"/>
      <c r="G376" s="664"/>
      <c r="H376" s="664"/>
      <c r="I376" s="664"/>
      <c r="J376" s="664"/>
      <c r="K376" s="664"/>
      <c r="L376" s="664"/>
      <c r="M376" s="664"/>
      <c r="N376" s="664"/>
      <c r="O376" s="664"/>
      <c r="P376" s="664"/>
      <c r="Q376" s="664"/>
      <c r="R376" s="664"/>
      <c r="S376" s="664"/>
      <c r="T376" s="664"/>
      <c r="U376" s="664"/>
      <c r="V376" s="664"/>
      <c r="W376" s="664"/>
      <c r="X376" s="664"/>
      <c r="Y376" s="664"/>
      <c r="Z376" s="664"/>
    </row>
    <row r="377">
      <c r="A377" s="661"/>
      <c r="B377" s="964" t="s">
        <v>1020</v>
      </c>
      <c r="C377" s="15" t="str">
        <f>"=&gt;"</f>
        <v>=&gt;</v>
      </c>
      <c r="D377" s="662" t="s">
        <v>1479</v>
      </c>
      <c r="E377" s="664"/>
      <c r="F377" s="664"/>
      <c r="G377" s="664"/>
      <c r="H377" s="664"/>
      <c r="I377" s="664"/>
      <c r="J377" s="664"/>
      <c r="K377" s="664"/>
      <c r="L377" s="664"/>
      <c r="M377" s="664"/>
      <c r="N377" s="664"/>
      <c r="O377" s="664"/>
      <c r="P377" s="664"/>
      <c r="Q377" s="664"/>
      <c r="R377" s="664"/>
      <c r="S377" s="664"/>
      <c r="T377" s="664"/>
      <c r="U377" s="664"/>
      <c r="V377" s="664"/>
      <c r="W377" s="664"/>
      <c r="X377" s="664"/>
      <c r="Y377" s="664"/>
      <c r="Z377" s="664"/>
    </row>
    <row r="378">
      <c r="A378" s="661"/>
      <c r="B378" s="964"/>
      <c r="C378" s="15"/>
      <c r="D378" s="663" t="s">
        <v>1180</v>
      </c>
      <c r="E378" s="664"/>
      <c r="F378" s="664"/>
      <c r="G378" s="664"/>
      <c r="H378" s="664"/>
      <c r="I378" s="664"/>
      <c r="J378" s="664"/>
      <c r="K378" s="664"/>
      <c r="L378" s="664"/>
      <c r="M378" s="664"/>
      <c r="N378" s="664"/>
      <c r="O378" s="664"/>
      <c r="P378" s="664"/>
      <c r="Q378" s="664"/>
      <c r="R378" s="664"/>
      <c r="S378" s="664"/>
      <c r="T378" s="664"/>
      <c r="U378" s="664"/>
      <c r="V378" s="664"/>
      <c r="W378" s="664"/>
      <c r="X378" s="664"/>
      <c r="Y378" s="664"/>
      <c r="Z378" s="664"/>
    </row>
    <row r="379">
      <c r="A379" s="661"/>
      <c r="B379" s="964"/>
      <c r="C379" s="15"/>
      <c r="D379" s="663" t="s">
        <v>1480</v>
      </c>
      <c r="E379" s="664"/>
      <c r="F379" s="664"/>
      <c r="G379" s="664"/>
      <c r="H379" s="664"/>
      <c r="I379" s="664"/>
      <c r="J379" s="664"/>
      <c r="K379" s="664"/>
      <c r="L379" s="664"/>
      <c r="M379" s="664"/>
      <c r="N379" s="664"/>
      <c r="O379" s="664"/>
      <c r="P379" s="664"/>
      <c r="Q379" s="664"/>
      <c r="R379" s="664"/>
      <c r="S379" s="664"/>
      <c r="T379" s="664"/>
      <c r="U379" s="664"/>
      <c r="V379" s="664"/>
      <c r="W379" s="664"/>
      <c r="X379" s="664"/>
      <c r="Y379" s="664"/>
      <c r="Z379" s="664"/>
    </row>
    <row r="380">
      <c r="A380" s="661"/>
      <c r="B380" s="964"/>
      <c r="C380" s="15"/>
      <c r="D380" s="663" t="s">
        <v>1318</v>
      </c>
      <c r="E380" s="664"/>
      <c r="F380" s="664"/>
      <c r="G380" s="664"/>
      <c r="H380" s="664"/>
      <c r="I380" s="664"/>
      <c r="J380" s="664"/>
      <c r="K380" s="664"/>
      <c r="L380" s="664"/>
      <c r="M380" s="664"/>
      <c r="N380" s="664"/>
      <c r="O380" s="664"/>
      <c r="P380" s="664"/>
      <c r="Q380" s="664"/>
      <c r="R380" s="664"/>
      <c r="S380" s="664"/>
      <c r="T380" s="664"/>
      <c r="U380" s="664"/>
      <c r="V380" s="664"/>
      <c r="W380" s="664"/>
      <c r="X380" s="664"/>
      <c r="Y380" s="664"/>
      <c r="Z380" s="664"/>
    </row>
    <row r="381">
      <c r="A381" s="661"/>
      <c r="B381" s="664"/>
      <c r="C381" s="15"/>
      <c r="D381" s="662"/>
      <c r="E381" s="664"/>
      <c r="F381" s="664"/>
      <c r="G381" s="664"/>
      <c r="H381" s="664"/>
      <c r="I381" s="664"/>
      <c r="J381" s="664"/>
      <c r="K381" s="664"/>
      <c r="L381" s="664"/>
      <c r="M381" s="664"/>
      <c r="N381" s="664"/>
      <c r="O381" s="664"/>
      <c r="P381" s="664"/>
      <c r="Q381" s="664"/>
      <c r="R381" s="664"/>
      <c r="S381" s="664"/>
      <c r="T381" s="664"/>
      <c r="U381" s="664"/>
      <c r="V381" s="664"/>
      <c r="W381" s="664"/>
      <c r="X381" s="664"/>
      <c r="Y381" s="664"/>
      <c r="Z381" s="664"/>
    </row>
    <row r="382">
      <c r="A382" s="661"/>
      <c r="B382" s="965" t="s">
        <v>1021</v>
      </c>
      <c r="C382" s="15" t="str">
        <f>"=&gt;"</f>
        <v>=&gt;</v>
      </c>
      <c r="D382" s="662" t="s">
        <v>1481</v>
      </c>
      <c r="E382" s="664"/>
      <c r="F382" s="664"/>
      <c r="G382" s="664"/>
      <c r="H382" s="664"/>
      <c r="I382" s="664"/>
      <c r="J382" s="664"/>
      <c r="K382" s="664"/>
      <c r="L382" s="664"/>
      <c r="M382" s="664"/>
      <c r="N382" s="664"/>
      <c r="O382" s="664"/>
      <c r="P382" s="664"/>
      <c r="Q382" s="664"/>
      <c r="R382" s="664"/>
      <c r="S382" s="664"/>
      <c r="T382" s="664"/>
      <c r="U382" s="664"/>
      <c r="V382" s="664"/>
      <c r="W382" s="664"/>
      <c r="X382" s="664"/>
      <c r="Y382" s="664"/>
      <c r="Z382" s="664"/>
    </row>
    <row r="383">
      <c r="A383" s="661"/>
      <c r="B383" s="965"/>
      <c r="C383" s="15"/>
      <c r="D383" s="663" t="s">
        <v>1180</v>
      </c>
      <c r="E383" s="664"/>
      <c r="F383" s="664"/>
      <c r="G383" s="664"/>
      <c r="H383" s="664"/>
      <c r="I383" s="664"/>
      <c r="J383" s="664"/>
      <c r="K383" s="664"/>
      <c r="L383" s="664"/>
      <c r="M383" s="664"/>
      <c r="N383" s="664"/>
      <c r="O383" s="664"/>
      <c r="P383" s="664"/>
      <c r="Q383" s="664"/>
      <c r="R383" s="664"/>
      <c r="S383" s="664"/>
      <c r="T383" s="664"/>
      <c r="U383" s="664"/>
      <c r="V383" s="664"/>
      <c r="W383" s="664"/>
      <c r="X383" s="664"/>
      <c r="Y383" s="664"/>
      <c r="Z383" s="664"/>
    </row>
    <row r="384">
      <c r="A384" s="661"/>
      <c r="B384" s="965"/>
      <c r="C384" s="15"/>
      <c r="D384" s="663" t="s">
        <v>1482</v>
      </c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</row>
    <row r="385">
      <c r="A385" s="661"/>
      <c r="B385" s="965"/>
      <c r="C385" s="15"/>
      <c r="D385" s="663" t="s">
        <v>1318</v>
      </c>
      <c r="E385" s="664"/>
      <c r="F385" s="664"/>
      <c r="G385" s="664"/>
      <c r="H385" s="664"/>
      <c r="I385" s="664"/>
      <c r="J385" s="664"/>
      <c r="K385" s="664"/>
      <c r="L385" s="664"/>
      <c r="M385" s="664"/>
      <c r="N385" s="664"/>
      <c r="O385" s="664"/>
      <c r="P385" s="664"/>
      <c r="Q385" s="664"/>
      <c r="R385" s="664"/>
      <c r="S385" s="664"/>
      <c r="T385" s="664"/>
      <c r="U385" s="664"/>
      <c r="V385" s="664"/>
      <c r="W385" s="664"/>
      <c r="X385" s="664"/>
      <c r="Y385" s="664"/>
      <c r="Z385" s="664"/>
    </row>
    <row r="386">
      <c r="A386" s="661"/>
      <c r="B386" s="664"/>
      <c r="C386" s="15"/>
      <c r="D386" s="662"/>
      <c r="E386" s="664"/>
      <c r="F386" s="664"/>
      <c r="G386" s="664"/>
      <c r="H386" s="664"/>
      <c r="I386" s="664"/>
      <c r="J386" s="664"/>
      <c r="K386" s="664"/>
      <c r="L386" s="664"/>
      <c r="M386" s="664"/>
      <c r="N386" s="664"/>
      <c r="O386" s="664"/>
      <c r="P386" s="664"/>
      <c r="Q386" s="664"/>
      <c r="R386" s="664"/>
      <c r="S386" s="664"/>
      <c r="T386" s="664"/>
      <c r="U386" s="664"/>
      <c r="V386" s="664"/>
      <c r="W386" s="664"/>
      <c r="X386" s="664"/>
      <c r="Y386" s="664"/>
      <c r="Z386" s="664"/>
    </row>
    <row r="387">
      <c r="A387" s="661"/>
      <c r="B387" s="966" t="s">
        <v>1062</v>
      </c>
      <c r="C387" s="15" t="str">
        <f>"=&gt;"</f>
        <v>=&gt;</v>
      </c>
      <c r="D387" s="662" t="s">
        <v>1483</v>
      </c>
      <c r="E387" s="664"/>
      <c r="F387" s="664"/>
      <c r="G387" s="664"/>
      <c r="H387" s="664"/>
      <c r="I387" s="664"/>
      <c r="J387" s="664"/>
      <c r="K387" s="664"/>
      <c r="L387" s="664"/>
      <c r="M387" s="664"/>
      <c r="N387" s="664"/>
      <c r="O387" s="664"/>
      <c r="P387" s="664"/>
      <c r="Q387" s="664"/>
      <c r="R387" s="664"/>
      <c r="S387" s="664"/>
      <c r="T387" s="664"/>
      <c r="U387" s="664"/>
      <c r="V387" s="664"/>
      <c r="W387" s="664"/>
      <c r="X387" s="664"/>
      <c r="Y387" s="664"/>
      <c r="Z387" s="664"/>
    </row>
    <row r="388">
      <c r="A388" s="661"/>
      <c r="B388" s="966"/>
      <c r="C388" s="15"/>
      <c r="D388" s="663" t="s">
        <v>1180</v>
      </c>
      <c r="E388" s="664"/>
      <c r="F388" s="664"/>
      <c r="G388" s="664"/>
      <c r="H388" s="664"/>
      <c r="I388" s="664"/>
      <c r="J388" s="664"/>
      <c r="K388" s="664"/>
      <c r="L388" s="664"/>
      <c r="M388" s="664"/>
      <c r="N388" s="664"/>
      <c r="O388" s="664"/>
      <c r="P388" s="664"/>
      <c r="Q388" s="664"/>
      <c r="R388" s="664"/>
      <c r="S388" s="664"/>
      <c r="T388" s="664"/>
      <c r="U388" s="664"/>
      <c r="V388" s="664"/>
      <c r="W388" s="664"/>
      <c r="X388" s="664"/>
      <c r="Y388" s="664"/>
      <c r="Z388" s="664"/>
    </row>
    <row r="389">
      <c r="A389" s="661"/>
      <c r="B389" s="966"/>
      <c r="C389" s="15"/>
      <c r="D389" s="663" t="s">
        <v>1484</v>
      </c>
      <c r="E389" s="664"/>
      <c r="F389" s="664"/>
      <c r="G389" s="664"/>
      <c r="H389" s="664"/>
      <c r="I389" s="664"/>
      <c r="J389" s="664"/>
      <c r="K389" s="664"/>
      <c r="L389" s="664"/>
      <c r="M389" s="664"/>
      <c r="N389" s="664"/>
      <c r="O389" s="664"/>
      <c r="P389" s="664"/>
      <c r="Q389" s="664"/>
      <c r="R389" s="664"/>
      <c r="S389" s="664"/>
      <c r="T389" s="664"/>
      <c r="U389" s="664"/>
      <c r="V389" s="664"/>
      <c r="W389" s="664"/>
      <c r="X389" s="664"/>
      <c r="Y389" s="664"/>
      <c r="Z389" s="664"/>
    </row>
    <row r="390">
      <c r="A390" s="661"/>
      <c r="B390" s="966"/>
      <c r="C390" s="15"/>
      <c r="D390" s="663" t="s">
        <v>1318</v>
      </c>
      <c r="E390" s="664"/>
      <c r="F390" s="664"/>
      <c r="G390" s="664"/>
      <c r="H390" s="664"/>
      <c r="I390" s="664"/>
      <c r="J390" s="664"/>
      <c r="K390" s="664"/>
      <c r="L390" s="664"/>
      <c r="M390" s="664"/>
      <c r="N390" s="664"/>
      <c r="O390" s="664"/>
      <c r="P390" s="664"/>
      <c r="Q390" s="664"/>
      <c r="R390" s="664"/>
      <c r="S390" s="664"/>
      <c r="T390" s="664"/>
      <c r="U390" s="664"/>
      <c r="V390" s="664"/>
      <c r="W390" s="664"/>
      <c r="X390" s="664"/>
      <c r="Y390" s="664"/>
      <c r="Z390" s="664"/>
    </row>
    <row r="391">
      <c r="A391" s="661"/>
      <c r="B391" s="664"/>
      <c r="C391" s="15"/>
      <c r="D391" s="662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</row>
    <row r="392">
      <c r="A392" s="661"/>
      <c r="B392" s="967" t="s">
        <v>1071</v>
      </c>
      <c r="C392" s="15" t="str">
        <f>"=&gt;"</f>
        <v>=&gt;</v>
      </c>
      <c r="D392" s="662" t="s">
        <v>1485</v>
      </c>
      <c r="E392" s="664"/>
      <c r="F392" s="664"/>
      <c r="G392" s="664"/>
      <c r="H392" s="664"/>
      <c r="I392" s="664"/>
      <c r="J392" s="664"/>
      <c r="K392" s="664"/>
      <c r="L392" s="664"/>
      <c r="M392" s="664"/>
      <c r="N392" s="664"/>
      <c r="O392" s="664"/>
      <c r="P392" s="664"/>
      <c r="Q392" s="664"/>
      <c r="R392" s="664"/>
      <c r="S392" s="664"/>
      <c r="T392" s="664"/>
      <c r="U392" s="664"/>
      <c r="V392" s="664"/>
      <c r="W392" s="664"/>
      <c r="X392" s="664"/>
      <c r="Y392" s="664"/>
      <c r="Z392" s="664"/>
    </row>
    <row r="393">
      <c r="A393" s="661"/>
      <c r="B393" s="967"/>
      <c r="C393" s="15"/>
      <c r="D393" s="663" t="s">
        <v>1318</v>
      </c>
      <c r="E393" s="664"/>
      <c r="F393" s="664"/>
      <c r="G393" s="664"/>
      <c r="H393" s="664"/>
      <c r="I393" s="664"/>
      <c r="J393" s="664"/>
      <c r="K393" s="664"/>
      <c r="L393" s="664"/>
      <c r="M393" s="664"/>
      <c r="N393" s="664"/>
      <c r="O393" s="664"/>
      <c r="P393" s="664"/>
      <c r="Q393" s="664"/>
      <c r="R393" s="664"/>
      <c r="S393" s="664"/>
      <c r="T393" s="664"/>
      <c r="U393" s="664"/>
      <c r="V393" s="664"/>
      <c r="W393" s="664"/>
      <c r="X393" s="664"/>
      <c r="Y393" s="664"/>
      <c r="Z393" s="664"/>
    </row>
    <row r="394">
      <c r="A394" s="661"/>
      <c r="B394" s="664"/>
      <c r="C394" s="15"/>
      <c r="D394" s="662"/>
      <c r="E394" s="664"/>
      <c r="F394" s="664"/>
      <c r="G394" s="664"/>
      <c r="H394" s="664"/>
      <c r="I394" s="664"/>
      <c r="J394" s="664"/>
      <c r="K394" s="664"/>
      <c r="L394" s="664"/>
      <c r="M394" s="664"/>
      <c r="N394" s="664"/>
      <c r="O394" s="664"/>
      <c r="P394" s="664"/>
      <c r="Q394" s="664"/>
      <c r="R394" s="664"/>
      <c r="S394" s="664"/>
      <c r="T394" s="664"/>
      <c r="U394" s="664"/>
      <c r="V394" s="664"/>
      <c r="W394" s="664"/>
      <c r="X394" s="664"/>
      <c r="Y394" s="664"/>
      <c r="Z394" s="664"/>
    </row>
    <row r="395">
      <c r="A395" s="661"/>
      <c r="B395" s="968" t="s">
        <v>1043</v>
      </c>
      <c r="C395" s="15" t="str">
        <f>"=&gt;"</f>
        <v>=&gt;</v>
      </c>
      <c r="D395" s="662" t="s">
        <v>1486</v>
      </c>
      <c r="E395" s="664"/>
      <c r="F395" s="664"/>
      <c r="G395" s="664"/>
      <c r="H395" s="664"/>
      <c r="I395" s="664"/>
      <c r="J395" s="664"/>
      <c r="K395" s="664"/>
      <c r="L395" s="664"/>
      <c r="M395" s="664"/>
      <c r="N395" s="664"/>
      <c r="O395" s="664"/>
      <c r="P395" s="664"/>
      <c r="Q395" s="664"/>
      <c r="R395" s="664"/>
      <c r="S395" s="664"/>
      <c r="T395" s="664"/>
      <c r="U395" s="664"/>
      <c r="V395" s="664"/>
      <c r="W395" s="664"/>
      <c r="X395" s="664"/>
      <c r="Y395" s="664"/>
      <c r="Z395" s="664"/>
    </row>
    <row r="396">
      <c r="A396" s="661"/>
      <c r="B396" s="968"/>
      <c r="C396" s="15"/>
      <c r="D396" s="663" t="s">
        <v>1318</v>
      </c>
      <c r="E396" s="664"/>
      <c r="F396" s="664"/>
      <c r="G396" s="664"/>
      <c r="H396" s="664"/>
      <c r="I396" s="664"/>
      <c r="J396" s="664"/>
      <c r="K396" s="664"/>
      <c r="L396" s="664"/>
      <c r="M396" s="664"/>
      <c r="N396" s="664"/>
      <c r="O396" s="664"/>
      <c r="P396" s="664"/>
      <c r="Q396" s="664"/>
      <c r="R396" s="664"/>
      <c r="S396" s="664"/>
      <c r="T396" s="664"/>
      <c r="U396" s="664"/>
      <c r="V396" s="664"/>
      <c r="W396" s="664"/>
      <c r="X396" s="664"/>
      <c r="Y396" s="664"/>
      <c r="Z396" s="664"/>
    </row>
    <row r="397">
      <c r="A397" s="661"/>
      <c r="B397" s="664"/>
      <c r="C397" s="15"/>
      <c r="D397" s="662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</row>
    <row r="398">
      <c r="A398" s="661"/>
      <c r="B398" s="969" t="s">
        <v>1022</v>
      </c>
      <c r="C398" s="15" t="str">
        <f>"=&gt;"</f>
        <v>=&gt;</v>
      </c>
      <c r="D398" s="662" t="s">
        <v>1487</v>
      </c>
      <c r="E398" s="664"/>
      <c r="F398" s="664"/>
      <c r="G398" s="664"/>
      <c r="H398" s="664"/>
      <c r="I398" s="664"/>
      <c r="J398" s="664"/>
      <c r="K398" s="664"/>
      <c r="L398" s="664"/>
      <c r="M398" s="664"/>
      <c r="N398" s="664"/>
      <c r="O398" s="664"/>
      <c r="P398" s="664"/>
      <c r="Q398" s="664"/>
      <c r="R398" s="664"/>
      <c r="S398" s="664"/>
      <c r="T398" s="664"/>
      <c r="U398" s="664"/>
      <c r="V398" s="664"/>
      <c r="W398" s="664"/>
      <c r="X398" s="664"/>
      <c r="Y398" s="664"/>
      <c r="Z398" s="664"/>
    </row>
    <row r="399">
      <c r="A399" s="661"/>
      <c r="B399" s="969"/>
      <c r="C399" s="15"/>
      <c r="D399" s="663" t="s">
        <v>1318</v>
      </c>
      <c r="E399" s="664"/>
      <c r="F399" s="664"/>
      <c r="G399" s="664"/>
      <c r="H399" s="664"/>
      <c r="I399" s="664"/>
      <c r="J399" s="664"/>
      <c r="K399" s="664"/>
      <c r="L399" s="664"/>
      <c r="M399" s="664"/>
      <c r="N399" s="664"/>
      <c r="O399" s="664"/>
      <c r="P399" s="664"/>
      <c r="Q399" s="664"/>
      <c r="R399" s="664"/>
      <c r="S399" s="664"/>
      <c r="T399" s="664"/>
      <c r="U399" s="664"/>
      <c r="V399" s="664"/>
      <c r="W399" s="664"/>
      <c r="X399" s="664"/>
      <c r="Y399" s="664"/>
      <c r="Z399" s="664"/>
    </row>
    <row r="400">
      <c r="A400" s="661"/>
      <c r="B400" s="664"/>
      <c r="C400" s="15"/>
      <c r="D400" s="662"/>
      <c r="E400" s="664"/>
      <c r="F400" s="664"/>
      <c r="G400" s="664"/>
      <c r="H400" s="664"/>
      <c r="I400" s="664"/>
      <c r="J400" s="664"/>
      <c r="K400" s="664"/>
      <c r="L400" s="664"/>
      <c r="M400" s="664"/>
      <c r="N400" s="664"/>
      <c r="O400" s="664"/>
      <c r="P400" s="664"/>
      <c r="Q400" s="664"/>
      <c r="R400" s="664"/>
      <c r="S400" s="664"/>
      <c r="T400" s="664"/>
      <c r="U400" s="664"/>
      <c r="V400" s="664"/>
      <c r="W400" s="664"/>
      <c r="X400" s="664"/>
      <c r="Y400" s="664"/>
      <c r="Z400" s="664"/>
    </row>
    <row r="401">
      <c r="A401" s="661"/>
      <c r="B401" s="970" t="s">
        <v>1027</v>
      </c>
      <c r="C401" s="15" t="str">
        <f>"=&gt;"</f>
        <v>=&gt;</v>
      </c>
      <c r="D401" s="662" t="s">
        <v>1488</v>
      </c>
      <c r="E401" s="664"/>
      <c r="F401" s="664"/>
      <c r="G401" s="664"/>
      <c r="H401" s="664"/>
      <c r="I401" s="664"/>
      <c r="J401" s="664"/>
      <c r="K401" s="664"/>
      <c r="L401" s="664"/>
      <c r="M401" s="664"/>
      <c r="N401" s="664"/>
      <c r="O401" s="664"/>
      <c r="P401" s="664"/>
      <c r="Q401" s="664"/>
      <c r="R401" s="664"/>
      <c r="S401" s="664"/>
      <c r="T401" s="664"/>
      <c r="U401" s="664"/>
      <c r="V401" s="664"/>
      <c r="W401" s="664"/>
      <c r="X401" s="664"/>
      <c r="Y401" s="664"/>
      <c r="Z401" s="664"/>
    </row>
    <row r="402">
      <c r="A402" s="661"/>
      <c r="B402" s="970"/>
      <c r="C402" s="15"/>
      <c r="D402" s="663" t="s">
        <v>1318</v>
      </c>
      <c r="E402" s="664"/>
      <c r="F402" s="664"/>
      <c r="G402" s="664"/>
      <c r="H402" s="664"/>
      <c r="I402" s="664"/>
      <c r="J402" s="664"/>
      <c r="K402" s="664"/>
      <c r="L402" s="664"/>
      <c r="M402" s="664"/>
      <c r="N402" s="664"/>
      <c r="O402" s="664"/>
      <c r="P402" s="664"/>
      <c r="Q402" s="664"/>
      <c r="R402" s="664"/>
      <c r="S402" s="664"/>
      <c r="T402" s="664"/>
      <c r="U402" s="664"/>
      <c r="V402" s="664"/>
      <c r="W402" s="664"/>
      <c r="X402" s="664"/>
      <c r="Y402" s="664"/>
      <c r="Z402" s="664"/>
    </row>
    <row r="403">
      <c r="A403" s="661"/>
      <c r="B403" s="664"/>
      <c r="C403" s="15"/>
      <c r="D403" s="662"/>
      <c r="E403" s="664"/>
      <c r="F403" s="664"/>
      <c r="G403" s="664"/>
      <c r="H403" s="664"/>
      <c r="I403" s="664"/>
      <c r="J403" s="664"/>
      <c r="K403" s="664"/>
      <c r="L403" s="664"/>
      <c r="M403" s="664"/>
      <c r="N403" s="664"/>
      <c r="O403" s="664"/>
      <c r="P403" s="664"/>
      <c r="Q403" s="664"/>
      <c r="R403" s="664"/>
      <c r="S403" s="664"/>
      <c r="T403" s="664"/>
      <c r="U403" s="664"/>
      <c r="V403" s="664"/>
      <c r="W403" s="664"/>
      <c r="X403" s="664"/>
      <c r="Y403" s="664"/>
      <c r="Z403" s="664"/>
    </row>
    <row r="404">
      <c r="A404" s="661"/>
      <c r="B404" s="971" t="s">
        <v>1114</v>
      </c>
      <c r="C404" s="15" t="str">
        <f>"=&gt;"</f>
        <v>=&gt;</v>
      </c>
      <c r="D404" s="662" t="s">
        <v>1489</v>
      </c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</row>
    <row r="405">
      <c r="A405" s="661"/>
      <c r="B405" s="971"/>
      <c r="C405" s="15"/>
      <c r="D405" s="662" t="s">
        <v>1490</v>
      </c>
      <c r="E405" s="664"/>
      <c r="F405" s="664"/>
      <c r="G405" s="664"/>
      <c r="H405" s="664"/>
      <c r="I405" s="664"/>
      <c r="J405" s="664"/>
      <c r="K405" s="664"/>
      <c r="L405" s="664"/>
      <c r="M405" s="664"/>
      <c r="N405" s="664"/>
      <c r="O405" s="664"/>
      <c r="P405" s="664"/>
      <c r="Q405" s="664"/>
      <c r="R405" s="664"/>
      <c r="S405" s="664"/>
      <c r="T405" s="664"/>
      <c r="U405" s="664"/>
      <c r="V405" s="664"/>
      <c r="W405" s="664"/>
      <c r="X405" s="664"/>
      <c r="Y405" s="664"/>
      <c r="Z405" s="664"/>
    </row>
    <row r="406">
      <c r="A406" s="661"/>
      <c r="B406" s="971"/>
      <c r="C406" s="15"/>
      <c r="D406" s="662" t="s">
        <v>1491</v>
      </c>
      <c r="E406" s="664"/>
      <c r="F406" s="664"/>
      <c r="G406" s="664"/>
      <c r="H406" s="664"/>
      <c r="I406" s="664"/>
      <c r="J406" s="664"/>
      <c r="K406" s="664"/>
      <c r="L406" s="664"/>
      <c r="M406" s="664"/>
      <c r="N406" s="664"/>
      <c r="O406" s="664"/>
      <c r="P406" s="664"/>
      <c r="Q406" s="664"/>
      <c r="R406" s="664"/>
      <c r="S406" s="664"/>
      <c r="T406" s="664"/>
      <c r="U406" s="664"/>
      <c r="V406" s="664"/>
      <c r="W406" s="664"/>
      <c r="X406" s="664"/>
      <c r="Y406" s="664"/>
      <c r="Z406" s="664"/>
    </row>
    <row r="407">
      <c r="A407" s="661"/>
      <c r="B407" s="971"/>
      <c r="C407" s="15"/>
      <c r="D407" s="662" t="s">
        <v>1492</v>
      </c>
      <c r="E407" s="664"/>
      <c r="F407" s="664"/>
      <c r="G407" s="664"/>
      <c r="H407" s="664"/>
      <c r="I407" s="664"/>
      <c r="J407" s="664"/>
      <c r="K407" s="664"/>
      <c r="L407" s="664"/>
      <c r="M407" s="664"/>
      <c r="N407" s="664"/>
      <c r="O407" s="664"/>
      <c r="P407" s="664"/>
      <c r="Q407" s="664"/>
      <c r="R407" s="664"/>
      <c r="S407" s="664"/>
      <c r="T407" s="664"/>
      <c r="U407" s="664"/>
      <c r="V407" s="664"/>
      <c r="W407" s="664"/>
      <c r="X407" s="664"/>
      <c r="Y407" s="664"/>
      <c r="Z407" s="664"/>
    </row>
    <row r="408">
      <c r="A408" s="661"/>
      <c r="B408" s="971"/>
      <c r="C408" s="15"/>
      <c r="D408" s="662" t="s">
        <v>1493</v>
      </c>
      <c r="E408" s="664"/>
      <c r="F408" s="664"/>
      <c r="G408" s="664"/>
      <c r="H408" s="664"/>
      <c r="I408" s="664"/>
      <c r="J408" s="664"/>
      <c r="K408" s="664"/>
      <c r="L408" s="664"/>
      <c r="M408" s="664"/>
      <c r="N408" s="664"/>
      <c r="O408" s="664"/>
      <c r="P408" s="664"/>
      <c r="Q408" s="664"/>
      <c r="R408" s="664"/>
      <c r="S408" s="664"/>
      <c r="T408" s="664"/>
      <c r="U408" s="664"/>
      <c r="V408" s="664"/>
      <c r="W408" s="664"/>
      <c r="X408" s="664"/>
      <c r="Y408" s="664"/>
      <c r="Z408" s="664"/>
    </row>
    <row r="409">
      <c r="A409" s="661"/>
      <c r="B409" s="971"/>
      <c r="C409" s="15"/>
      <c r="D409" s="662" t="s">
        <v>1494</v>
      </c>
      <c r="E409" s="664"/>
      <c r="F409" s="664"/>
      <c r="G409" s="664"/>
      <c r="H409" s="664"/>
      <c r="I409" s="664"/>
      <c r="J409" s="664"/>
      <c r="K409" s="664"/>
      <c r="L409" s="664"/>
      <c r="M409" s="664"/>
      <c r="N409" s="664"/>
      <c r="O409" s="664"/>
      <c r="P409" s="664"/>
      <c r="Q409" s="664"/>
      <c r="R409" s="664"/>
      <c r="S409" s="664"/>
      <c r="T409" s="664"/>
      <c r="U409" s="664"/>
      <c r="V409" s="664"/>
      <c r="W409" s="664"/>
      <c r="X409" s="664"/>
      <c r="Y409" s="664"/>
      <c r="Z409" s="664"/>
    </row>
    <row r="410">
      <c r="A410" s="661"/>
      <c r="B410" s="971"/>
      <c r="C410" s="15"/>
      <c r="D410" s="662" t="s">
        <v>1495</v>
      </c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</row>
    <row r="411">
      <c r="A411" s="661"/>
      <c r="B411" s="971"/>
      <c r="C411" s="15"/>
      <c r="D411" s="662" t="s">
        <v>1496</v>
      </c>
      <c r="E411" s="664"/>
      <c r="F411" s="664"/>
      <c r="G411" s="664"/>
      <c r="H411" s="664"/>
      <c r="I411" s="664"/>
      <c r="J411" s="664"/>
      <c r="K411" s="664"/>
      <c r="L411" s="664"/>
      <c r="M411" s="664"/>
      <c r="N411" s="664"/>
      <c r="O411" s="664"/>
      <c r="P411" s="664"/>
      <c r="Q411" s="664"/>
      <c r="R411" s="664"/>
      <c r="S411" s="664"/>
      <c r="T411" s="664"/>
      <c r="U411" s="664"/>
      <c r="V411" s="664"/>
      <c r="W411" s="664"/>
      <c r="X411" s="664"/>
      <c r="Y411" s="664"/>
      <c r="Z411" s="664"/>
    </row>
    <row r="412">
      <c r="A412" s="661"/>
      <c r="B412" s="971"/>
      <c r="C412" s="15"/>
      <c r="D412" s="662" t="s">
        <v>1497</v>
      </c>
      <c r="E412" s="664"/>
      <c r="F412" s="664"/>
      <c r="G412" s="664"/>
      <c r="H412" s="664"/>
      <c r="I412" s="664"/>
      <c r="J412" s="664"/>
      <c r="K412" s="664"/>
      <c r="L412" s="664"/>
      <c r="M412" s="664"/>
      <c r="N412" s="664"/>
      <c r="O412" s="664"/>
      <c r="P412" s="664"/>
      <c r="Q412" s="664"/>
      <c r="R412" s="664"/>
      <c r="S412" s="664"/>
      <c r="T412" s="664"/>
      <c r="U412" s="664"/>
      <c r="V412" s="664"/>
      <c r="W412" s="664"/>
      <c r="X412" s="664"/>
      <c r="Y412" s="664"/>
      <c r="Z412" s="664"/>
    </row>
    <row r="413">
      <c r="A413" s="661"/>
      <c r="B413" s="971"/>
      <c r="C413" s="15"/>
      <c r="D413" s="662" t="s">
        <v>1498</v>
      </c>
      <c r="E413" s="664"/>
      <c r="F413" s="664"/>
      <c r="G413" s="664"/>
      <c r="H413" s="664"/>
      <c r="I413" s="664"/>
      <c r="J413" s="664"/>
      <c r="K413" s="664"/>
      <c r="L413" s="664"/>
      <c r="M413" s="664"/>
      <c r="N413" s="664"/>
      <c r="O413" s="664"/>
      <c r="P413" s="664"/>
      <c r="Q413" s="664"/>
      <c r="R413" s="664"/>
      <c r="S413" s="664"/>
      <c r="T413" s="664"/>
      <c r="U413" s="664"/>
      <c r="V413" s="664"/>
      <c r="W413" s="664"/>
      <c r="X413" s="664"/>
      <c r="Y413" s="664"/>
      <c r="Z413" s="664"/>
    </row>
    <row r="414">
      <c r="A414" s="661"/>
      <c r="B414" s="971"/>
      <c r="C414" s="15"/>
      <c r="D414" s="662" t="s">
        <v>1499</v>
      </c>
      <c r="E414" s="664"/>
      <c r="F414" s="664"/>
      <c r="G414" s="664"/>
      <c r="H414" s="664"/>
      <c r="I414" s="664"/>
      <c r="J414" s="664"/>
      <c r="K414" s="664"/>
      <c r="L414" s="664"/>
      <c r="M414" s="664"/>
      <c r="N414" s="664"/>
      <c r="O414" s="664"/>
      <c r="P414" s="664"/>
      <c r="Q414" s="664"/>
      <c r="R414" s="664"/>
      <c r="S414" s="664"/>
      <c r="T414" s="664"/>
      <c r="U414" s="664"/>
      <c r="V414" s="664"/>
      <c r="W414" s="664"/>
      <c r="X414" s="664"/>
      <c r="Y414" s="664"/>
      <c r="Z414" s="664"/>
    </row>
    <row r="415">
      <c r="A415" s="661"/>
      <c r="B415" s="971"/>
      <c r="C415" s="15"/>
      <c r="D415" s="662" t="s">
        <v>1319</v>
      </c>
      <c r="E415" s="664"/>
      <c r="F415" s="664"/>
      <c r="G415" s="664"/>
      <c r="H415" s="664"/>
      <c r="I415" s="664"/>
      <c r="J415" s="664"/>
      <c r="K415" s="664"/>
      <c r="L415" s="664"/>
      <c r="M415" s="664"/>
      <c r="N415" s="664"/>
      <c r="O415" s="664"/>
      <c r="P415" s="664"/>
      <c r="Q415" s="664"/>
      <c r="R415" s="664"/>
      <c r="S415" s="664"/>
      <c r="T415" s="664"/>
      <c r="U415" s="664"/>
      <c r="V415" s="664"/>
      <c r="W415" s="664"/>
      <c r="X415" s="664"/>
      <c r="Y415" s="664"/>
      <c r="Z415" s="664"/>
    </row>
    <row r="416">
      <c r="A416" s="661"/>
      <c r="B416" s="664"/>
      <c r="C416" s="15"/>
      <c r="D416" s="662"/>
      <c r="E416" s="664"/>
      <c r="F416" s="664"/>
      <c r="G416" s="664"/>
      <c r="H416" s="664"/>
      <c r="I416" s="664"/>
      <c r="J416" s="664"/>
      <c r="K416" s="664"/>
      <c r="L416" s="664"/>
      <c r="M416" s="664"/>
      <c r="N416" s="664"/>
      <c r="O416" s="664"/>
      <c r="P416" s="664"/>
      <c r="Q416" s="664"/>
      <c r="R416" s="664"/>
      <c r="S416" s="664"/>
      <c r="T416" s="664"/>
      <c r="U416" s="664"/>
      <c r="V416" s="664"/>
      <c r="W416" s="664"/>
      <c r="X416" s="664"/>
      <c r="Y416" s="664"/>
      <c r="Z416" s="664"/>
    </row>
    <row r="417">
      <c r="A417" s="661"/>
      <c r="B417" s="972" t="s">
        <v>1030</v>
      </c>
      <c r="C417" s="15" t="str">
        <f>"=&gt;"</f>
        <v>=&gt;</v>
      </c>
      <c r="D417" s="662" t="s">
        <v>1500</v>
      </c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</row>
    <row r="418">
      <c r="A418" s="661"/>
      <c r="B418" s="972"/>
      <c r="C418" s="15"/>
      <c r="D418" s="663" t="s">
        <v>1189</v>
      </c>
      <c r="E418" s="664"/>
      <c r="F418" s="664"/>
      <c r="G418" s="664"/>
      <c r="H418" s="664"/>
      <c r="I418" s="664"/>
      <c r="J418" s="664"/>
      <c r="K418" s="664"/>
      <c r="L418" s="664"/>
      <c r="M418" s="664"/>
      <c r="N418" s="664"/>
      <c r="O418" s="664"/>
      <c r="P418" s="664"/>
      <c r="Q418" s="664"/>
      <c r="R418" s="664"/>
      <c r="S418" s="664"/>
      <c r="T418" s="664"/>
      <c r="U418" s="664"/>
      <c r="V418" s="664"/>
      <c r="W418" s="664"/>
      <c r="X418" s="664"/>
      <c r="Y418" s="664"/>
      <c r="Z418" s="664"/>
    </row>
    <row r="419">
      <c r="A419" s="661"/>
      <c r="B419" s="972"/>
      <c r="C419" s="15"/>
      <c r="D419" s="663" t="s">
        <v>1501</v>
      </c>
      <c r="E419" s="664"/>
      <c r="F419" s="664"/>
      <c r="G419" s="664"/>
      <c r="H419" s="664"/>
      <c r="I419" s="664"/>
      <c r="J419" s="664"/>
      <c r="K419" s="664"/>
      <c r="L419" s="664"/>
      <c r="M419" s="664"/>
      <c r="N419" s="664"/>
      <c r="O419" s="664"/>
      <c r="P419" s="664"/>
      <c r="Q419" s="664"/>
      <c r="R419" s="664"/>
      <c r="S419" s="664"/>
      <c r="T419" s="664"/>
      <c r="U419" s="664"/>
      <c r="V419" s="664"/>
      <c r="W419" s="664"/>
      <c r="X419" s="664"/>
      <c r="Y419" s="664"/>
      <c r="Z419" s="664"/>
    </row>
    <row r="420">
      <c r="A420" s="661"/>
      <c r="B420" s="972"/>
      <c r="C420" s="15"/>
      <c r="D420" s="663" t="s">
        <v>1320</v>
      </c>
      <c r="E420" s="664"/>
      <c r="F420" s="664"/>
      <c r="G420" s="664"/>
      <c r="H420" s="664"/>
      <c r="I420" s="664"/>
      <c r="J420" s="664"/>
      <c r="K420" s="664"/>
      <c r="L420" s="664"/>
      <c r="M420" s="664"/>
      <c r="N420" s="664"/>
      <c r="O420" s="664"/>
      <c r="P420" s="664"/>
      <c r="Q420" s="664"/>
      <c r="R420" s="664"/>
      <c r="S420" s="664"/>
      <c r="T420" s="664"/>
      <c r="U420" s="664"/>
      <c r="V420" s="664"/>
      <c r="W420" s="664"/>
      <c r="X420" s="664"/>
      <c r="Y420" s="664"/>
      <c r="Z420" s="664"/>
    </row>
    <row r="421">
      <c r="A421" s="661"/>
      <c r="B421" s="664"/>
      <c r="C421" s="15"/>
      <c r="D421" s="662"/>
      <c r="E421" s="664"/>
      <c r="F421" s="664"/>
      <c r="G421" s="664"/>
      <c r="H421" s="664"/>
      <c r="I421" s="664"/>
      <c r="J421" s="664"/>
      <c r="K421" s="664"/>
      <c r="L421" s="664"/>
      <c r="M421" s="664"/>
      <c r="N421" s="664"/>
      <c r="O421" s="664"/>
      <c r="P421" s="664"/>
      <c r="Q421" s="664"/>
      <c r="R421" s="664"/>
      <c r="S421" s="664"/>
      <c r="T421" s="664"/>
      <c r="U421" s="664"/>
      <c r="V421" s="664"/>
      <c r="W421" s="664"/>
      <c r="X421" s="664"/>
      <c r="Y421" s="664"/>
      <c r="Z421" s="664"/>
    </row>
    <row r="422">
      <c r="A422" s="661"/>
      <c r="B422" s="973" t="s">
        <v>1031</v>
      </c>
      <c r="C422" s="15" t="str">
        <f>"=&gt;"</f>
        <v>=&gt;</v>
      </c>
      <c r="D422" s="662" t="s">
        <v>1502</v>
      </c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</row>
    <row r="423">
      <c r="A423" s="661"/>
      <c r="B423" s="973"/>
      <c r="C423" s="15"/>
      <c r="D423" s="663" t="s">
        <v>1318</v>
      </c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</row>
    <row r="424">
      <c r="A424" s="661"/>
      <c r="B424" s="664"/>
      <c r="C424" s="15"/>
      <c r="D424" s="662"/>
      <c r="E424" s="664"/>
      <c r="F424" s="664"/>
      <c r="G424" s="664"/>
      <c r="H424" s="664"/>
      <c r="I424" s="664"/>
      <c r="J424" s="664"/>
      <c r="K424" s="664"/>
      <c r="L424" s="664"/>
      <c r="M424" s="664"/>
      <c r="N424" s="664"/>
      <c r="O424" s="664"/>
      <c r="P424" s="664"/>
      <c r="Q424" s="664"/>
      <c r="R424" s="664"/>
      <c r="S424" s="664"/>
      <c r="T424" s="664"/>
      <c r="U424" s="664"/>
      <c r="V424" s="664"/>
      <c r="W424" s="664"/>
      <c r="X424" s="664"/>
      <c r="Y424" s="664"/>
      <c r="Z424" s="664"/>
    </row>
    <row r="425">
      <c r="A425" s="661"/>
      <c r="B425" s="974" t="s">
        <v>1028</v>
      </c>
      <c r="C425" s="15" t="str">
        <f>"=&gt;"</f>
        <v>=&gt;</v>
      </c>
      <c r="D425" s="662" t="s">
        <v>1503</v>
      </c>
      <c r="E425" s="664"/>
      <c r="F425" s="664"/>
      <c r="G425" s="664"/>
      <c r="H425" s="664"/>
      <c r="I425" s="664"/>
      <c r="J425" s="664"/>
      <c r="K425" s="664"/>
      <c r="L425" s="664"/>
      <c r="M425" s="664"/>
      <c r="N425" s="664"/>
      <c r="O425" s="664"/>
      <c r="P425" s="664"/>
      <c r="Q425" s="664"/>
      <c r="R425" s="664"/>
      <c r="S425" s="664"/>
      <c r="T425" s="664"/>
      <c r="U425" s="664"/>
      <c r="V425" s="664"/>
      <c r="W425" s="664"/>
      <c r="X425" s="664"/>
      <c r="Y425" s="664"/>
      <c r="Z425" s="664"/>
    </row>
    <row r="426">
      <c r="A426" s="661"/>
      <c r="B426" s="974"/>
      <c r="C426" s="15"/>
      <c r="D426" s="663" t="s">
        <v>1318</v>
      </c>
      <c r="E426" s="664"/>
      <c r="F426" s="664"/>
      <c r="G426" s="664"/>
      <c r="H426" s="664"/>
      <c r="I426" s="664"/>
      <c r="J426" s="664"/>
      <c r="K426" s="664"/>
      <c r="L426" s="664"/>
      <c r="M426" s="664"/>
      <c r="N426" s="664"/>
      <c r="O426" s="664"/>
      <c r="P426" s="664"/>
      <c r="Q426" s="664"/>
      <c r="R426" s="664"/>
      <c r="S426" s="664"/>
      <c r="T426" s="664"/>
      <c r="U426" s="664"/>
      <c r="V426" s="664"/>
      <c r="W426" s="664"/>
      <c r="X426" s="664"/>
      <c r="Y426" s="664"/>
      <c r="Z426" s="664"/>
    </row>
    <row r="427">
      <c r="A427" s="661"/>
      <c r="B427" s="664"/>
      <c r="C427" s="15"/>
      <c r="D427" s="662"/>
      <c r="E427" s="664"/>
      <c r="F427" s="664"/>
      <c r="G427" s="664"/>
      <c r="H427" s="664"/>
      <c r="I427" s="664"/>
      <c r="J427" s="664"/>
      <c r="K427" s="664"/>
      <c r="L427" s="664"/>
      <c r="M427" s="664"/>
      <c r="N427" s="664"/>
      <c r="O427" s="664"/>
      <c r="P427" s="664"/>
      <c r="Q427" s="664"/>
      <c r="R427" s="664"/>
      <c r="S427" s="664"/>
      <c r="T427" s="664"/>
      <c r="U427" s="664"/>
      <c r="V427" s="664"/>
      <c r="W427" s="664"/>
      <c r="X427" s="664"/>
      <c r="Y427" s="664"/>
      <c r="Z427" s="664"/>
    </row>
    <row r="428">
      <c r="A428" s="661"/>
      <c r="B428" s="975" t="s">
        <v>1035</v>
      </c>
      <c r="C428" s="15" t="str">
        <f>"=&gt;"</f>
        <v>=&gt;</v>
      </c>
      <c r="D428" s="662" t="s">
        <v>1504</v>
      </c>
      <c r="E428" s="664"/>
      <c r="F428" s="664"/>
      <c r="G428" s="664"/>
      <c r="H428" s="664"/>
      <c r="I428" s="664"/>
      <c r="J428" s="664"/>
      <c r="K428" s="664"/>
      <c r="L428" s="664"/>
      <c r="M428" s="664"/>
      <c r="N428" s="664"/>
      <c r="O428" s="664"/>
      <c r="P428" s="664"/>
      <c r="Q428" s="664"/>
      <c r="R428" s="664"/>
      <c r="S428" s="664"/>
      <c r="T428" s="664"/>
      <c r="U428" s="664"/>
      <c r="V428" s="664"/>
      <c r="W428" s="664"/>
      <c r="X428" s="664"/>
      <c r="Y428" s="664"/>
      <c r="Z428" s="664"/>
    </row>
    <row r="429">
      <c r="A429" s="661"/>
      <c r="B429" s="975"/>
      <c r="C429" s="15"/>
      <c r="D429" s="663" t="s">
        <v>1318</v>
      </c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</row>
    <row r="430">
      <c r="A430" s="661"/>
      <c r="B430" s="664"/>
      <c r="C430" s="15"/>
      <c r="D430" s="662"/>
      <c r="E430" s="664"/>
      <c r="F430" s="664"/>
      <c r="G430" s="664"/>
      <c r="H430" s="664"/>
      <c r="I430" s="664"/>
      <c r="J430" s="664"/>
      <c r="K430" s="664"/>
      <c r="L430" s="664"/>
      <c r="M430" s="664"/>
      <c r="N430" s="664"/>
      <c r="O430" s="664"/>
      <c r="P430" s="664"/>
      <c r="Q430" s="664"/>
      <c r="R430" s="664"/>
      <c r="S430" s="664"/>
      <c r="T430" s="664"/>
      <c r="U430" s="664"/>
      <c r="V430" s="664"/>
      <c r="W430" s="664"/>
      <c r="X430" s="664"/>
      <c r="Y430" s="664"/>
      <c r="Z430" s="664"/>
    </row>
    <row r="431">
      <c r="A431" s="661"/>
      <c r="B431" s="976" t="s">
        <v>1036</v>
      </c>
      <c r="C431" s="15" t="str">
        <f>"=&gt;"</f>
        <v>=&gt;</v>
      </c>
      <c r="D431" s="662" t="s">
        <v>1505</v>
      </c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</row>
    <row r="432">
      <c r="A432" s="661"/>
      <c r="B432" s="976"/>
      <c r="C432" s="15"/>
      <c r="D432" s="663" t="s">
        <v>1192</v>
      </c>
      <c r="E432" s="664"/>
      <c r="F432" s="664"/>
      <c r="G432" s="664"/>
      <c r="H432" s="664"/>
      <c r="I432" s="664"/>
      <c r="J432" s="664"/>
      <c r="K432" s="664"/>
      <c r="L432" s="664"/>
      <c r="M432" s="664"/>
      <c r="N432" s="664"/>
      <c r="O432" s="664"/>
      <c r="P432" s="664"/>
      <c r="Q432" s="664"/>
      <c r="R432" s="664"/>
      <c r="S432" s="664"/>
      <c r="T432" s="664"/>
      <c r="U432" s="664"/>
      <c r="V432" s="664"/>
      <c r="W432" s="664"/>
      <c r="X432" s="664"/>
      <c r="Y432" s="664"/>
      <c r="Z432" s="664"/>
    </row>
    <row r="433">
      <c r="A433" s="661"/>
      <c r="B433" s="976"/>
      <c r="C433" s="15"/>
      <c r="D433" s="662" t="s">
        <v>1321</v>
      </c>
      <c r="E433" s="664"/>
      <c r="F433" s="664"/>
      <c r="G433" s="664"/>
      <c r="H433" s="664"/>
      <c r="I433" s="664"/>
      <c r="J433" s="664"/>
      <c r="K433" s="664"/>
      <c r="L433" s="664"/>
      <c r="M433" s="664"/>
      <c r="N433" s="664"/>
      <c r="O433" s="664"/>
      <c r="P433" s="664"/>
      <c r="Q433" s="664"/>
      <c r="R433" s="664"/>
      <c r="S433" s="664"/>
      <c r="T433" s="664"/>
      <c r="U433" s="664"/>
      <c r="V433" s="664"/>
      <c r="W433" s="664"/>
      <c r="X433" s="664"/>
      <c r="Y433" s="664"/>
      <c r="Z433" s="664"/>
    </row>
    <row r="434">
      <c r="A434" s="661"/>
      <c r="B434" s="664"/>
      <c r="C434" s="15"/>
      <c r="D434" s="662"/>
      <c r="E434" s="664"/>
      <c r="F434" s="664"/>
      <c r="G434" s="664"/>
      <c r="H434" s="664"/>
      <c r="I434" s="664"/>
      <c r="J434" s="664"/>
      <c r="K434" s="664"/>
      <c r="L434" s="664"/>
      <c r="M434" s="664"/>
      <c r="N434" s="664"/>
      <c r="O434" s="664"/>
      <c r="P434" s="664"/>
      <c r="Q434" s="664"/>
      <c r="R434" s="664"/>
      <c r="S434" s="664"/>
      <c r="T434" s="664"/>
      <c r="U434" s="664"/>
      <c r="V434" s="664"/>
      <c r="W434" s="664"/>
      <c r="X434" s="664"/>
      <c r="Y434" s="664"/>
      <c r="Z434" s="664"/>
    </row>
    <row r="435">
      <c r="A435" s="661"/>
      <c r="B435" s="977" t="s">
        <v>1037</v>
      </c>
      <c r="C435" s="15" t="str">
        <f>"=&gt;"</f>
        <v>=&gt;</v>
      </c>
      <c r="D435" s="662" t="s">
        <v>1506</v>
      </c>
      <c r="E435" s="664"/>
      <c r="F435" s="664"/>
      <c r="G435" s="664"/>
      <c r="H435" s="664"/>
      <c r="I435" s="664"/>
      <c r="J435" s="664"/>
      <c r="K435" s="664"/>
      <c r="L435" s="664"/>
      <c r="M435" s="664"/>
      <c r="N435" s="664"/>
      <c r="O435" s="664"/>
      <c r="P435" s="664"/>
      <c r="Q435" s="664"/>
      <c r="R435" s="664"/>
      <c r="S435" s="664"/>
      <c r="T435" s="664"/>
      <c r="U435" s="664"/>
      <c r="V435" s="664"/>
      <c r="W435" s="664"/>
      <c r="X435" s="664"/>
      <c r="Y435" s="664"/>
      <c r="Z435" s="664"/>
    </row>
    <row r="436">
      <c r="A436" s="661"/>
      <c r="B436" s="977"/>
      <c r="C436" s="15"/>
      <c r="D436" s="662" t="s">
        <v>508</v>
      </c>
      <c r="E436" s="664"/>
      <c r="F436" s="664"/>
      <c r="G436" s="664"/>
      <c r="H436" s="664"/>
      <c r="I436" s="664"/>
      <c r="J436" s="664"/>
      <c r="K436" s="664"/>
      <c r="L436" s="664"/>
      <c r="M436" s="664"/>
      <c r="N436" s="664"/>
      <c r="O436" s="664"/>
      <c r="P436" s="664"/>
      <c r="Q436" s="664"/>
      <c r="R436" s="664"/>
      <c r="S436" s="664"/>
      <c r="T436" s="664"/>
      <c r="U436" s="664"/>
      <c r="V436" s="664"/>
      <c r="W436" s="664"/>
      <c r="X436" s="664"/>
      <c r="Y436" s="664"/>
      <c r="Z436" s="664"/>
    </row>
    <row r="437">
      <c r="A437" s="661"/>
      <c r="B437" s="664"/>
      <c r="C437" s="15"/>
      <c r="D437" s="662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</row>
    <row r="438">
      <c r="A438" s="661"/>
      <c r="B438" s="978" t="s">
        <v>1049</v>
      </c>
      <c r="C438" s="15" t="str">
        <f>"=&gt;"</f>
        <v>=&gt;</v>
      </c>
      <c r="D438" s="662" t="s">
        <v>1507</v>
      </c>
      <c r="E438" s="664"/>
      <c r="F438" s="664"/>
      <c r="G438" s="664"/>
      <c r="H438" s="664"/>
      <c r="I438" s="664"/>
      <c r="J438" s="664"/>
      <c r="K438" s="664"/>
      <c r="L438" s="664"/>
      <c r="M438" s="664"/>
      <c r="N438" s="664"/>
      <c r="O438" s="664"/>
      <c r="P438" s="664"/>
      <c r="Q438" s="664"/>
      <c r="R438" s="664"/>
      <c r="S438" s="664"/>
      <c r="T438" s="664"/>
      <c r="U438" s="664"/>
      <c r="V438" s="664"/>
      <c r="W438" s="664"/>
      <c r="X438" s="664"/>
      <c r="Y438" s="664"/>
      <c r="Z438" s="664"/>
    </row>
    <row r="439">
      <c r="A439" s="661"/>
      <c r="B439" s="978"/>
      <c r="C439" s="15"/>
      <c r="D439" s="663" t="s">
        <v>1318</v>
      </c>
      <c r="E439" s="664"/>
      <c r="F439" s="664"/>
      <c r="G439" s="664"/>
      <c r="H439" s="664"/>
      <c r="I439" s="664"/>
      <c r="J439" s="664"/>
      <c r="K439" s="664"/>
      <c r="L439" s="664"/>
      <c r="M439" s="664"/>
      <c r="N439" s="664"/>
      <c r="O439" s="664"/>
      <c r="P439" s="664"/>
      <c r="Q439" s="664"/>
      <c r="R439" s="664"/>
      <c r="S439" s="664"/>
      <c r="T439" s="664"/>
      <c r="U439" s="664"/>
      <c r="V439" s="664"/>
      <c r="W439" s="664"/>
      <c r="X439" s="664"/>
      <c r="Y439" s="664"/>
      <c r="Z439" s="664"/>
    </row>
    <row r="440">
      <c r="A440" s="661"/>
      <c r="B440" s="664"/>
      <c r="C440" s="15"/>
      <c r="D440" s="662"/>
      <c r="E440" s="664"/>
      <c r="F440" s="664"/>
      <c r="G440" s="664"/>
      <c r="H440" s="664"/>
      <c r="I440" s="664"/>
      <c r="J440" s="664"/>
      <c r="K440" s="664"/>
      <c r="L440" s="664"/>
      <c r="M440" s="664"/>
      <c r="N440" s="664"/>
      <c r="O440" s="664"/>
      <c r="P440" s="664"/>
      <c r="Q440" s="664"/>
      <c r="R440" s="664"/>
      <c r="S440" s="664"/>
      <c r="T440" s="664"/>
      <c r="U440" s="664"/>
      <c r="V440" s="664"/>
      <c r="W440" s="664"/>
      <c r="X440" s="664"/>
      <c r="Y440" s="664"/>
      <c r="Z440" s="664"/>
    </row>
    <row r="441">
      <c r="A441" s="661"/>
      <c r="B441" s="979" t="s">
        <v>1050</v>
      </c>
      <c r="C441" s="15" t="str">
        <f>"=&gt;"</f>
        <v>=&gt;</v>
      </c>
      <c r="D441" s="662" t="s">
        <v>1508</v>
      </c>
      <c r="E441" s="664"/>
      <c r="F441" s="664"/>
      <c r="G441" s="664"/>
      <c r="H441" s="664"/>
      <c r="I441" s="664"/>
      <c r="J441" s="664"/>
      <c r="K441" s="664"/>
      <c r="L441" s="664"/>
      <c r="M441" s="664"/>
      <c r="N441" s="664"/>
      <c r="O441" s="664"/>
      <c r="P441" s="664"/>
      <c r="Q441" s="664"/>
      <c r="R441" s="664"/>
      <c r="S441" s="664"/>
      <c r="T441" s="664"/>
      <c r="U441" s="664"/>
      <c r="V441" s="664"/>
      <c r="W441" s="664"/>
      <c r="X441" s="664"/>
      <c r="Y441" s="664"/>
      <c r="Z441" s="664"/>
    </row>
    <row r="442">
      <c r="A442" s="661"/>
      <c r="B442" s="979"/>
      <c r="C442" s="15"/>
      <c r="D442" s="663" t="s">
        <v>1318</v>
      </c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</row>
    <row r="443">
      <c r="A443" s="661"/>
      <c r="B443" s="664"/>
      <c r="C443" s="15"/>
      <c r="D443" s="662"/>
      <c r="E443" s="664"/>
      <c r="F443" s="664"/>
      <c r="G443" s="664"/>
      <c r="H443" s="664"/>
      <c r="I443" s="664"/>
      <c r="J443" s="664"/>
      <c r="K443" s="664"/>
      <c r="L443" s="664"/>
      <c r="M443" s="664"/>
      <c r="N443" s="664"/>
      <c r="O443" s="664"/>
      <c r="P443" s="664"/>
      <c r="Q443" s="664"/>
      <c r="R443" s="664"/>
      <c r="S443" s="664"/>
      <c r="T443" s="664"/>
      <c r="U443" s="664"/>
      <c r="V443" s="664"/>
      <c r="W443" s="664"/>
      <c r="X443" s="664"/>
      <c r="Y443" s="664"/>
      <c r="Z443" s="664"/>
    </row>
    <row r="444">
      <c r="A444" s="661"/>
      <c r="B444" s="980" t="s">
        <v>1051</v>
      </c>
      <c r="C444" s="15" t="str">
        <f>"=&gt;"</f>
        <v>=&gt;</v>
      </c>
      <c r="D444" s="662" t="s">
        <v>1509</v>
      </c>
      <c r="E444" s="664"/>
      <c r="F444" s="664"/>
      <c r="G444" s="664"/>
      <c r="H444" s="664"/>
      <c r="I444" s="664"/>
      <c r="J444" s="664"/>
      <c r="K444" s="664"/>
      <c r="L444" s="664"/>
      <c r="M444" s="664"/>
      <c r="N444" s="664"/>
      <c r="O444" s="664"/>
      <c r="P444" s="664"/>
      <c r="Q444" s="664"/>
      <c r="R444" s="664"/>
      <c r="S444" s="664"/>
      <c r="T444" s="664"/>
      <c r="U444" s="664"/>
      <c r="V444" s="664"/>
      <c r="W444" s="664"/>
      <c r="X444" s="664"/>
      <c r="Y444" s="664"/>
      <c r="Z444" s="664"/>
    </row>
    <row r="445">
      <c r="A445" s="661"/>
      <c r="B445" s="980"/>
      <c r="C445" s="15"/>
      <c r="D445" s="663" t="s">
        <v>1318</v>
      </c>
      <c r="E445" s="664"/>
      <c r="F445" s="664"/>
      <c r="G445" s="664"/>
      <c r="H445" s="664"/>
      <c r="I445" s="664"/>
      <c r="J445" s="664"/>
      <c r="K445" s="664"/>
      <c r="L445" s="664"/>
      <c r="M445" s="664"/>
      <c r="N445" s="664"/>
      <c r="O445" s="664"/>
      <c r="P445" s="664"/>
      <c r="Q445" s="664"/>
      <c r="R445" s="664"/>
      <c r="S445" s="664"/>
      <c r="T445" s="664"/>
      <c r="U445" s="664"/>
      <c r="V445" s="664"/>
      <c r="W445" s="664"/>
      <c r="X445" s="664"/>
      <c r="Y445" s="664"/>
      <c r="Z445" s="664"/>
    </row>
    <row r="446">
      <c r="A446" s="661"/>
      <c r="B446" s="664"/>
      <c r="C446" s="15"/>
      <c r="D446" s="662"/>
      <c r="E446" s="664"/>
      <c r="F446" s="664"/>
      <c r="G446" s="664"/>
      <c r="H446" s="664"/>
      <c r="I446" s="664"/>
      <c r="J446" s="664"/>
      <c r="K446" s="664"/>
      <c r="L446" s="664"/>
      <c r="M446" s="664"/>
      <c r="N446" s="664"/>
      <c r="O446" s="664"/>
      <c r="P446" s="664"/>
      <c r="Q446" s="664"/>
      <c r="R446" s="664"/>
      <c r="S446" s="664"/>
      <c r="T446" s="664"/>
      <c r="U446" s="664"/>
      <c r="V446" s="664"/>
      <c r="W446" s="664"/>
      <c r="X446" s="664"/>
      <c r="Y446" s="664"/>
      <c r="Z446" s="664"/>
    </row>
    <row r="447">
      <c r="A447" s="661"/>
      <c r="B447" s="981" t="s">
        <v>1077</v>
      </c>
      <c r="C447" s="15" t="str">
        <f>"=&gt;"</f>
        <v>=&gt;</v>
      </c>
      <c r="D447" s="662" t="s">
        <v>1510</v>
      </c>
      <c r="E447" s="664"/>
      <c r="F447" s="664"/>
      <c r="G447" s="664"/>
      <c r="H447" s="664"/>
      <c r="I447" s="664"/>
      <c r="J447" s="664"/>
      <c r="K447" s="664"/>
      <c r="L447" s="664"/>
      <c r="M447" s="664"/>
      <c r="N447" s="664"/>
      <c r="O447" s="664"/>
      <c r="P447" s="664"/>
      <c r="Q447" s="664"/>
      <c r="R447" s="664"/>
      <c r="S447" s="664"/>
      <c r="T447" s="664"/>
      <c r="U447" s="664"/>
      <c r="V447" s="664"/>
      <c r="W447" s="664"/>
      <c r="X447" s="664"/>
      <c r="Y447" s="664"/>
      <c r="Z447" s="664"/>
    </row>
    <row r="448">
      <c r="A448" s="661"/>
      <c r="B448" s="664"/>
      <c r="C448" s="15"/>
      <c r="D448" s="662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</row>
    <row r="449">
      <c r="A449" s="661"/>
      <c r="B449" s="664"/>
      <c r="C449" s="15"/>
      <c r="D449" s="662"/>
      <c r="E449" s="664"/>
      <c r="F449" s="664"/>
      <c r="G449" s="664"/>
      <c r="H449" s="664"/>
      <c r="I449" s="664"/>
      <c r="J449" s="664"/>
      <c r="K449" s="664"/>
      <c r="L449" s="664"/>
      <c r="M449" s="664"/>
      <c r="N449" s="664"/>
      <c r="O449" s="664"/>
      <c r="P449" s="664"/>
      <c r="Q449" s="664"/>
      <c r="R449" s="664"/>
      <c r="S449" s="664"/>
      <c r="T449" s="664"/>
      <c r="U449" s="664"/>
      <c r="V449" s="664"/>
      <c r="W449" s="664"/>
      <c r="X449" s="664"/>
      <c r="Y449" s="664"/>
      <c r="Z449" s="664"/>
    </row>
    <row r="450">
      <c r="A450" s="661"/>
      <c r="B450" s="664"/>
      <c r="C450" s="15"/>
      <c r="D450" s="662"/>
      <c r="E450" s="664"/>
      <c r="F450" s="664"/>
      <c r="G450" s="664"/>
      <c r="H450" s="664"/>
      <c r="I450" s="664"/>
      <c r="J450" s="664"/>
      <c r="K450" s="664"/>
      <c r="L450" s="664"/>
      <c r="M450" s="664"/>
      <c r="N450" s="664"/>
      <c r="O450" s="664"/>
      <c r="P450" s="664"/>
      <c r="Q450" s="664"/>
      <c r="R450" s="664"/>
      <c r="S450" s="664"/>
      <c r="T450" s="664"/>
      <c r="U450" s="664"/>
      <c r="V450" s="664"/>
      <c r="W450" s="664"/>
      <c r="X450" s="664"/>
      <c r="Y450" s="664"/>
      <c r="Z450" s="664"/>
    </row>
    <row r="451">
      <c r="A451" s="661"/>
      <c r="B451" s="664"/>
      <c r="C451" s="15"/>
      <c r="D451" s="662"/>
      <c r="E451" s="664"/>
      <c r="F451" s="664"/>
      <c r="G451" s="664"/>
      <c r="H451" s="664"/>
      <c r="I451" s="664"/>
      <c r="J451" s="664"/>
      <c r="K451" s="664"/>
      <c r="L451" s="664"/>
      <c r="M451" s="664"/>
      <c r="N451" s="664"/>
      <c r="O451" s="664"/>
      <c r="P451" s="664"/>
      <c r="Q451" s="664"/>
      <c r="R451" s="664"/>
      <c r="S451" s="664"/>
      <c r="T451" s="664"/>
      <c r="U451" s="664"/>
      <c r="V451" s="664"/>
      <c r="W451" s="664"/>
      <c r="X451" s="664"/>
      <c r="Y451" s="664"/>
      <c r="Z451" s="66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2" t="s">
        <v>1511</v>
      </c>
      <c r="B1" s="982" t="s">
        <v>1512</v>
      </c>
      <c r="C1" s="983"/>
      <c r="D1" s="982" t="s">
        <v>1513</v>
      </c>
      <c r="E1" s="982" t="s">
        <v>1514</v>
      </c>
      <c r="F1" s="982" t="s">
        <v>1515</v>
      </c>
      <c r="G1" s="982" t="s">
        <v>1516</v>
      </c>
      <c r="H1" s="982" t="s">
        <v>62</v>
      </c>
      <c r="I1" s="982" t="s">
        <v>64</v>
      </c>
      <c r="J1" s="982" t="s">
        <v>30</v>
      </c>
      <c r="K1" s="982" t="s">
        <v>32</v>
      </c>
      <c r="L1" s="982" t="s">
        <v>6</v>
      </c>
      <c r="M1" s="984" t="s">
        <v>1517</v>
      </c>
      <c r="N1" s="984" t="s">
        <v>924</v>
      </c>
      <c r="O1" s="984" t="s">
        <v>41</v>
      </c>
      <c r="P1" s="984" t="s">
        <v>887</v>
      </c>
      <c r="Q1" s="984" t="s">
        <v>120</v>
      </c>
      <c r="R1" s="984" t="s">
        <v>121</v>
      </c>
      <c r="S1" s="984" t="s">
        <v>109</v>
      </c>
      <c r="T1" s="982" t="s">
        <v>165</v>
      </c>
      <c r="U1" s="982" t="s">
        <v>164</v>
      </c>
      <c r="V1" s="982" t="s">
        <v>38</v>
      </c>
      <c r="W1" s="982" t="s">
        <v>17</v>
      </c>
      <c r="X1" s="982" t="s">
        <v>19</v>
      </c>
      <c r="Y1" s="982" t="s">
        <v>1518</v>
      </c>
      <c r="Z1" s="982" t="s">
        <v>1519</v>
      </c>
      <c r="AA1" s="982" t="s">
        <v>180</v>
      </c>
      <c r="AB1" s="982" t="s">
        <v>1520</v>
      </c>
    </row>
    <row r="2">
      <c r="A2" s="982" t="s">
        <v>1521</v>
      </c>
      <c r="B2" s="985" t="str">
        <f t="shared" ref="B2:B76" si="1">TEXTJOIN("", TRUE, E2:AA2)
</f>
        <v>TRUEFALSEFALSEFALSEFALSEFALSEFALSEFALSEFALSEFALSEFALSEFALSEFALSEFALSEFALSEFALSEFALSEFALSEFALSEFALSEFALSEFALSEFALSE</v>
      </c>
      <c r="C2" s="986" t="s">
        <v>38</v>
      </c>
      <c r="D2" s="987" t="b">
        <v>1</v>
      </c>
      <c r="E2" s="987" t="b">
        <v>1</v>
      </c>
      <c r="F2" s="987" t="b">
        <v>0</v>
      </c>
      <c r="G2" s="987" t="b">
        <v>0</v>
      </c>
      <c r="H2" s="987" t="b">
        <v>0</v>
      </c>
      <c r="I2" s="987" t="b">
        <v>0</v>
      </c>
      <c r="J2" s="987" t="b">
        <v>0</v>
      </c>
      <c r="K2" s="987" t="b">
        <v>0</v>
      </c>
      <c r="L2" s="987" t="b">
        <v>0</v>
      </c>
      <c r="M2" s="987" t="b">
        <v>0</v>
      </c>
      <c r="N2" s="987" t="b">
        <v>0</v>
      </c>
      <c r="O2" s="987" t="b">
        <v>0</v>
      </c>
      <c r="P2" s="987" t="b">
        <v>0</v>
      </c>
      <c r="Q2" s="987" t="b">
        <v>0</v>
      </c>
      <c r="R2" s="987" t="b">
        <v>0</v>
      </c>
      <c r="S2" s="987" t="b">
        <v>0</v>
      </c>
      <c r="T2" s="987" t="b">
        <v>0</v>
      </c>
      <c r="U2" s="987" t="b">
        <v>0</v>
      </c>
      <c r="V2" s="987" t="b">
        <v>0</v>
      </c>
      <c r="W2" s="987" t="b">
        <v>0</v>
      </c>
      <c r="X2" s="987" t="b">
        <v>0</v>
      </c>
      <c r="Y2" s="987" t="b">
        <v>0</v>
      </c>
      <c r="Z2" s="987" t="b">
        <v>0</v>
      </c>
      <c r="AA2" s="987" t="b">
        <v>0</v>
      </c>
      <c r="AB2" s="987" t="s">
        <v>1522</v>
      </c>
    </row>
    <row r="3">
      <c r="A3" s="982" t="s">
        <v>1521</v>
      </c>
      <c r="B3" s="985" t="str">
        <f t="shared" si="1"/>
        <v>TRUEFALSEFALSEFALSEFALSEFALSEFALSEFALSEFALSEFALSEFALSEFALSEFALSEFALSEFALSEFALSEFALSEFALSEFALSEFALSEFALSEFALSEFALSE</v>
      </c>
      <c r="C3" s="986" t="s">
        <v>180</v>
      </c>
      <c r="D3" s="987" t="b">
        <v>1</v>
      </c>
      <c r="E3" s="987" t="b">
        <v>1</v>
      </c>
      <c r="F3" s="987" t="b">
        <v>0</v>
      </c>
      <c r="G3" s="987" t="b">
        <v>0</v>
      </c>
      <c r="H3" s="987" t="b">
        <v>0</v>
      </c>
      <c r="I3" s="987" t="b">
        <v>0</v>
      </c>
      <c r="J3" s="987" t="b">
        <v>0</v>
      </c>
      <c r="K3" s="987" t="b">
        <v>0</v>
      </c>
      <c r="L3" s="987" t="b">
        <v>0</v>
      </c>
      <c r="M3" s="987" t="b">
        <v>0</v>
      </c>
      <c r="N3" s="987" t="b">
        <v>0</v>
      </c>
      <c r="O3" s="987" t="b">
        <v>0</v>
      </c>
      <c r="P3" s="987" t="b">
        <v>0</v>
      </c>
      <c r="Q3" s="987" t="b">
        <v>0</v>
      </c>
      <c r="R3" s="987" t="b">
        <v>0</v>
      </c>
      <c r="S3" s="987" t="b">
        <v>0</v>
      </c>
      <c r="T3" s="987" t="b">
        <v>0</v>
      </c>
      <c r="U3" s="987" t="b">
        <v>0</v>
      </c>
      <c r="V3" s="987" t="b">
        <v>0</v>
      </c>
      <c r="W3" s="987" t="b">
        <v>0</v>
      </c>
      <c r="X3" s="987" t="b">
        <v>0</v>
      </c>
      <c r="Y3" s="987" t="b">
        <v>0</v>
      </c>
      <c r="Z3" s="987" t="b">
        <v>0</v>
      </c>
      <c r="AA3" s="987" t="b">
        <v>0</v>
      </c>
      <c r="AB3" s="987" t="s">
        <v>1522</v>
      </c>
    </row>
    <row r="4">
      <c r="A4" s="982" t="s">
        <v>1521</v>
      </c>
      <c r="B4" s="985" t="str">
        <f t="shared" si="1"/>
        <v>TRUEFALSEFALSEFALSEFALSEFALSEFALSEFALSEFALSEFALSEFALSEFALSEFALSEFALSEFALSEFALSEFALSEFALSEFALSEFALSEFALSEFALSEFALSE</v>
      </c>
      <c r="C4" s="986" t="s">
        <v>6</v>
      </c>
      <c r="D4" s="987" t="b">
        <v>1</v>
      </c>
      <c r="E4" s="987" t="b">
        <v>1</v>
      </c>
      <c r="F4" s="987" t="b">
        <v>0</v>
      </c>
      <c r="G4" s="987" t="b">
        <v>0</v>
      </c>
      <c r="H4" s="987" t="b">
        <v>0</v>
      </c>
      <c r="I4" s="987" t="b">
        <v>0</v>
      </c>
      <c r="J4" s="987" t="b">
        <v>0</v>
      </c>
      <c r="K4" s="987" t="b">
        <v>0</v>
      </c>
      <c r="L4" s="987" t="b">
        <v>0</v>
      </c>
      <c r="M4" s="987" t="b">
        <v>0</v>
      </c>
      <c r="N4" s="987" t="b">
        <v>0</v>
      </c>
      <c r="O4" s="987" t="b">
        <v>0</v>
      </c>
      <c r="P4" s="987" t="b">
        <v>0</v>
      </c>
      <c r="Q4" s="987" t="b">
        <v>0</v>
      </c>
      <c r="R4" s="987" t="b">
        <v>0</v>
      </c>
      <c r="S4" s="987" t="b">
        <v>0</v>
      </c>
      <c r="T4" s="987" t="b">
        <v>0</v>
      </c>
      <c r="U4" s="987" t="b">
        <v>0</v>
      </c>
      <c r="V4" s="987" t="b">
        <v>0</v>
      </c>
      <c r="W4" s="987" t="b">
        <v>0</v>
      </c>
      <c r="X4" s="987" t="b">
        <v>0</v>
      </c>
      <c r="Y4" s="987" t="b">
        <v>0</v>
      </c>
      <c r="Z4" s="987" t="b">
        <v>0</v>
      </c>
      <c r="AA4" s="987" t="b">
        <v>0</v>
      </c>
      <c r="AB4" s="988"/>
    </row>
    <row r="5">
      <c r="A5" s="982" t="s">
        <v>1521</v>
      </c>
      <c r="B5" s="985" t="str">
        <f t="shared" si="1"/>
        <v>TRUEFALSEFALSEFALSEFALSEFALSEFALSEFALSEFALSEFALSEFALSEFALSEFALSEFALSEFALSEFALSEFALSEFALSEFALSEFALSEFALSEFALSEFALSE</v>
      </c>
      <c r="C5" s="986" t="s">
        <v>62</v>
      </c>
      <c r="D5" s="987" t="b">
        <v>1</v>
      </c>
      <c r="E5" s="987" t="b">
        <v>1</v>
      </c>
      <c r="F5" s="987" t="b">
        <v>0</v>
      </c>
      <c r="G5" s="987" t="b">
        <v>0</v>
      </c>
      <c r="H5" s="987" t="b">
        <v>0</v>
      </c>
      <c r="I5" s="987" t="b">
        <v>0</v>
      </c>
      <c r="J5" s="987" t="b">
        <v>0</v>
      </c>
      <c r="K5" s="987" t="b">
        <v>0</v>
      </c>
      <c r="L5" s="987" t="b">
        <v>0</v>
      </c>
      <c r="M5" s="987" t="b">
        <v>0</v>
      </c>
      <c r="N5" s="987" t="b">
        <v>0</v>
      </c>
      <c r="O5" s="987" t="b">
        <v>0</v>
      </c>
      <c r="P5" s="987" t="b">
        <v>0</v>
      </c>
      <c r="Q5" s="987" t="b">
        <v>0</v>
      </c>
      <c r="R5" s="987" t="b">
        <v>0</v>
      </c>
      <c r="S5" s="987" t="b">
        <v>0</v>
      </c>
      <c r="T5" s="987" t="b">
        <v>0</v>
      </c>
      <c r="U5" s="987" t="b">
        <v>0</v>
      </c>
      <c r="V5" s="987" t="b">
        <v>0</v>
      </c>
      <c r="W5" s="987" t="b">
        <v>0</v>
      </c>
      <c r="X5" s="987" t="b">
        <v>0</v>
      </c>
      <c r="Y5" s="987" t="b">
        <v>0</v>
      </c>
      <c r="Z5" s="987" t="b">
        <v>0</v>
      </c>
      <c r="AA5" s="987" t="b">
        <v>0</v>
      </c>
      <c r="AB5" s="987" t="s">
        <v>1522</v>
      </c>
    </row>
    <row r="6">
      <c r="A6" s="982" t="s">
        <v>1521</v>
      </c>
      <c r="B6" s="985" t="str">
        <f t="shared" si="1"/>
        <v>TRUEFALSEFALSEFALSEFALSEFALSEFALSEFALSEFALSEFALSEFALSEFALSEFALSEFALSEFALSEFALSEFALSEFALSEFALSEFALSEFALSEFALSEFALSE</v>
      </c>
      <c r="C6" s="986" t="s">
        <v>64</v>
      </c>
      <c r="D6" s="987" t="b">
        <v>1</v>
      </c>
      <c r="E6" s="987" t="b">
        <v>1</v>
      </c>
      <c r="F6" s="987" t="b">
        <v>0</v>
      </c>
      <c r="G6" s="987" t="b">
        <v>0</v>
      </c>
      <c r="H6" s="987" t="b">
        <v>0</v>
      </c>
      <c r="I6" s="987" t="b">
        <v>0</v>
      </c>
      <c r="J6" s="987" t="b">
        <v>0</v>
      </c>
      <c r="K6" s="987" t="b">
        <v>0</v>
      </c>
      <c r="L6" s="987" t="b">
        <v>0</v>
      </c>
      <c r="M6" s="987" t="b">
        <v>0</v>
      </c>
      <c r="N6" s="987" t="b">
        <v>0</v>
      </c>
      <c r="O6" s="987" t="b">
        <v>0</v>
      </c>
      <c r="P6" s="987" t="b">
        <v>0</v>
      </c>
      <c r="Q6" s="987" t="b">
        <v>0</v>
      </c>
      <c r="R6" s="987" t="b">
        <v>0</v>
      </c>
      <c r="S6" s="987" t="b">
        <v>0</v>
      </c>
      <c r="T6" s="987" t="b">
        <v>0</v>
      </c>
      <c r="U6" s="987" t="b">
        <v>0</v>
      </c>
      <c r="V6" s="987" t="b">
        <v>0</v>
      </c>
      <c r="W6" s="987" t="b">
        <v>0</v>
      </c>
      <c r="X6" s="987" t="b">
        <v>0</v>
      </c>
      <c r="Y6" s="987" t="b">
        <v>0</v>
      </c>
      <c r="Z6" s="987" t="b">
        <v>0</v>
      </c>
      <c r="AA6" s="987" t="b">
        <v>0</v>
      </c>
      <c r="AB6" s="987" t="s">
        <v>1522</v>
      </c>
    </row>
    <row r="7">
      <c r="A7" s="982" t="s">
        <v>1521</v>
      </c>
      <c r="B7" s="985" t="str">
        <f t="shared" si="1"/>
        <v>TRUEFALSEFALSEFALSEFALSEFALSEFALSEFALSEFALSEFALSEFALSEFALSEFALSEFALSEFALSEFALSEFALSEFALSEFALSEFALSEFALSEFALSEFALSE</v>
      </c>
      <c r="C7" s="986" t="s">
        <v>30</v>
      </c>
      <c r="D7" s="987" t="b">
        <v>1</v>
      </c>
      <c r="E7" s="987" t="b">
        <v>1</v>
      </c>
      <c r="F7" s="987" t="b">
        <v>0</v>
      </c>
      <c r="G7" s="987" t="b">
        <v>0</v>
      </c>
      <c r="H7" s="987" t="b">
        <v>0</v>
      </c>
      <c r="I7" s="987" t="b">
        <v>0</v>
      </c>
      <c r="J7" s="987" t="b">
        <v>0</v>
      </c>
      <c r="K7" s="987" t="b">
        <v>0</v>
      </c>
      <c r="L7" s="987" t="b">
        <v>0</v>
      </c>
      <c r="M7" s="987" t="b">
        <v>0</v>
      </c>
      <c r="N7" s="987" t="b">
        <v>0</v>
      </c>
      <c r="O7" s="987" t="b">
        <v>0</v>
      </c>
      <c r="P7" s="987" t="b">
        <v>0</v>
      </c>
      <c r="Q7" s="987" t="b">
        <v>0</v>
      </c>
      <c r="R7" s="987" t="b">
        <v>0</v>
      </c>
      <c r="S7" s="987" t="b">
        <v>0</v>
      </c>
      <c r="T7" s="987" t="b">
        <v>0</v>
      </c>
      <c r="U7" s="987" t="b">
        <v>0</v>
      </c>
      <c r="V7" s="987" t="b">
        <v>0</v>
      </c>
      <c r="W7" s="987" t="b">
        <v>0</v>
      </c>
      <c r="X7" s="987" t="b">
        <v>0</v>
      </c>
      <c r="Y7" s="987" t="b">
        <v>0</v>
      </c>
      <c r="Z7" s="987" t="b">
        <v>0</v>
      </c>
      <c r="AA7" s="987" t="b">
        <v>0</v>
      </c>
      <c r="AB7" s="987" t="s">
        <v>1522</v>
      </c>
    </row>
    <row r="8">
      <c r="A8" s="982" t="s">
        <v>1521</v>
      </c>
      <c r="B8" s="985" t="str">
        <f t="shared" si="1"/>
        <v>TRUEFALSEFALSEFALSEFALSEFALSEFALSEFALSEFALSEFALSEFALSEFALSEFALSEFALSEFALSEFALSEFALSEFALSEFALSEFALSEFALSEFALSEFALSE</v>
      </c>
      <c r="C8" s="986" t="s">
        <v>32</v>
      </c>
      <c r="D8" s="987" t="b">
        <v>1</v>
      </c>
      <c r="E8" s="987" t="b">
        <v>1</v>
      </c>
      <c r="F8" s="987" t="b">
        <v>0</v>
      </c>
      <c r="G8" s="987" t="b">
        <v>0</v>
      </c>
      <c r="H8" s="987" t="b">
        <v>0</v>
      </c>
      <c r="I8" s="987" t="b">
        <v>0</v>
      </c>
      <c r="J8" s="987" t="b">
        <v>0</v>
      </c>
      <c r="K8" s="987" t="b">
        <v>0</v>
      </c>
      <c r="L8" s="987" t="b">
        <v>0</v>
      </c>
      <c r="M8" s="987" t="b">
        <v>0</v>
      </c>
      <c r="N8" s="987" t="b">
        <v>0</v>
      </c>
      <c r="O8" s="987" t="b">
        <v>0</v>
      </c>
      <c r="P8" s="987" t="b">
        <v>0</v>
      </c>
      <c r="Q8" s="987" t="b">
        <v>0</v>
      </c>
      <c r="R8" s="987" t="b">
        <v>0</v>
      </c>
      <c r="S8" s="987" t="b">
        <v>0</v>
      </c>
      <c r="T8" s="987" t="b">
        <v>0</v>
      </c>
      <c r="U8" s="987" t="b">
        <v>0</v>
      </c>
      <c r="V8" s="987" t="b">
        <v>0</v>
      </c>
      <c r="W8" s="987" t="b">
        <v>0</v>
      </c>
      <c r="X8" s="987" t="b">
        <v>0</v>
      </c>
      <c r="Y8" s="987" t="b">
        <v>0</v>
      </c>
      <c r="Z8" s="987" t="b">
        <v>0</v>
      </c>
      <c r="AA8" s="987" t="b">
        <v>0</v>
      </c>
      <c r="AB8" s="988"/>
    </row>
    <row r="9">
      <c r="A9" s="982" t="s">
        <v>1521</v>
      </c>
      <c r="B9" s="985" t="str">
        <f t="shared" si="1"/>
        <v>TRUEFALSEFALSEFALSEFALSEFALSEFALSEFALSEFALSEFALSEFALSEFALSEFALSEFALSEFALSEFALSEFALSEFALSEFALSEFALSEFALSEFALSEFALSE</v>
      </c>
      <c r="C9" s="986" t="s">
        <v>17</v>
      </c>
      <c r="D9" s="987" t="b">
        <v>1</v>
      </c>
      <c r="E9" s="987" t="b">
        <v>1</v>
      </c>
      <c r="F9" s="987" t="b">
        <v>0</v>
      </c>
      <c r="G9" s="987" t="b">
        <v>0</v>
      </c>
      <c r="H9" s="987" t="b">
        <v>0</v>
      </c>
      <c r="I9" s="987" t="b">
        <v>0</v>
      </c>
      <c r="J9" s="987" t="b">
        <v>0</v>
      </c>
      <c r="K9" s="987" t="b">
        <v>0</v>
      </c>
      <c r="L9" s="987" t="b">
        <v>0</v>
      </c>
      <c r="M9" s="987" t="b">
        <v>0</v>
      </c>
      <c r="N9" s="987" t="b">
        <v>0</v>
      </c>
      <c r="O9" s="987" t="b">
        <v>0</v>
      </c>
      <c r="P9" s="987" t="b">
        <v>0</v>
      </c>
      <c r="Q9" s="987" t="b">
        <v>0</v>
      </c>
      <c r="R9" s="987" t="b">
        <v>0</v>
      </c>
      <c r="S9" s="987" t="b">
        <v>0</v>
      </c>
      <c r="T9" s="987" t="b">
        <v>0</v>
      </c>
      <c r="U9" s="987" t="b">
        <v>0</v>
      </c>
      <c r="V9" s="987" t="b">
        <v>0</v>
      </c>
      <c r="W9" s="987" t="b">
        <v>0</v>
      </c>
      <c r="X9" s="987" t="b">
        <v>0</v>
      </c>
      <c r="Y9" s="987" t="b">
        <v>0</v>
      </c>
      <c r="Z9" s="987" t="b">
        <v>0</v>
      </c>
      <c r="AA9" s="987" t="b">
        <v>0</v>
      </c>
      <c r="AB9" s="987" t="s">
        <v>1522</v>
      </c>
    </row>
    <row r="10">
      <c r="A10" s="982" t="s">
        <v>1521</v>
      </c>
      <c r="B10" s="985" t="str">
        <f t="shared" si="1"/>
        <v>TRUEFALSEFALSEFALSEFALSEFALSEFALSEFALSEFALSEFALSEFALSEFALSEFALSEFALSEFALSEFALSEFALSEFALSEFALSEFALSEFALSEFALSEFALSE</v>
      </c>
      <c r="C10" s="986" t="s">
        <v>19</v>
      </c>
      <c r="D10" s="987" t="b">
        <v>1</v>
      </c>
      <c r="E10" s="987" t="b">
        <v>1</v>
      </c>
      <c r="F10" s="987" t="b">
        <v>0</v>
      </c>
      <c r="G10" s="987" t="b">
        <v>0</v>
      </c>
      <c r="H10" s="987" t="b">
        <v>0</v>
      </c>
      <c r="I10" s="987" t="b">
        <v>0</v>
      </c>
      <c r="J10" s="987" t="b">
        <v>0</v>
      </c>
      <c r="K10" s="987" t="b">
        <v>0</v>
      </c>
      <c r="L10" s="987" t="b">
        <v>0</v>
      </c>
      <c r="M10" s="987" t="b">
        <v>0</v>
      </c>
      <c r="N10" s="987" t="b">
        <v>0</v>
      </c>
      <c r="O10" s="987" t="b">
        <v>0</v>
      </c>
      <c r="P10" s="987" t="b">
        <v>0</v>
      </c>
      <c r="Q10" s="987" t="b">
        <v>0</v>
      </c>
      <c r="R10" s="987" t="b">
        <v>0</v>
      </c>
      <c r="S10" s="987" t="b">
        <v>0</v>
      </c>
      <c r="T10" s="987" t="b">
        <v>0</v>
      </c>
      <c r="U10" s="987" t="b">
        <v>0</v>
      </c>
      <c r="V10" s="987" t="b">
        <v>0</v>
      </c>
      <c r="W10" s="987" t="b">
        <v>0</v>
      </c>
      <c r="X10" s="987" t="b">
        <v>0</v>
      </c>
      <c r="Y10" s="987" t="b">
        <v>0</v>
      </c>
      <c r="Z10" s="987" t="b">
        <v>0</v>
      </c>
      <c r="AA10" s="987" t="b">
        <v>0</v>
      </c>
      <c r="AB10" s="987" t="s">
        <v>1522</v>
      </c>
    </row>
    <row r="11">
      <c r="A11" s="982" t="s">
        <v>1521</v>
      </c>
      <c r="B11" s="985" t="str">
        <f t="shared" si="1"/>
        <v>TRUEFALSEFALSEFALSEFALSEFALSEFALSEFALSEFALSEFALSEFALSEFALSEFALSEFALSEFALSEFALSEFALSEFALSEFALSEFALSEFALSEFALSEFALSE</v>
      </c>
      <c r="C11" s="986" t="s">
        <v>1523</v>
      </c>
      <c r="D11" s="987" t="b">
        <v>1</v>
      </c>
      <c r="E11" s="987" t="b">
        <v>1</v>
      </c>
      <c r="F11" s="987" t="b">
        <v>0</v>
      </c>
      <c r="G11" s="987" t="b">
        <v>0</v>
      </c>
      <c r="H11" s="987" t="b">
        <v>0</v>
      </c>
      <c r="I11" s="987" t="b">
        <v>0</v>
      </c>
      <c r="J11" s="987" t="b">
        <v>0</v>
      </c>
      <c r="K11" s="987" t="b">
        <v>0</v>
      </c>
      <c r="L11" s="987" t="b">
        <v>0</v>
      </c>
      <c r="M11" s="987" t="b">
        <v>0</v>
      </c>
      <c r="N11" s="987" t="b">
        <v>0</v>
      </c>
      <c r="O11" s="987" t="b">
        <v>0</v>
      </c>
      <c r="P11" s="987" t="b">
        <v>0</v>
      </c>
      <c r="Q11" s="987" t="b">
        <v>0</v>
      </c>
      <c r="R11" s="987" t="b">
        <v>0</v>
      </c>
      <c r="S11" s="987" t="b">
        <v>0</v>
      </c>
      <c r="T11" s="987" t="b">
        <v>0</v>
      </c>
      <c r="U11" s="987" t="b">
        <v>0</v>
      </c>
      <c r="V11" s="987" t="b">
        <v>0</v>
      </c>
      <c r="W11" s="987" t="b">
        <v>0</v>
      </c>
      <c r="X11" s="987" t="b">
        <v>0</v>
      </c>
      <c r="Y11" s="987" t="b">
        <v>0</v>
      </c>
      <c r="Z11" s="987" t="b">
        <v>0</v>
      </c>
      <c r="AA11" s="987" t="b">
        <v>0</v>
      </c>
      <c r="AB11" s="987" t="s">
        <v>1522</v>
      </c>
    </row>
    <row r="12">
      <c r="A12" s="982" t="s">
        <v>1521</v>
      </c>
      <c r="B12" s="985" t="str">
        <f t="shared" si="1"/>
        <v>TRUEFALSEFALSEFALSEFALSEFALSEFALSEFALSEFALSEFALSEFALSEFALSEFALSEFALSEFALSEFALSEFALSEFALSEFALSEFALSEFALSEFALSEFALSE</v>
      </c>
      <c r="C12" s="986" t="s">
        <v>1524</v>
      </c>
      <c r="D12" s="987" t="b">
        <v>1</v>
      </c>
      <c r="E12" s="987" t="b">
        <v>1</v>
      </c>
      <c r="F12" s="987" t="b">
        <v>0</v>
      </c>
      <c r="G12" s="987" t="b">
        <v>0</v>
      </c>
      <c r="H12" s="987" t="b">
        <v>0</v>
      </c>
      <c r="I12" s="987" t="b">
        <v>0</v>
      </c>
      <c r="J12" s="987" t="b">
        <v>0</v>
      </c>
      <c r="K12" s="987" t="b">
        <v>0</v>
      </c>
      <c r="L12" s="987" t="b">
        <v>0</v>
      </c>
      <c r="M12" s="987" t="b">
        <v>0</v>
      </c>
      <c r="N12" s="987" t="b">
        <v>0</v>
      </c>
      <c r="O12" s="987" t="b">
        <v>0</v>
      </c>
      <c r="P12" s="987" t="b">
        <v>0</v>
      </c>
      <c r="Q12" s="987" t="b">
        <v>0</v>
      </c>
      <c r="R12" s="987" t="b">
        <v>0</v>
      </c>
      <c r="S12" s="987" t="b">
        <v>0</v>
      </c>
      <c r="T12" s="987" t="b">
        <v>0</v>
      </c>
      <c r="U12" s="987" t="b">
        <v>0</v>
      </c>
      <c r="V12" s="987" t="b">
        <v>0</v>
      </c>
      <c r="W12" s="987" t="b">
        <v>0</v>
      </c>
      <c r="X12" s="987" t="b">
        <v>0</v>
      </c>
      <c r="Y12" s="987" t="b">
        <v>0</v>
      </c>
      <c r="Z12" s="987" t="b">
        <v>0</v>
      </c>
      <c r="AA12" s="987" t="b">
        <v>0</v>
      </c>
      <c r="AB12" s="987" t="s">
        <v>1522</v>
      </c>
    </row>
    <row r="13">
      <c r="A13" s="982" t="s">
        <v>1521</v>
      </c>
      <c r="B13" s="985" t="str">
        <f t="shared" si="1"/>
        <v>TRUEFALSEFALSEFALSEFALSEFALSEFALSEFALSEFALSEFALSEFALSEFALSEFALSEFALSEFALSEFALSEFALSEFALSEFALSEFALSEFALSEFALSEFALSE</v>
      </c>
      <c r="C13" s="986" t="s">
        <v>1525</v>
      </c>
      <c r="D13" s="987" t="b">
        <v>1</v>
      </c>
      <c r="E13" s="987" t="b">
        <v>1</v>
      </c>
      <c r="F13" s="987" t="b">
        <v>0</v>
      </c>
      <c r="G13" s="987" t="b">
        <v>0</v>
      </c>
      <c r="H13" s="987" t="b">
        <v>0</v>
      </c>
      <c r="I13" s="987" t="b">
        <v>0</v>
      </c>
      <c r="J13" s="987" t="b">
        <v>0</v>
      </c>
      <c r="K13" s="987" t="b">
        <v>0</v>
      </c>
      <c r="L13" s="987" t="b">
        <v>0</v>
      </c>
      <c r="M13" s="987" t="b">
        <v>0</v>
      </c>
      <c r="N13" s="987" t="b">
        <v>0</v>
      </c>
      <c r="O13" s="987" t="b">
        <v>0</v>
      </c>
      <c r="P13" s="987" t="b">
        <v>0</v>
      </c>
      <c r="Q13" s="987" t="b">
        <v>0</v>
      </c>
      <c r="R13" s="987" t="b">
        <v>0</v>
      </c>
      <c r="S13" s="987" t="b">
        <v>0</v>
      </c>
      <c r="T13" s="987" t="b">
        <v>0</v>
      </c>
      <c r="U13" s="987" t="b">
        <v>0</v>
      </c>
      <c r="V13" s="987" t="b">
        <v>0</v>
      </c>
      <c r="W13" s="987" t="b">
        <v>0</v>
      </c>
      <c r="X13" s="987" t="b">
        <v>0</v>
      </c>
      <c r="Y13" s="987" t="b">
        <v>0</v>
      </c>
      <c r="Z13" s="987" t="b">
        <v>0</v>
      </c>
      <c r="AA13" s="987" t="b">
        <v>0</v>
      </c>
      <c r="AB13" s="987" t="s">
        <v>1522</v>
      </c>
    </row>
    <row r="14">
      <c r="A14" s="982" t="s">
        <v>1526</v>
      </c>
      <c r="B14" s="985" t="str">
        <f t="shared" si="1"/>
        <v>FALSETRUETRUETRUEFALSEFALSEFALSEFALSEFALSEFALSETRUEFALSEFALSEFALSEFALSEFALSEFALSEFALSEFALSEFALSETRUETRUEFALSE</v>
      </c>
      <c r="C14" s="986" t="str">
        <f>"-="</f>
        <v>-=</v>
      </c>
      <c r="D14" s="987" t="b">
        <v>1</v>
      </c>
      <c r="E14" s="987" t="b">
        <v>0</v>
      </c>
      <c r="F14" s="987" t="b">
        <v>1</v>
      </c>
      <c r="G14" s="987" t="b">
        <v>1</v>
      </c>
      <c r="H14" s="987" t="b">
        <v>1</v>
      </c>
      <c r="I14" s="987" t="b">
        <v>0</v>
      </c>
      <c r="J14" s="987" t="b">
        <v>0</v>
      </c>
      <c r="K14" s="987" t="b">
        <v>0</v>
      </c>
      <c r="L14" s="987" t="b">
        <v>0</v>
      </c>
      <c r="M14" s="987" t="b">
        <v>0</v>
      </c>
      <c r="N14" s="987" t="b">
        <v>0</v>
      </c>
      <c r="O14" s="987" t="b">
        <v>1</v>
      </c>
      <c r="P14" s="987" t="b">
        <v>0</v>
      </c>
      <c r="Q14" s="987" t="b">
        <v>0</v>
      </c>
      <c r="R14" s="987" t="b">
        <v>0</v>
      </c>
      <c r="S14" s="987" t="b">
        <v>0</v>
      </c>
      <c r="T14" s="987" t="b">
        <v>0</v>
      </c>
      <c r="U14" s="987" t="b">
        <v>0</v>
      </c>
      <c r="V14" s="987" t="b">
        <v>0</v>
      </c>
      <c r="W14" s="987" t="b">
        <v>0</v>
      </c>
      <c r="X14" s="987" t="b">
        <v>0</v>
      </c>
      <c r="Y14" s="987" t="b">
        <v>1</v>
      </c>
      <c r="Z14" s="987" t="b">
        <v>1</v>
      </c>
      <c r="AA14" s="987" t="b">
        <v>0</v>
      </c>
      <c r="AB14" s="987" t="s">
        <v>1522</v>
      </c>
    </row>
    <row r="15">
      <c r="A15" s="982" t="s">
        <v>1526</v>
      </c>
      <c r="B15" s="985" t="str">
        <f t="shared" si="1"/>
        <v>FALSETRUETRUETRUEFALSEFALSEFALSEFALSEFALSEFALSETRUEFALSEFALSEFALSEFALSEFALSEFALSEFALSEFALSEFALSETRUETRUEFALSE</v>
      </c>
      <c r="C15" s="986" t="str">
        <f>"!="</f>
        <v>!=</v>
      </c>
      <c r="D15" s="987" t="b">
        <v>1</v>
      </c>
      <c r="E15" s="987" t="b">
        <v>0</v>
      </c>
      <c r="F15" s="987" t="b">
        <v>1</v>
      </c>
      <c r="G15" s="987" t="b">
        <v>1</v>
      </c>
      <c r="H15" s="987" t="b">
        <v>1</v>
      </c>
      <c r="I15" s="987" t="b">
        <v>0</v>
      </c>
      <c r="J15" s="987" t="b">
        <v>0</v>
      </c>
      <c r="K15" s="987" t="b">
        <v>0</v>
      </c>
      <c r="L15" s="987" t="b">
        <v>0</v>
      </c>
      <c r="M15" s="987" t="b">
        <v>0</v>
      </c>
      <c r="N15" s="987" t="b">
        <v>0</v>
      </c>
      <c r="O15" s="987" t="b">
        <v>1</v>
      </c>
      <c r="P15" s="987" t="b">
        <v>0</v>
      </c>
      <c r="Q15" s="987" t="b">
        <v>0</v>
      </c>
      <c r="R15" s="987" t="b">
        <v>0</v>
      </c>
      <c r="S15" s="987" t="b">
        <v>0</v>
      </c>
      <c r="T15" s="987" t="b">
        <v>0</v>
      </c>
      <c r="U15" s="987" t="b">
        <v>0</v>
      </c>
      <c r="V15" s="987" t="b">
        <v>0</v>
      </c>
      <c r="W15" s="987" t="b">
        <v>0</v>
      </c>
      <c r="X15" s="987" t="b">
        <v>0</v>
      </c>
      <c r="Y15" s="987" t="b">
        <v>1</v>
      </c>
      <c r="Z15" s="987" t="b">
        <v>1</v>
      </c>
      <c r="AA15" s="987" t="b">
        <v>0</v>
      </c>
      <c r="AB15" s="987" t="s">
        <v>1522</v>
      </c>
    </row>
    <row r="16">
      <c r="A16" s="982" t="s">
        <v>1526</v>
      </c>
      <c r="B16" s="985" t="str">
        <f t="shared" si="1"/>
        <v>FALSETRUETRUETRUEFALSEFALSEFALSEFALSEFALSEFALSETRUEFALSEFALSEFALSEFALSEFALSEFALSEFALSEFALSEFALSETRUETRUEFALSE</v>
      </c>
      <c r="C16" s="986" t="str">
        <f>"*"</f>
        <v>*</v>
      </c>
      <c r="D16" s="987" t="b">
        <v>1</v>
      </c>
      <c r="E16" s="987" t="b">
        <v>0</v>
      </c>
      <c r="F16" s="987" t="b">
        <v>1</v>
      </c>
      <c r="G16" s="987" t="b">
        <v>1</v>
      </c>
      <c r="H16" s="987" t="b">
        <v>1</v>
      </c>
      <c r="I16" s="987" t="b">
        <v>0</v>
      </c>
      <c r="J16" s="987" t="b">
        <v>0</v>
      </c>
      <c r="K16" s="987" t="b">
        <v>0</v>
      </c>
      <c r="L16" s="987" t="b">
        <v>0</v>
      </c>
      <c r="M16" s="987" t="b">
        <v>0</v>
      </c>
      <c r="N16" s="987" t="b">
        <v>0</v>
      </c>
      <c r="O16" s="987" t="b">
        <v>1</v>
      </c>
      <c r="P16" s="987" t="b">
        <v>0</v>
      </c>
      <c r="Q16" s="987" t="b">
        <v>0</v>
      </c>
      <c r="R16" s="987" t="b">
        <v>0</v>
      </c>
      <c r="S16" s="987" t="b">
        <v>0</v>
      </c>
      <c r="T16" s="987" t="b">
        <v>0</v>
      </c>
      <c r="U16" s="987" t="b">
        <v>0</v>
      </c>
      <c r="V16" s="987" t="b">
        <v>0</v>
      </c>
      <c r="W16" s="987" t="b">
        <v>0</v>
      </c>
      <c r="X16" s="987" t="b">
        <v>0</v>
      </c>
      <c r="Y16" s="987" t="b">
        <v>1</v>
      </c>
      <c r="Z16" s="987" t="b">
        <v>1</v>
      </c>
      <c r="AA16" s="987" t="b">
        <v>0</v>
      </c>
      <c r="AB16" s="987" t="s">
        <v>1522</v>
      </c>
    </row>
    <row r="17">
      <c r="A17" s="982" t="s">
        <v>1526</v>
      </c>
      <c r="B17" s="985" t="str">
        <f t="shared" si="1"/>
        <v>FALSETRUETRUETRUEFALSEFALSEFALSEFALSEFALSEFALSETRUEFALSEFALSEFALSEFALSEFALSEFALSEFALSEFALSEFALSETRUETRUEFALSE</v>
      </c>
      <c r="C17" s="986" t="str">
        <f>"*="</f>
        <v>*=</v>
      </c>
      <c r="D17" s="987" t="b">
        <v>1</v>
      </c>
      <c r="E17" s="987" t="b">
        <v>0</v>
      </c>
      <c r="F17" s="987" t="b">
        <v>1</v>
      </c>
      <c r="G17" s="987" t="b">
        <v>1</v>
      </c>
      <c r="H17" s="987" t="b">
        <v>1</v>
      </c>
      <c r="I17" s="987" t="b">
        <v>0</v>
      </c>
      <c r="J17" s="987" t="b">
        <v>0</v>
      </c>
      <c r="K17" s="987" t="b">
        <v>0</v>
      </c>
      <c r="L17" s="987" t="b">
        <v>0</v>
      </c>
      <c r="M17" s="987" t="b">
        <v>0</v>
      </c>
      <c r="N17" s="987" t="b">
        <v>0</v>
      </c>
      <c r="O17" s="987" t="b">
        <v>1</v>
      </c>
      <c r="P17" s="987" t="b">
        <v>0</v>
      </c>
      <c r="Q17" s="987" t="b">
        <v>0</v>
      </c>
      <c r="R17" s="987" t="b">
        <v>0</v>
      </c>
      <c r="S17" s="987" t="b">
        <v>0</v>
      </c>
      <c r="T17" s="987" t="b">
        <v>0</v>
      </c>
      <c r="U17" s="987" t="b">
        <v>0</v>
      </c>
      <c r="V17" s="987" t="b">
        <v>0</v>
      </c>
      <c r="W17" s="987" t="b">
        <v>0</v>
      </c>
      <c r="X17" s="987" t="b">
        <v>0</v>
      </c>
      <c r="Y17" s="987" t="b">
        <v>1</v>
      </c>
      <c r="Z17" s="987" t="b">
        <v>1</v>
      </c>
      <c r="AA17" s="987" t="b">
        <v>0</v>
      </c>
      <c r="AB17" s="987" t="s">
        <v>1522</v>
      </c>
    </row>
    <row r="18">
      <c r="A18" s="982" t="s">
        <v>1526</v>
      </c>
      <c r="B18" s="985" t="str">
        <f t="shared" si="1"/>
        <v>FALSETRUETRUETRUEFALSEFALSEFALSEFALSEFALSEFALSETRUEFALSEFALSEFALSEFALSEFALSEFALSEFALSEFALSEFALSETRUETRUEFALSE</v>
      </c>
      <c r="C18" s="986" t="str">
        <f>"/"</f>
        <v>/</v>
      </c>
      <c r="D18" s="987" t="b">
        <v>1</v>
      </c>
      <c r="E18" s="987" t="b">
        <v>0</v>
      </c>
      <c r="F18" s="987" t="b">
        <v>1</v>
      </c>
      <c r="G18" s="987" t="b">
        <v>1</v>
      </c>
      <c r="H18" s="987" t="b">
        <v>1</v>
      </c>
      <c r="I18" s="987" t="b">
        <v>0</v>
      </c>
      <c r="J18" s="987" t="b">
        <v>0</v>
      </c>
      <c r="K18" s="987" t="b">
        <v>0</v>
      </c>
      <c r="L18" s="987" t="b">
        <v>0</v>
      </c>
      <c r="M18" s="987" t="b">
        <v>0</v>
      </c>
      <c r="N18" s="987" t="b">
        <v>0</v>
      </c>
      <c r="O18" s="987" t="b">
        <v>1</v>
      </c>
      <c r="P18" s="987" t="b">
        <v>0</v>
      </c>
      <c r="Q18" s="987" t="b">
        <v>0</v>
      </c>
      <c r="R18" s="987" t="b">
        <v>0</v>
      </c>
      <c r="S18" s="987" t="b">
        <v>0</v>
      </c>
      <c r="T18" s="987" t="b">
        <v>0</v>
      </c>
      <c r="U18" s="987" t="b">
        <v>0</v>
      </c>
      <c r="V18" s="987" t="b">
        <v>0</v>
      </c>
      <c r="W18" s="987" t="b">
        <v>0</v>
      </c>
      <c r="X18" s="987" t="b">
        <v>0</v>
      </c>
      <c r="Y18" s="987" t="b">
        <v>1</v>
      </c>
      <c r="Z18" s="987" t="b">
        <v>1</v>
      </c>
      <c r="AA18" s="987" t="b">
        <v>0</v>
      </c>
      <c r="AB18" s="987" t="s">
        <v>1522</v>
      </c>
    </row>
    <row r="19">
      <c r="A19" s="982" t="s">
        <v>1526</v>
      </c>
      <c r="B19" s="985" t="str">
        <f t="shared" si="1"/>
        <v>FALSETRUETRUETRUEFALSEFALSEFALSEFALSEFALSEFALSETRUEFALSEFALSEFALSEFALSEFALSEFALSEFALSEFALSEFALSETRUETRUEFALSE</v>
      </c>
      <c r="C19" s="986" t="str">
        <f>"/="</f>
        <v>/=</v>
      </c>
      <c r="D19" s="987" t="b">
        <v>1</v>
      </c>
      <c r="E19" s="987" t="b">
        <v>0</v>
      </c>
      <c r="F19" s="987" t="b">
        <v>1</v>
      </c>
      <c r="G19" s="987" t="b">
        <v>1</v>
      </c>
      <c r="H19" s="987" t="b">
        <v>1</v>
      </c>
      <c r="I19" s="987" t="b">
        <v>0</v>
      </c>
      <c r="J19" s="987" t="b">
        <v>0</v>
      </c>
      <c r="K19" s="987" t="b">
        <v>0</v>
      </c>
      <c r="L19" s="987" t="b">
        <v>0</v>
      </c>
      <c r="M19" s="987" t="b">
        <v>0</v>
      </c>
      <c r="N19" s="987" t="b">
        <v>0</v>
      </c>
      <c r="O19" s="987" t="b">
        <v>1</v>
      </c>
      <c r="P19" s="987" t="b">
        <v>0</v>
      </c>
      <c r="Q19" s="987" t="b">
        <v>0</v>
      </c>
      <c r="R19" s="987" t="b">
        <v>0</v>
      </c>
      <c r="S19" s="987" t="b">
        <v>0</v>
      </c>
      <c r="T19" s="987" t="b">
        <v>0</v>
      </c>
      <c r="U19" s="987" t="b">
        <v>0</v>
      </c>
      <c r="V19" s="987" t="b">
        <v>0</v>
      </c>
      <c r="W19" s="987" t="b">
        <v>0</v>
      </c>
      <c r="X19" s="987" t="b">
        <v>0</v>
      </c>
      <c r="Y19" s="987" t="b">
        <v>1</v>
      </c>
      <c r="Z19" s="987" t="b">
        <v>1</v>
      </c>
      <c r="AA19" s="987" t="b">
        <v>0</v>
      </c>
      <c r="AB19" s="987" t="s">
        <v>1522</v>
      </c>
    </row>
    <row r="20">
      <c r="A20" s="982" t="s">
        <v>1526</v>
      </c>
      <c r="B20" s="985" t="str">
        <f t="shared" si="1"/>
        <v>FALSETRUETRUETRUEFALSEFALSEFALSEFALSEFALSEFALSETRUEFALSEFALSEFALSEFALSEFALSEFALSEFALSEFALSEFALSETRUETRUEFALSE</v>
      </c>
      <c r="C20" s="986" t="str">
        <f>"%"</f>
        <v>%</v>
      </c>
      <c r="D20" s="987" t="b">
        <v>1</v>
      </c>
      <c r="E20" s="987" t="b">
        <v>0</v>
      </c>
      <c r="F20" s="987" t="b">
        <v>1</v>
      </c>
      <c r="G20" s="987" t="b">
        <v>1</v>
      </c>
      <c r="H20" s="987" t="b">
        <v>1</v>
      </c>
      <c r="I20" s="987" t="b">
        <v>0</v>
      </c>
      <c r="J20" s="987" t="b">
        <v>0</v>
      </c>
      <c r="K20" s="987" t="b">
        <v>0</v>
      </c>
      <c r="L20" s="987" t="b">
        <v>0</v>
      </c>
      <c r="M20" s="987" t="b">
        <v>0</v>
      </c>
      <c r="N20" s="987" t="b">
        <v>0</v>
      </c>
      <c r="O20" s="987" t="b">
        <v>1</v>
      </c>
      <c r="P20" s="987" t="b">
        <v>0</v>
      </c>
      <c r="Q20" s="987" t="b">
        <v>0</v>
      </c>
      <c r="R20" s="987" t="b">
        <v>0</v>
      </c>
      <c r="S20" s="987" t="b">
        <v>0</v>
      </c>
      <c r="T20" s="987" t="b">
        <v>0</v>
      </c>
      <c r="U20" s="987" t="b">
        <v>0</v>
      </c>
      <c r="V20" s="987" t="b">
        <v>0</v>
      </c>
      <c r="W20" s="987" t="b">
        <v>0</v>
      </c>
      <c r="X20" s="987" t="b">
        <v>0</v>
      </c>
      <c r="Y20" s="987" t="b">
        <v>1</v>
      </c>
      <c r="Z20" s="987" t="b">
        <v>1</v>
      </c>
      <c r="AA20" s="987" t="b">
        <v>0</v>
      </c>
      <c r="AB20" s="987" t="s">
        <v>1522</v>
      </c>
    </row>
    <row r="21">
      <c r="A21" s="982" t="s">
        <v>1526</v>
      </c>
      <c r="B21" s="985" t="str">
        <f t="shared" si="1"/>
        <v>FALSETRUETRUETRUEFALSEFALSEFALSEFALSEFALSEFALSETRUEFALSEFALSEFALSEFALSEFALSEFALSEFALSEFALSEFALSETRUETRUEFALSE</v>
      </c>
      <c r="C21" s="986" t="str">
        <f>"%="</f>
        <v>%=</v>
      </c>
      <c r="D21" s="987" t="b">
        <v>1</v>
      </c>
      <c r="E21" s="987" t="b">
        <v>0</v>
      </c>
      <c r="F21" s="987" t="b">
        <v>1</v>
      </c>
      <c r="G21" s="987" t="b">
        <v>1</v>
      </c>
      <c r="H21" s="987" t="b">
        <v>1</v>
      </c>
      <c r="I21" s="987" t="b">
        <v>0</v>
      </c>
      <c r="J21" s="987" t="b">
        <v>0</v>
      </c>
      <c r="K21" s="987" t="b">
        <v>0</v>
      </c>
      <c r="L21" s="987" t="b">
        <v>0</v>
      </c>
      <c r="M21" s="987" t="b">
        <v>0</v>
      </c>
      <c r="N21" s="987" t="b">
        <v>0</v>
      </c>
      <c r="O21" s="987" t="b">
        <v>1</v>
      </c>
      <c r="P21" s="987" t="b">
        <v>0</v>
      </c>
      <c r="Q21" s="987" t="b">
        <v>0</v>
      </c>
      <c r="R21" s="987" t="b">
        <v>0</v>
      </c>
      <c r="S21" s="987" t="b">
        <v>0</v>
      </c>
      <c r="T21" s="987" t="b">
        <v>0</v>
      </c>
      <c r="U21" s="987" t="b">
        <v>0</v>
      </c>
      <c r="V21" s="987" t="b">
        <v>0</v>
      </c>
      <c r="W21" s="987" t="b">
        <v>0</v>
      </c>
      <c r="X21" s="987" t="b">
        <v>0</v>
      </c>
      <c r="Y21" s="987" t="b">
        <v>1</v>
      </c>
      <c r="Z21" s="987" t="b">
        <v>1</v>
      </c>
      <c r="AA21" s="987" t="b">
        <v>0</v>
      </c>
      <c r="AB21" s="987" t="s">
        <v>1522</v>
      </c>
    </row>
    <row r="22">
      <c r="A22" s="982" t="s">
        <v>1526</v>
      </c>
      <c r="B22" s="985" t="str">
        <f t="shared" si="1"/>
        <v>FALSETRUETRUETRUEFALSEFALSEFALSEFALSEFALSEFALSETRUEFALSEFALSEFALSEFALSEFALSEFALSEFALSEFALSEFALSETRUETRUEFALSE</v>
      </c>
      <c r="C22" s="986" t="str">
        <f>"+"</f>
        <v>+</v>
      </c>
      <c r="D22" s="987" t="b">
        <v>1</v>
      </c>
      <c r="E22" s="987" t="b">
        <v>0</v>
      </c>
      <c r="F22" s="987" t="b">
        <v>1</v>
      </c>
      <c r="G22" s="987" t="b">
        <v>1</v>
      </c>
      <c r="H22" s="987" t="b">
        <v>1</v>
      </c>
      <c r="I22" s="987" t="b">
        <v>0</v>
      </c>
      <c r="J22" s="987" t="b">
        <v>0</v>
      </c>
      <c r="K22" s="987" t="b">
        <v>0</v>
      </c>
      <c r="L22" s="987" t="b">
        <v>0</v>
      </c>
      <c r="M22" s="987" t="b">
        <v>0</v>
      </c>
      <c r="N22" s="987" t="b">
        <v>0</v>
      </c>
      <c r="O22" s="987" t="b">
        <v>1</v>
      </c>
      <c r="P22" s="987" t="b">
        <v>0</v>
      </c>
      <c r="Q22" s="987" t="b">
        <v>0</v>
      </c>
      <c r="R22" s="987" t="b">
        <v>0</v>
      </c>
      <c r="S22" s="987" t="b">
        <v>0</v>
      </c>
      <c r="T22" s="987" t="b">
        <v>0</v>
      </c>
      <c r="U22" s="987" t="b">
        <v>0</v>
      </c>
      <c r="V22" s="987" t="b">
        <v>0</v>
      </c>
      <c r="W22" s="987" t="b">
        <v>0</v>
      </c>
      <c r="X22" s="987" t="b">
        <v>0</v>
      </c>
      <c r="Y22" s="987" t="b">
        <v>1</v>
      </c>
      <c r="Z22" s="987" t="b">
        <v>1</v>
      </c>
      <c r="AA22" s="987" t="b">
        <v>0</v>
      </c>
      <c r="AB22" s="987" t="s">
        <v>1522</v>
      </c>
    </row>
    <row r="23">
      <c r="A23" s="982" t="s">
        <v>1526</v>
      </c>
      <c r="B23" s="985" t="str">
        <f t="shared" si="1"/>
        <v>FALSETRUETRUETRUEFALSEFALSEFALSEFALSEFALSEFALSETRUEFALSEFALSEFALSEFALSEFALSEFALSEFALSEFALSEFALSETRUETRUEFALSE</v>
      </c>
      <c r="C23" s="986" t="str">
        <f>"+="</f>
        <v>+=</v>
      </c>
      <c r="D23" s="987" t="b">
        <v>1</v>
      </c>
      <c r="E23" s="987" t="b">
        <v>0</v>
      </c>
      <c r="F23" s="987" t="b">
        <v>1</v>
      </c>
      <c r="G23" s="987" t="b">
        <v>1</v>
      </c>
      <c r="H23" s="987" t="b">
        <v>1</v>
      </c>
      <c r="I23" s="987" t="b">
        <v>0</v>
      </c>
      <c r="J23" s="987" t="b">
        <v>0</v>
      </c>
      <c r="K23" s="987" t="b">
        <v>0</v>
      </c>
      <c r="L23" s="987" t="b">
        <v>0</v>
      </c>
      <c r="M23" s="987" t="b">
        <v>0</v>
      </c>
      <c r="N23" s="987" t="b">
        <v>0</v>
      </c>
      <c r="O23" s="987" t="b">
        <v>1</v>
      </c>
      <c r="P23" s="987" t="b">
        <v>0</v>
      </c>
      <c r="Q23" s="987" t="b">
        <v>0</v>
      </c>
      <c r="R23" s="987" t="b">
        <v>0</v>
      </c>
      <c r="S23" s="987" t="b">
        <v>0</v>
      </c>
      <c r="T23" s="987" t="b">
        <v>0</v>
      </c>
      <c r="U23" s="987" t="b">
        <v>0</v>
      </c>
      <c r="V23" s="987" t="b">
        <v>0</v>
      </c>
      <c r="W23" s="987" t="b">
        <v>0</v>
      </c>
      <c r="X23" s="987" t="b">
        <v>0</v>
      </c>
      <c r="Y23" s="987" t="b">
        <v>1</v>
      </c>
      <c r="Z23" s="987" t="b">
        <v>1</v>
      </c>
      <c r="AA23" s="987" t="b">
        <v>0</v>
      </c>
      <c r="AB23" s="987" t="s">
        <v>1522</v>
      </c>
    </row>
    <row r="24">
      <c r="A24" s="982" t="s">
        <v>1526</v>
      </c>
      <c r="B24" s="985" t="str">
        <f t="shared" si="1"/>
        <v>FALSETRUETRUETRUEFALSEFALSEFALSEFALSEFALSEFALSETRUEFALSEFALSEFALSEFALSEFALSEFALSEFALSEFALSEFALSETRUETRUEFALSE</v>
      </c>
      <c r="C24" s="986" t="str">
        <f>"&lt;"</f>
        <v>&lt;</v>
      </c>
      <c r="D24" s="987" t="b">
        <v>1</v>
      </c>
      <c r="E24" s="987" t="b">
        <v>0</v>
      </c>
      <c r="F24" s="987" t="b">
        <v>1</v>
      </c>
      <c r="G24" s="987" t="b">
        <v>1</v>
      </c>
      <c r="H24" s="987" t="b">
        <v>1</v>
      </c>
      <c r="I24" s="987" t="b">
        <v>0</v>
      </c>
      <c r="J24" s="987" t="b">
        <v>0</v>
      </c>
      <c r="K24" s="987" t="b">
        <v>0</v>
      </c>
      <c r="L24" s="987" t="b">
        <v>0</v>
      </c>
      <c r="M24" s="987" t="b">
        <v>0</v>
      </c>
      <c r="N24" s="987" t="b">
        <v>0</v>
      </c>
      <c r="O24" s="987" t="b">
        <v>1</v>
      </c>
      <c r="P24" s="987" t="b">
        <v>0</v>
      </c>
      <c r="Q24" s="987" t="b">
        <v>0</v>
      </c>
      <c r="R24" s="987" t="b">
        <v>0</v>
      </c>
      <c r="S24" s="987" t="b">
        <v>0</v>
      </c>
      <c r="T24" s="987" t="b">
        <v>0</v>
      </c>
      <c r="U24" s="987" t="b">
        <v>0</v>
      </c>
      <c r="V24" s="987" t="b">
        <v>0</v>
      </c>
      <c r="W24" s="987" t="b">
        <v>0</v>
      </c>
      <c r="X24" s="987" t="b">
        <v>0</v>
      </c>
      <c r="Y24" s="987" t="b">
        <v>1</v>
      </c>
      <c r="Z24" s="987" t="b">
        <v>1</v>
      </c>
      <c r="AA24" s="987" t="b">
        <v>0</v>
      </c>
      <c r="AB24" s="987" t="s">
        <v>1522</v>
      </c>
    </row>
    <row r="25">
      <c r="A25" s="982" t="s">
        <v>1526</v>
      </c>
      <c r="B25" s="985" t="str">
        <f t="shared" si="1"/>
        <v>FALSETRUETRUETRUEFALSEFALSEFALSEFALSEFALSEFALSETRUEFALSEFALSEFALSEFALSEFALSEFALSEFALSEFALSEFALSETRUETRUEFALSE</v>
      </c>
      <c r="C25" s="986" t="str">
        <f>"&lt;="</f>
        <v>&lt;=</v>
      </c>
      <c r="D25" s="987" t="b">
        <v>1</v>
      </c>
      <c r="E25" s="987" t="b">
        <v>0</v>
      </c>
      <c r="F25" s="987" t="b">
        <v>1</v>
      </c>
      <c r="G25" s="987" t="b">
        <v>1</v>
      </c>
      <c r="H25" s="987" t="b">
        <v>1</v>
      </c>
      <c r="I25" s="987" t="b">
        <v>0</v>
      </c>
      <c r="J25" s="987" t="b">
        <v>0</v>
      </c>
      <c r="K25" s="987" t="b">
        <v>0</v>
      </c>
      <c r="L25" s="987" t="b">
        <v>0</v>
      </c>
      <c r="M25" s="987" t="b">
        <v>0</v>
      </c>
      <c r="N25" s="987" t="b">
        <v>0</v>
      </c>
      <c r="O25" s="987" t="b">
        <v>1</v>
      </c>
      <c r="P25" s="987" t="b">
        <v>0</v>
      </c>
      <c r="Q25" s="987" t="b">
        <v>0</v>
      </c>
      <c r="R25" s="987" t="b">
        <v>0</v>
      </c>
      <c r="S25" s="987" t="b">
        <v>0</v>
      </c>
      <c r="T25" s="987" t="b">
        <v>0</v>
      </c>
      <c r="U25" s="987" t="b">
        <v>0</v>
      </c>
      <c r="V25" s="987" t="b">
        <v>0</v>
      </c>
      <c r="W25" s="987" t="b">
        <v>0</v>
      </c>
      <c r="X25" s="987" t="b">
        <v>0</v>
      </c>
      <c r="Y25" s="987" t="b">
        <v>1</v>
      </c>
      <c r="Z25" s="987" t="b">
        <v>1</v>
      </c>
      <c r="AA25" s="987" t="b">
        <v>0</v>
      </c>
      <c r="AB25" s="987" t="s">
        <v>1522</v>
      </c>
    </row>
    <row r="26">
      <c r="A26" s="982" t="s">
        <v>1526</v>
      </c>
      <c r="B26" s="985" t="str">
        <f t="shared" si="1"/>
        <v>FALSETRUETRUETRUEFALSEFALSEFALSEFALSEFALSEFALSETRUEFALSEFALSEFALSEFALSEFALSEFALSEFALSEFALSEFALSETRUETRUEFALSE</v>
      </c>
      <c r="C26" s="986" t="str">
        <f>"=="</f>
        <v>==</v>
      </c>
      <c r="D26" s="987" t="b">
        <v>1</v>
      </c>
      <c r="E26" s="987" t="b">
        <v>0</v>
      </c>
      <c r="F26" s="987" t="b">
        <v>1</v>
      </c>
      <c r="G26" s="987" t="b">
        <v>1</v>
      </c>
      <c r="H26" s="987" t="b">
        <v>1</v>
      </c>
      <c r="I26" s="987" t="b">
        <v>0</v>
      </c>
      <c r="J26" s="987" t="b">
        <v>0</v>
      </c>
      <c r="K26" s="987" t="b">
        <v>0</v>
      </c>
      <c r="L26" s="987" t="b">
        <v>0</v>
      </c>
      <c r="M26" s="987" t="b">
        <v>0</v>
      </c>
      <c r="N26" s="987" t="b">
        <v>0</v>
      </c>
      <c r="O26" s="987" t="b">
        <v>1</v>
      </c>
      <c r="P26" s="987" t="b">
        <v>0</v>
      </c>
      <c r="Q26" s="987" t="b">
        <v>0</v>
      </c>
      <c r="R26" s="987" t="b">
        <v>0</v>
      </c>
      <c r="S26" s="987" t="b">
        <v>0</v>
      </c>
      <c r="T26" s="987" t="b">
        <v>0</v>
      </c>
      <c r="U26" s="987" t="b">
        <v>0</v>
      </c>
      <c r="V26" s="987" t="b">
        <v>0</v>
      </c>
      <c r="W26" s="987" t="b">
        <v>0</v>
      </c>
      <c r="X26" s="987" t="b">
        <v>0</v>
      </c>
      <c r="Y26" s="987" t="b">
        <v>1</v>
      </c>
      <c r="Z26" s="987" t="b">
        <v>1</v>
      </c>
      <c r="AA26" s="987" t="b">
        <v>0</v>
      </c>
      <c r="AB26" s="987" t="s">
        <v>1522</v>
      </c>
    </row>
    <row r="27">
      <c r="A27" s="982" t="s">
        <v>1526</v>
      </c>
      <c r="B27" s="985" t="str">
        <f t="shared" si="1"/>
        <v>FALSETRUETRUETRUEFALSEFALSEFALSEFALSEFALSEFALSETRUEFALSEFALSEFALSEFALSEFALSEFALSEFALSEFALSEFALSETRUETRUEFALSE</v>
      </c>
      <c r="C27" s="986" t="str">
        <f>"&gt;"</f>
        <v>&gt;</v>
      </c>
      <c r="D27" s="987" t="b">
        <v>1</v>
      </c>
      <c r="E27" s="987" t="b">
        <v>0</v>
      </c>
      <c r="F27" s="987" t="b">
        <v>1</v>
      </c>
      <c r="G27" s="987" t="b">
        <v>1</v>
      </c>
      <c r="H27" s="987" t="b">
        <v>1</v>
      </c>
      <c r="I27" s="987" t="b">
        <v>0</v>
      </c>
      <c r="J27" s="987" t="b">
        <v>0</v>
      </c>
      <c r="K27" s="987" t="b">
        <v>0</v>
      </c>
      <c r="L27" s="987" t="b">
        <v>0</v>
      </c>
      <c r="M27" s="987" t="b">
        <v>0</v>
      </c>
      <c r="N27" s="987" t="b">
        <v>0</v>
      </c>
      <c r="O27" s="987" t="b">
        <v>1</v>
      </c>
      <c r="P27" s="987" t="b">
        <v>0</v>
      </c>
      <c r="Q27" s="987" t="b">
        <v>0</v>
      </c>
      <c r="R27" s="987" t="b">
        <v>0</v>
      </c>
      <c r="S27" s="987" t="b">
        <v>0</v>
      </c>
      <c r="T27" s="987" t="b">
        <v>0</v>
      </c>
      <c r="U27" s="987" t="b">
        <v>0</v>
      </c>
      <c r="V27" s="987" t="b">
        <v>0</v>
      </c>
      <c r="W27" s="987" t="b">
        <v>0</v>
      </c>
      <c r="X27" s="987" t="b">
        <v>0</v>
      </c>
      <c r="Y27" s="987" t="b">
        <v>1</v>
      </c>
      <c r="Z27" s="987" t="b">
        <v>1</v>
      </c>
      <c r="AA27" s="987" t="b">
        <v>0</v>
      </c>
      <c r="AB27" s="987" t="s">
        <v>1522</v>
      </c>
    </row>
    <row r="28">
      <c r="A28" s="982" t="s">
        <v>1526</v>
      </c>
      <c r="B28" s="985" t="str">
        <f t="shared" si="1"/>
        <v>FALSETRUETRUETRUEFALSEFALSEFALSEFALSEFALSEFALSETRUEFALSEFALSEFALSEFALSEFALSEFALSEFALSEFALSEFALSETRUETRUEFALSE</v>
      </c>
      <c r="C28" s="986" t="str">
        <f>"&gt;="</f>
        <v>&gt;=</v>
      </c>
      <c r="D28" s="987" t="b">
        <v>1</v>
      </c>
      <c r="E28" s="987" t="b">
        <v>0</v>
      </c>
      <c r="F28" s="987" t="b">
        <v>1</v>
      </c>
      <c r="G28" s="987" t="b">
        <v>1</v>
      </c>
      <c r="H28" s="987" t="b">
        <v>1</v>
      </c>
      <c r="I28" s="987" t="b">
        <v>0</v>
      </c>
      <c r="J28" s="987" t="b">
        <v>0</v>
      </c>
      <c r="K28" s="987" t="b">
        <v>0</v>
      </c>
      <c r="L28" s="987" t="b">
        <v>0</v>
      </c>
      <c r="M28" s="987" t="b">
        <v>0</v>
      </c>
      <c r="N28" s="987" t="b">
        <v>0</v>
      </c>
      <c r="O28" s="987" t="b">
        <v>1</v>
      </c>
      <c r="P28" s="987" t="b">
        <v>0</v>
      </c>
      <c r="Q28" s="987" t="b">
        <v>0</v>
      </c>
      <c r="R28" s="987" t="b">
        <v>0</v>
      </c>
      <c r="S28" s="987" t="b">
        <v>0</v>
      </c>
      <c r="T28" s="987" t="b">
        <v>0</v>
      </c>
      <c r="U28" s="987" t="b">
        <v>0</v>
      </c>
      <c r="V28" s="987" t="b">
        <v>0</v>
      </c>
      <c r="W28" s="987" t="b">
        <v>0</v>
      </c>
      <c r="X28" s="987" t="b">
        <v>0</v>
      </c>
      <c r="Y28" s="987" t="b">
        <v>1</v>
      </c>
      <c r="Z28" s="987" t="b">
        <v>1</v>
      </c>
      <c r="AA28" s="987" t="b">
        <v>0</v>
      </c>
      <c r="AB28" s="987" t="s">
        <v>1522</v>
      </c>
    </row>
    <row r="29">
      <c r="A29" s="982" t="s">
        <v>1527</v>
      </c>
      <c r="B29" s="985" t="str">
        <f t="shared" si="1"/>
        <v>FALSETRUETRUETRUEFALSETRUEFALSEFALSEFALSEFALSETRUEFALSEFALSEFALSEFALSEFALSEFALSEFALSEFALSEFALSETRUETRUEFALSE</v>
      </c>
      <c r="C29" s="989" t="str">
        <f>"="</f>
        <v>=</v>
      </c>
      <c r="D29" s="990" t="b">
        <v>1</v>
      </c>
      <c r="E29" s="990" t="b">
        <v>0</v>
      </c>
      <c r="F29" s="990" t="b">
        <v>1</v>
      </c>
      <c r="G29" s="990" t="b">
        <v>1</v>
      </c>
      <c r="H29" s="990" t="b">
        <v>1</v>
      </c>
      <c r="I29" s="990" t="b">
        <v>0</v>
      </c>
      <c r="J29" s="990" t="b">
        <v>1</v>
      </c>
      <c r="K29" s="990" t="b">
        <v>0</v>
      </c>
      <c r="L29" s="990" t="b">
        <v>0</v>
      </c>
      <c r="M29" s="990" t="b">
        <v>0</v>
      </c>
      <c r="N29" s="990" t="b">
        <v>0</v>
      </c>
      <c r="O29" s="990" t="b">
        <v>1</v>
      </c>
      <c r="P29" s="990" t="b">
        <v>0</v>
      </c>
      <c r="Q29" s="990" t="b">
        <v>0</v>
      </c>
      <c r="R29" s="990" t="b">
        <v>0</v>
      </c>
      <c r="S29" s="990" t="b">
        <v>0</v>
      </c>
      <c r="T29" s="990" t="b">
        <v>0</v>
      </c>
      <c r="U29" s="990" t="b">
        <v>0</v>
      </c>
      <c r="V29" s="990" t="b">
        <v>0</v>
      </c>
      <c r="W29" s="990" t="b">
        <v>0</v>
      </c>
      <c r="X29" s="990" t="b">
        <v>0</v>
      </c>
      <c r="Y29" s="990" t="b">
        <v>1</v>
      </c>
      <c r="Z29" s="990" t="b">
        <v>1</v>
      </c>
      <c r="AA29" s="990" t="b">
        <v>0</v>
      </c>
      <c r="AB29" s="990" t="s">
        <v>1528</v>
      </c>
    </row>
    <row r="30">
      <c r="A30" s="982" t="s">
        <v>1529</v>
      </c>
      <c r="B30" s="985" t="str">
        <f t="shared" si="1"/>
        <v>FALSETRUETRUETRUEFALSEFALSEFALSEFALSEFALSEFALSEFALSEFALSEFALSEFALSEFALSEFALSEFALSEFALSEFALSEFALSETRUETRUEFALSE</v>
      </c>
      <c r="C30" s="989" t="str">
        <f>"-"</f>
        <v>-</v>
      </c>
      <c r="D30" s="990" t="b">
        <v>1</v>
      </c>
      <c r="E30" s="990" t="b">
        <v>0</v>
      </c>
      <c r="F30" s="990" t="b">
        <v>1</v>
      </c>
      <c r="G30" s="990" t="b">
        <v>1</v>
      </c>
      <c r="H30" s="990" t="b">
        <v>1</v>
      </c>
      <c r="I30" s="990" t="b">
        <v>0</v>
      </c>
      <c r="J30" s="990" t="b">
        <v>0</v>
      </c>
      <c r="K30" s="990" t="b">
        <v>0</v>
      </c>
      <c r="L30" s="990" t="b">
        <v>0</v>
      </c>
      <c r="M30" s="990" t="b">
        <v>0</v>
      </c>
      <c r="N30" s="990" t="b">
        <v>0</v>
      </c>
      <c r="O30" s="990" t="b">
        <v>0</v>
      </c>
      <c r="P30" s="990" t="b">
        <v>0</v>
      </c>
      <c r="Q30" s="990" t="b">
        <v>0</v>
      </c>
      <c r="R30" s="990" t="b">
        <v>0</v>
      </c>
      <c r="S30" s="990" t="b">
        <v>0</v>
      </c>
      <c r="T30" s="990" t="b">
        <v>0</v>
      </c>
      <c r="U30" s="990" t="b">
        <v>0</v>
      </c>
      <c r="V30" s="990" t="b">
        <v>0</v>
      </c>
      <c r="W30" s="990" t="b">
        <v>0</v>
      </c>
      <c r="X30" s="990" t="b">
        <v>0</v>
      </c>
      <c r="Y30" s="990" t="b">
        <v>1</v>
      </c>
      <c r="Z30" s="990" t="b">
        <v>1</v>
      </c>
      <c r="AA30" s="990" t="b">
        <v>0</v>
      </c>
      <c r="AB30" s="990" t="s">
        <v>1528</v>
      </c>
    </row>
    <row r="31">
      <c r="A31" s="982" t="s">
        <v>1530</v>
      </c>
      <c r="B31" s="985" t="str">
        <f t="shared" si="1"/>
        <v>FALSETRUEFALSETRUEFALSEFALSEFALSEFALSEFALSEFALSEFALSEFALSEFALSEFALSEFALSEFALSEFALSEFALSEFALSEFALSEFALSEFALSEFALSE</v>
      </c>
      <c r="C31" s="983" t="s">
        <v>885</v>
      </c>
      <c r="D31" s="982" t="b">
        <v>1</v>
      </c>
      <c r="E31" s="991" t="b">
        <v>0</v>
      </c>
      <c r="F31" s="991" t="b">
        <v>1</v>
      </c>
      <c r="G31" s="991" t="b">
        <v>0</v>
      </c>
      <c r="H31" s="982" t="b">
        <v>1</v>
      </c>
      <c r="I31" s="991" t="b">
        <v>0</v>
      </c>
      <c r="J31" s="991" t="b">
        <v>0</v>
      </c>
      <c r="K31" s="991" t="b">
        <v>0</v>
      </c>
      <c r="L31" s="991" t="b">
        <v>0</v>
      </c>
      <c r="M31" s="991" t="b">
        <v>0</v>
      </c>
      <c r="N31" s="991" t="b">
        <v>0</v>
      </c>
      <c r="O31" s="991" t="b">
        <v>0</v>
      </c>
      <c r="P31" s="991" t="b">
        <v>0</v>
      </c>
      <c r="Q31" s="991" t="b">
        <v>0</v>
      </c>
      <c r="R31" s="991" t="b">
        <v>0</v>
      </c>
      <c r="S31" s="991" t="b">
        <v>0</v>
      </c>
      <c r="T31" s="991" t="b">
        <v>0</v>
      </c>
      <c r="U31" s="991" t="b">
        <v>0</v>
      </c>
      <c r="V31" s="991" t="b">
        <v>0</v>
      </c>
      <c r="W31" s="991" t="b">
        <v>0</v>
      </c>
      <c r="X31" s="991" t="b">
        <v>0</v>
      </c>
      <c r="Y31" s="991" t="b">
        <v>0</v>
      </c>
      <c r="Z31" s="991" t="b">
        <v>0</v>
      </c>
      <c r="AA31" s="991" t="b">
        <v>0</v>
      </c>
      <c r="AB31" s="982" t="s">
        <v>109</v>
      </c>
    </row>
    <row r="32">
      <c r="A32" s="982" t="s">
        <v>1530</v>
      </c>
      <c r="B32" s="985" t="str">
        <f t="shared" si="1"/>
        <v>FALSETRUEFALSETRUEFALSEFALSEFALSEFALSEFALSEFALSEFALSEFALSEFALSEFALSEFALSEFALSEFALSEFALSEFALSEFALSEFALSEFALSEFALSE</v>
      </c>
      <c r="C32" s="983" t="s">
        <v>936</v>
      </c>
      <c r="D32" s="982" t="b">
        <v>1</v>
      </c>
      <c r="E32" s="991" t="b">
        <v>0</v>
      </c>
      <c r="F32" s="991" t="b">
        <v>1</v>
      </c>
      <c r="G32" s="991" t="b">
        <v>0</v>
      </c>
      <c r="H32" s="982" t="b">
        <v>1</v>
      </c>
      <c r="I32" s="991" t="b">
        <v>0</v>
      </c>
      <c r="J32" s="991" t="b">
        <v>0</v>
      </c>
      <c r="K32" s="991" t="b">
        <v>0</v>
      </c>
      <c r="L32" s="991" t="b">
        <v>0</v>
      </c>
      <c r="M32" s="991" t="b">
        <v>0</v>
      </c>
      <c r="N32" s="991" t="b">
        <v>0</v>
      </c>
      <c r="O32" s="991" t="b">
        <v>0</v>
      </c>
      <c r="P32" s="991" t="b">
        <v>0</v>
      </c>
      <c r="Q32" s="991" t="b">
        <v>0</v>
      </c>
      <c r="R32" s="991" t="b">
        <v>0</v>
      </c>
      <c r="S32" s="991" t="b">
        <v>0</v>
      </c>
      <c r="T32" s="991" t="b">
        <v>0</v>
      </c>
      <c r="U32" s="991" t="b">
        <v>0</v>
      </c>
      <c r="V32" s="991" t="b">
        <v>0</v>
      </c>
      <c r="W32" s="991" t="b">
        <v>0</v>
      </c>
      <c r="X32" s="991" t="b">
        <v>0</v>
      </c>
      <c r="Y32" s="991" t="b">
        <v>0</v>
      </c>
      <c r="Z32" s="991" t="b">
        <v>0</v>
      </c>
      <c r="AA32" s="991" t="b">
        <v>0</v>
      </c>
      <c r="AB32" s="982" t="s">
        <v>108</v>
      </c>
    </row>
    <row r="33">
      <c r="A33" s="982" t="s">
        <v>1530</v>
      </c>
      <c r="B33" s="985" t="str">
        <f t="shared" si="1"/>
        <v>FALSETRUEFALSETRUEFALSEFALSEFALSEFALSEFALSEFALSEFALSEFALSEFALSEFALSEFALSEFALSEFALSEFALSEFALSEFALSEFALSEFALSEFALSE</v>
      </c>
      <c r="C33" s="983" t="s">
        <v>937</v>
      </c>
      <c r="D33" s="982" t="b">
        <v>1</v>
      </c>
      <c r="E33" s="991" t="b">
        <v>0</v>
      </c>
      <c r="F33" s="991" t="b">
        <v>1</v>
      </c>
      <c r="G33" s="991" t="b">
        <v>0</v>
      </c>
      <c r="H33" s="982" t="b">
        <v>1</v>
      </c>
      <c r="I33" s="991" t="b">
        <v>0</v>
      </c>
      <c r="J33" s="991" t="b">
        <v>0</v>
      </c>
      <c r="K33" s="991" t="b">
        <v>0</v>
      </c>
      <c r="L33" s="982" t="b">
        <v>0</v>
      </c>
      <c r="M33" s="991" t="b">
        <v>0</v>
      </c>
      <c r="N33" s="991" t="b">
        <v>0</v>
      </c>
      <c r="O33" s="991" t="b">
        <v>0</v>
      </c>
      <c r="P33" s="991" t="b">
        <v>0</v>
      </c>
      <c r="Q33" s="991" t="b">
        <v>0</v>
      </c>
      <c r="R33" s="991" t="b">
        <v>0</v>
      </c>
      <c r="S33" s="991" t="b">
        <v>0</v>
      </c>
      <c r="T33" s="991" t="b">
        <v>0</v>
      </c>
      <c r="U33" s="991" t="b">
        <v>0</v>
      </c>
      <c r="V33" s="991" t="b">
        <v>0</v>
      </c>
      <c r="W33" s="991" t="b">
        <v>0</v>
      </c>
      <c r="X33" s="991" t="b">
        <v>0</v>
      </c>
      <c r="Y33" s="991" t="b">
        <v>0</v>
      </c>
      <c r="Z33" s="991" t="b">
        <v>0</v>
      </c>
      <c r="AA33" s="991" t="b">
        <v>0</v>
      </c>
      <c r="AB33" s="982" t="s">
        <v>105</v>
      </c>
    </row>
    <row r="34">
      <c r="A34" s="982" t="s">
        <v>1531</v>
      </c>
      <c r="B34" s="985" t="str">
        <f t="shared" si="1"/>
        <v>FALSETRUEFALSEFALSEFALSETRUEFALSEFALSEFALSEFALSEFALSEFALSEFALSEFALSEFALSEFALSEFALSEFALSEFALSEFALSEFALSEFALSEFALSE</v>
      </c>
      <c r="C34" s="992" t="s">
        <v>842</v>
      </c>
      <c r="D34" s="993" t="b">
        <v>1</v>
      </c>
      <c r="E34" s="993" t="b">
        <v>0</v>
      </c>
      <c r="F34" s="993" t="b">
        <v>1</v>
      </c>
      <c r="G34" s="993" t="b">
        <v>0</v>
      </c>
      <c r="H34" s="993" t="b">
        <v>0</v>
      </c>
      <c r="I34" s="993" t="b">
        <v>0</v>
      </c>
      <c r="J34" s="993" t="b">
        <v>1</v>
      </c>
      <c r="K34" s="993" t="b">
        <v>0</v>
      </c>
      <c r="L34" s="993" t="b">
        <v>0</v>
      </c>
      <c r="M34" s="993" t="b">
        <v>0</v>
      </c>
      <c r="N34" s="993" t="b">
        <v>0</v>
      </c>
      <c r="O34" s="993" t="b">
        <v>0</v>
      </c>
      <c r="P34" s="993" t="b">
        <v>0</v>
      </c>
      <c r="Q34" s="993" t="b">
        <v>0</v>
      </c>
      <c r="R34" s="993" t="b">
        <v>0</v>
      </c>
      <c r="S34" s="993" t="b">
        <v>0</v>
      </c>
      <c r="T34" s="993" t="b">
        <v>0</v>
      </c>
      <c r="U34" s="993" t="b">
        <v>0</v>
      </c>
      <c r="V34" s="993" t="b">
        <v>0</v>
      </c>
      <c r="W34" s="993" t="b">
        <v>0</v>
      </c>
      <c r="X34" s="993" t="b">
        <v>0</v>
      </c>
      <c r="Y34" s="993" t="b">
        <v>0</v>
      </c>
      <c r="Z34" s="993" t="b">
        <v>0</v>
      </c>
      <c r="AA34" s="993" t="b">
        <v>0</v>
      </c>
      <c r="AB34" s="993" t="s">
        <v>1532</v>
      </c>
    </row>
    <row r="35">
      <c r="A35" s="982" t="s">
        <v>1531</v>
      </c>
      <c r="B35" s="985" t="str">
        <f t="shared" si="1"/>
        <v>FALSETRUEFALSEFALSEFALSETRUEFALSEFALSEFALSEFALSEFALSEFALSEFALSEFALSEFALSEFALSEFALSEFALSEFALSEFALSEFALSEFALSEFALSE</v>
      </c>
      <c r="C35" s="992" t="s">
        <v>846</v>
      </c>
      <c r="D35" s="993" t="b">
        <v>1</v>
      </c>
      <c r="E35" s="993" t="b">
        <v>0</v>
      </c>
      <c r="F35" s="993" t="b">
        <v>1</v>
      </c>
      <c r="G35" s="993" t="b">
        <v>0</v>
      </c>
      <c r="H35" s="993" t="b">
        <v>0</v>
      </c>
      <c r="I35" s="993" t="b">
        <v>0</v>
      </c>
      <c r="J35" s="993" t="b">
        <v>1</v>
      </c>
      <c r="K35" s="993" t="b">
        <v>0</v>
      </c>
      <c r="L35" s="993" t="b">
        <v>0</v>
      </c>
      <c r="M35" s="993" t="b">
        <v>0</v>
      </c>
      <c r="N35" s="993" t="b">
        <v>0</v>
      </c>
      <c r="O35" s="993" t="b">
        <v>0</v>
      </c>
      <c r="P35" s="993" t="b">
        <v>0</v>
      </c>
      <c r="Q35" s="993" t="b">
        <v>0</v>
      </c>
      <c r="R35" s="993" t="b">
        <v>0</v>
      </c>
      <c r="S35" s="993" t="b">
        <v>0</v>
      </c>
      <c r="T35" s="993" t="b">
        <v>0</v>
      </c>
      <c r="U35" s="993" t="b">
        <v>0</v>
      </c>
      <c r="V35" s="993" t="b">
        <v>0</v>
      </c>
      <c r="W35" s="993" t="b">
        <v>0</v>
      </c>
      <c r="X35" s="993" t="b">
        <v>0</v>
      </c>
      <c r="Y35" s="993" t="b">
        <v>0</v>
      </c>
      <c r="Z35" s="993" t="b">
        <v>0</v>
      </c>
      <c r="AA35" s="993" t="b">
        <v>0</v>
      </c>
      <c r="AB35" s="993" t="s">
        <v>1532</v>
      </c>
    </row>
    <row r="36">
      <c r="A36" s="982" t="s">
        <v>1531</v>
      </c>
      <c r="B36" s="985" t="str">
        <f t="shared" si="1"/>
        <v>FALSETRUEFALSEFALSEFALSETRUEFALSEFALSEFALSEFALSEFALSEFALSEFALSEFALSEFALSEFALSEFALSEFALSEFALSEFALSEFALSEFALSEFALSE</v>
      </c>
      <c r="C36" s="992" t="s">
        <v>840</v>
      </c>
      <c r="D36" s="993" t="b">
        <v>1</v>
      </c>
      <c r="E36" s="993" t="b">
        <v>0</v>
      </c>
      <c r="F36" s="993" t="b">
        <v>1</v>
      </c>
      <c r="G36" s="993" t="b">
        <v>0</v>
      </c>
      <c r="H36" s="993" t="b">
        <v>0</v>
      </c>
      <c r="I36" s="993" t="b">
        <v>0</v>
      </c>
      <c r="J36" s="993" t="b">
        <v>1</v>
      </c>
      <c r="K36" s="993" t="b">
        <v>0</v>
      </c>
      <c r="L36" s="993" t="b">
        <v>0</v>
      </c>
      <c r="M36" s="993" t="b">
        <v>0</v>
      </c>
      <c r="N36" s="993" t="b">
        <v>0</v>
      </c>
      <c r="O36" s="993" t="b">
        <v>0</v>
      </c>
      <c r="P36" s="993" t="b">
        <v>0</v>
      </c>
      <c r="Q36" s="993" t="b">
        <v>0</v>
      </c>
      <c r="R36" s="993" t="b">
        <v>0</v>
      </c>
      <c r="S36" s="993" t="b">
        <v>0</v>
      </c>
      <c r="T36" s="993" t="b">
        <v>0</v>
      </c>
      <c r="U36" s="993" t="b">
        <v>0</v>
      </c>
      <c r="V36" s="993" t="b">
        <v>0</v>
      </c>
      <c r="W36" s="993" t="b">
        <v>0</v>
      </c>
      <c r="X36" s="993" t="b">
        <v>0</v>
      </c>
      <c r="Y36" s="993" t="b">
        <v>0</v>
      </c>
      <c r="Z36" s="993" t="b">
        <v>0</v>
      </c>
      <c r="AA36" s="993" t="b">
        <v>0</v>
      </c>
      <c r="AB36" s="993" t="s">
        <v>1532</v>
      </c>
    </row>
    <row r="37">
      <c r="A37" s="982" t="s">
        <v>1531</v>
      </c>
      <c r="B37" s="985" t="str">
        <f t="shared" si="1"/>
        <v>FALSETRUEFALSEFALSEFALSETRUEFALSEFALSEFALSEFALSEFALSEFALSEFALSEFALSEFALSEFALSEFALSEFALSEFALSEFALSEFALSEFALSEFALSE</v>
      </c>
      <c r="C37" s="992" t="s">
        <v>844</v>
      </c>
      <c r="D37" s="993" t="b">
        <v>1</v>
      </c>
      <c r="E37" s="993" t="b">
        <v>0</v>
      </c>
      <c r="F37" s="993" t="b">
        <v>1</v>
      </c>
      <c r="G37" s="993" t="b">
        <v>0</v>
      </c>
      <c r="H37" s="993" t="b">
        <v>0</v>
      </c>
      <c r="I37" s="993" t="b">
        <v>0</v>
      </c>
      <c r="J37" s="993" t="b">
        <v>1</v>
      </c>
      <c r="K37" s="993" t="b">
        <v>0</v>
      </c>
      <c r="L37" s="993" t="b">
        <v>0</v>
      </c>
      <c r="M37" s="993" t="b">
        <v>0</v>
      </c>
      <c r="N37" s="993" t="b">
        <v>0</v>
      </c>
      <c r="O37" s="993" t="b">
        <v>0</v>
      </c>
      <c r="P37" s="993" t="b">
        <v>0</v>
      </c>
      <c r="Q37" s="993" t="b">
        <v>0</v>
      </c>
      <c r="R37" s="993" t="b">
        <v>0</v>
      </c>
      <c r="S37" s="993" t="b">
        <v>0</v>
      </c>
      <c r="T37" s="993" t="b">
        <v>0</v>
      </c>
      <c r="U37" s="993" t="b">
        <v>0</v>
      </c>
      <c r="V37" s="993" t="b">
        <v>0</v>
      </c>
      <c r="W37" s="993" t="b">
        <v>0</v>
      </c>
      <c r="X37" s="993" t="b">
        <v>0</v>
      </c>
      <c r="Y37" s="993" t="b">
        <v>0</v>
      </c>
      <c r="Z37" s="993" t="b">
        <v>0</v>
      </c>
      <c r="AA37" s="993" t="b">
        <v>0</v>
      </c>
      <c r="AB37" s="993" t="s">
        <v>1532</v>
      </c>
    </row>
    <row r="38">
      <c r="A38" s="982" t="s">
        <v>1531</v>
      </c>
      <c r="B38" s="985" t="str">
        <f t="shared" si="1"/>
        <v>FALSETRUEFALSEFALSEFALSETRUEFALSEFALSEFALSEFALSEFALSEFALSEFALSEFALSEFALSEFALSEFALSEFALSEFALSEFALSEFALSEFALSEFALSE</v>
      </c>
      <c r="C38" s="992" t="s">
        <v>999</v>
      </c>
      <c r="D38" s="993" t="b">
        <v>1</v>
      </c>
      <c r="E38" s="993" t="b">
        <v>0</v>
      </c>
      <c r="F38" s="993" t="b">
        <v>1</v>
      </c>
      <c r="G38" s="993" t="b">
        <v>0</v>
      </c>
      <c r="H38" s="993" t="b">
        <v>0</v>
      </c>
      <c r="I38" s="993" t="b">
        <v>0</v>
      </c>
      <c r="J38" s="993" t="b">
        <v>1</v>
      </c>
      <c r="K38" s="993" t="b">
        <v>0</v>
      </c>
      <c r="L38" s="993" t="b">
        <v>0</v>
      </c>
      <c r="M38" s="993" t="b">
        <v>0</v>
      </c>
      <c r="N38" s="993" t="b">
        <v>0</v>
      </c>
      <c r="O38" s="993" t="b">
        <v>0</v>
      </c>
      <c r="P38" s="993" t="b">
        <v>0</v>
      </c>
      <c r="Q38" s="993" t="b">
        <v>0</v>
      </c>
      <c r="R38" s="993" t="b">
        <v>0</v>
      </c>
      <c r="S38" s="993" t="b">
        <v>0</v>
      </c>
      <c r="T38" s="993" t="b">
        <v>0</v>
      </c>
      <c r="U38" s="993" t="b">
        <v>0</v>
      </c>
      <c r="V38" s="993" t="b">
        <v>0</v>
      </c>
      <c r="W38" s="993" t="b">
        <v>0</v>
      </c>
      <c r="X38" s="993" t="b">
        <v>0</v>
      </c>
      <c r="Y38" s="993" t="b">
        <v>0</v>
      </c>
      <c r="Z38" s="993" t="b">
        <v>0</v>
      </c>
      <c r="AA38" s="993" t="b">
        <v>0</v>
      </c>
      <c r="AB38" s="993" t="s">
        <v>1532</v>
      </c>
    </row>
    <row r="39">
      <c r="A39" s="982" t="s">
        <v>1530</v>
      </c>
      <c r="B39" s="985" t="str">
        <f t="shared" si="1"/>
        <v>FALSETRUEFALSETRUEFALSEFALSEFALSEFALSEFALSEFALSEFALSEFALSEFALSEFALSEFALSEFALSEFALSEFALSEFALSEFALSEFALSEFALSEFALSE</v>
      </c>
      <c r="C39" s="983" t="s">
        <v>838</v>
      </c>
      <c r="D39" s="982" t="b">
        <v>1</v>
      </c>
      <c r="E39" s="991" t="b">
        <v>0</v>
      </c>
      <c r="F39" s="991" t="b">
        <v>1</v>
      </c>
      <c r="G39" s="991" t="b">
        <v>0</v>
      </c>
      <c r="H39" s="982" t="b">
        <v>1</v>
      </c>
      <c r="I39" s="991" t="b">
        <v>0</v>
      </c>
      <c r="J39" s="991" t="b">
        <v>0</v>
      </c>
      <c r="K39" s="991" t="b">
        <v>0</v>
      </c>
      <c r="L39" s="991" t="b">
        <v>0</v>
      </c>
      <c r="M39" s="991" t="b">
        <v>0</v>
      </c>
      <c r="N39" s="991" t="b">
        <v>0</v>
      </c>
      <c r="O39" s="991" t="b">
        <v>0</v>
      </c>
      <c r="P39" s="991" t="b">
        <v>0</v>
      </c>
      <c r="Q39" s="991" t="b">
        <v>0</v>
      </c>
      <c r="R39" s="991" t="b">
        <v>0</v>
      </c>
      <c r="S39" s="991" t="b">
        <v>0</v>
      </c>
      <c r="T39" s="991" t="b">
        <v>0</v>
      </c>
      <c r="U39" s="991" t="b">
        <v>0</v>
      </c>
      <c r="V39" s="991" t="b">
        <v>0</v>
      </c>
      <c r="W39" s="991" t="b">
        <v>0</v>
      </c>
      <c r="X39" s="991" t="b">
        <v>0</v>
      </c>
      <c r="Y39" s="991" t="b">
        <v>0</v>
      </c>
      <c r="Z39" s="991" t="b">
        <v>0</v>
      </c>
      <c r="AA39" s="991" t="b">
        <v>0</v>
      </c>
      <c r="AB39" s="982" t="s">
        <v>197</v>
      </c>
    </row>
    <row r="40">
      <c r="A40" s="982" t="s">
        <v>1530</v>
      </c>
      <c r="B40" s="985" t="str">
        <f t="shared" si="1"/>
        <v>FALSETRUEFALSETRUEFALSEFALSEFALSEFALSEFALSEFALSEFALSEFALSEFALSEFALSEFALSEFALSEFALSEFALSEFALSEFALSEFALSEFALSEFALSE</v>
      </c>
      <c r="C40" s="994" t="s">
        <v>911</v>
      </c>
      <c r="D40" s="995" t="b">
        <v>1</v>
      </c>
      <c r="E40" s="995" t="b">
        <v>0</v>
      </c>
      <c r="F40" s="995" t="b">
        <v>1</v>
      </c>
      <c r="G40" s="995" t="b">
        <v>0</v>
      </c>
      <c r="H40" s="995" t="b">
        <v>1</v>
      </c>
      <c r="I40" s="995" t="b">
        <v>0</v>
      </c>
      <c r="J40" s="995" t="b">
        <v>0</v>
      </c>
      <c r="K40" s="995" t="b">
        <v>0</v>
      </c>
      <c r="L40" s="995" t="b">
        <v>0</v>
      </c>
      <c r="M40" s="995" t="b">
        <v>0</v>
      </c>
      <c r="N40" s="995" t="b">
        <v>0</v>
      </c>
      <c r="O40" s="995" t="b">
        <v>0</v>
      </c>
      <c r="P40" s="995" t="b">
        <v>0</v>
      </c>
      <c r="Q40" s="995" t="b">
        <v>0</v>
      </c>
      <c r="R40" s="995" t="b">
        <v>0</v>
      </c>
      <c r="S40" s="995" t="b">
        <v>0</v>
      </c>
      <c r="T40" s="995" t="b">
        <v>0</v>
      </c>
      <c r="U40" s="995" t="b">
        <v>0</v>
      </c>
      <c r="V40" s="995" t="b">
        <v>0</v>
      </c>
      <c r="W40" s="995" t="b">
        <v>0</v>
      </c>
      <c r="X40" s="995" t="b">
        <v>0</v>
      </c>
      <c r="Y40" s="995" t="b">
        <v>0</v>
      </c>
      <c r="Z40" s="995" t="b">
        <v>0</v>
      </c>
      <c r="AA40" s="995" t="b">
        <v>0</v>
      </c>
      <c r="AB40" s="995" t="s">
        <v>1533</v>
      </c>
    </row>
    <row r="41">
      <c r="A41" s="982" t="s">
        <v>1530</v>
      </c>
      <c r="B41" s="985" t="str">
        <f t="shared" si="1"/>
        <v>FALSETRUEFALSETRUEFALSEFALSEFALSEFALSEFALSEFALSEFALSEFALSEFALSEFALSEFALSEFALSEFALSEFALSEFALSEFALSEFALSEFALSEFALSE</v>
      </c>
      <c r="C41" s="994" t="s">
        <v>915</v>
      </c>
      <c r="D41" s="995" t="b">
        <v>1</v>
      </c>
      <c r="E41" s="995" t="b">
        <v>0</v>
      </c>
      <c r="F41" s="995" t="b">
        <v>1</v>
      </c>
      <c r="G41" s="995" t="b">
        <v>0</v>
      </c>
      <c r="H41" s="995" t="b">
        <v>1</v>
      </c>
      <c r="I41" s="995" t="b">
        <v>0</v>
      </c>
      <c r="J41" s="995" t="b">
        <v>0</v>
      </c>
      <c r="K41" s="995" t="b">
        <v>0</v>
      </c>
      <c r="L41" s="995" t="b">
        <v>0</v>
      </c>
      <c r="M41" s="995" t="b">
        <v>0</v>
      </c>
      <c r="N41" s="995" t="b">
        <v>0</v>
      </c>
      <c r="O41" s="995" t="b">
        <v>0</v>
      </c>
      <c r="P41" s="995" t="b">
        <v>0</v>
      </c>
      <c r="Q41" s="995" t="b">
        <v>0</v>
      </c>
      <c r="R41" s="995" t="b">
        <v>0</v>
      </c>
      <c r="S41" s="995" t="b">
        <v>0</v>
      </c>
      <c r="T41" s="995" t="b">
        <v>0</v>
      </c>
      <c r="U41" s="995" t="b">
        <v>0</v>
      </c>
      <c r="V41" s="995" t="b">
        <v>0</v>
      </c>
      <c r="W41" s="995" t="b">
        <v>0</v>
      </c>
      <c r="X41" s="995" t="b">
        <v>0</v>
      </c>
      <c r="Y41" s="995" t="b">
        <v>0</v>
      </c>
      <c r="Z41" s="995" t="b">
        <v>0</v>
      </c>
      <c r="AA41" s="995" t="b">
        <v>0</v>
      </c>
      <c r="AB41" s="995" t="s">
        <v>1533</v>
      </c>
    </row>
    <row r="42">
      <c r="A42" s="982" t="s">
        <v>1530</v>
      </c>
      <c r="B42" s="985" t="str">
        <f t="shared" si="1"/>
        <v>FALSETRUEFALSETRUEFALSEFALSEFALSEFALSEFALSEFALSEFALSEFALSEFALSEFALSEFALSEFALSEFALSEFALSEFALSEFALSEFALSEFALSEFALSE</v>
      </c>
      <c r="C42" s="994" t="s">
        <v>918</v>
      </c>
      <c r="D42" s="995" t="b">
        <v>1</v>
      </c>
      <c r="E42" s="995" t="b">
        <v>0</v>
      </c>
      <c r="F42" s="995" t="b">
        <v>1</v>
      </c>
      <c r="G42" s="995" t="b">
        <v>0</v>
      </c>
      <c r="H42" s="995" t="b">
        <v>1</v>
      </c>
      <c r="I42" s="995" t="b">
        <v>0</v>
      </c>
      <c r="J42" s="995" t="b">
        <v>0</v>
      </c>
      <c r="K42" s="995" t="b">
        <v>0</v>
      </c>
      <c r="L42" s="995" t="b">
        <v>0</v>
      </c>
      <c r="M42" s="995" t="b">
        <v>0</v>
      </c>
      <c r="N42" s="995" t="b">
        <v>0</v>
      </c>
      <c r="O42" s="995" t="b">
        <v>0</v>
      </c>
      <c r="P42" s="995" t="b">
        <v>0</v>
      </c>
      <c r="Q42" s="995" t="b">
        <v>0</v>
      </c>
      <c r="R42" s="995" t="b">
        <v>0</v>
      </c>
      <c r="S42" s="995" t="b">
        <v>0</v>
      </c>
      <c r="T42" s="995" t="b">
        <v>0</v>
      </c>
      <c r="U42" s="995" t="b">
        <v>0</v>
      </c>
      <c r="V42" s="995" t="b">
        <v>0</v>
      </c>
      <c r="W42" s="995" t="b">
        <v>0</v>
      </c>
      <c r="X42" s="995" t="b">
        <v>0</v>
      </c>
      <c r="Y42" s="995" t="b">
        <v>0</v>
      </c>
      <c r="Z42" s="995" t="b">
        <v>0</v>
      </c>
      <c r="AA42" s="995" t="b">
        <v>0</v>
      </c>
      <c r="AB42" s="995" t="s">
        <v>1533</v>
      </c>
    </row>
    <row r="43">
      <c r="A43" s="982" t="s">
        <v>1530</v>
      </c>
      <c r="B43" s="985" t="str">
        <f t="shared" si="1"/>
        <v>FALSETRUEFALSETRUEFALSEFALSEFALSEFALSEFALSEFALSEFALSEFALSEFALSEFALSEFALSEFALSEFALSEFALSEFALSEFALSEFALSEFALSEFALSE</v>
      </c>
      <c r="C43" s="994" t="s">
        <v>919</v>
      </c>
      <c r="D43" s="995" t="b">
        <v>1</v>
      </c>
      <c r="E43" s="995" t="b">
        <v>0</v>
      </c>
      <c r="F43" s="995" t="b">
        <v>1</v>
      </c>
      <c r="G43" s="995" t="b">
        <v>0</v>
      </c>
      <c r="H43" s="995" t="b">
        <v>1</v>
      </c>
      <c r="I43" s="995" t="b">
        <v>0</v>
      </c>
      <c r="J43" s="995" t="b">
        <v>0</v>
      </c>
      <c r="K43" s="995" t="b">
        <v>0</v>
      </c>
      <c r="L43" s="995" t="b">
        <v>0</v>
      </c>
      <c r="M43" s="995" t="b">
        <v>0</v>
      </c>
      <c r="N43" s="995" t="b">
        <v>0</v>
      </c>
      <c r="O43" s="995" t="b">
        <v>0</v>
      </c>
      <c r="P43" s="995" t="b">
        <v>0</v>
      </c>
      <c r="Q43" s="995" t="b">
        <v>0</v>
      </c>
      <c r="R43" s="995" t="b">
        <v>0</v>
      </c>
      <c r="S43" s="995" t="b">
        <v>0</v>
      </c>
      <c r="T43" s="995" t="b">
        <v>0</v>
      </c>
      <c r="U43" s="995" t="b">
        <v>0</v>
      </c>
      <c r="V43" s="995" t="b">
        <v>0</v>
      </c>
      <c r="W43" s="995" t="b">
        <v>0</v>
      </c>
      <c r="X43" s="995" t="b">
        <v>0</v>
      </c>
      <c r="Y43" s="995" t="b">
        <v>0</v>
      </c>
      <c r="Z43" s="995" t="b">
        <v>0</v>
      </c>
      <c r="AA43" s="995" t="b">
        <v>0</v>
      </c>
      <c r="AB43" s="995" t="s">
        <v>1533</v>
      </c>
    </row>
    <row r="44">
      <c r="A44" s="982" t="s">
        <v>1530</v>
      </c>
      <c r="B44" s="985" t="str">
        <f t="shared" si="1"/>
        <v>FALSETRUEFALSETRUEFALSEFALSEFALSEFALSEFALSEFALSEFALSEFALSEFALSEFALSEFALSEFALSEFALSEFALSEFALSEFALSEFALSEFALSEFALSE</v>
      </c>
      <c r="C44" s="994" t="s">
        <v>867</v>
      </c>
      <c r="D44" s="995" t="b">
        <v>1</v>
      </c>
      <c r="E44" s="995" t="b">
        <v>0</v>
      </c>
      <c r="F44" s="995" t="b">
        <v>1</v>
      </c>
      <c r="G44" s="995" t="b">
        <v>0</v>
      </c>
      <c r="H44" s="995" t="b">
        <v>1</v>
      </c>
      <c r="I44" s="995" t="b">
        <v>0</v>
      </c>
      <c r="J44" s="995" t="b">
        <v>0</v>
      </c>
      <c r="K44" s="995" t="b">
        <v>0</v>
      </c>
      <c r="L44" s="995" t="b">
        <v>0</v>
      </c>
      <c r="M44" s="995" t="b">
        <v>0</v>
      </c>
      <c r="N44" s="995" t="b">
        <v>0</v>
      </c>
      <c r="O44" s="995" t="b">
        <v>0</v>
      </c>
      <c r="P44" s="995" t="b">
        <v>0</v>
      </c>
      <c r="Q44" s="995" t="b">
        <v>0</v>
      </c>
      <c r="R44" s="995" t="b">
        <v>0</v>
      </c>
      <c r="S44" s="995" t="b">
        <v>0</v>
      </c>
      <c r="T44" s="995" t="b">
        <v>0</v>
      </c>
      <c r="U44" s="995" t="b">
        <v>0</v>
      </c>
      <c r="V44" s="995" t="b">
        <v>0</v>
      </c>
      <c r="W44" s="995" t="b">
        <v>0</v>
      </c>
      <c r="X44" s="995" t="b">
        <v>0</v>
      </c>
      <c r="Y44" s="995" t="b">
        <v>0</v>
      </c>
      <c r="Z44" s="995" t="b">
        <v>0</v>
      </c>
      <c r="AA44" s="995" t="b">
        <v>0</v>
      </c>
      <c r="AB44" s="995" t="s">
        <v>1533</v>
      </c>
    </row>
    <row r="45">
      <c r="A45" s="982" t="s">
        <v>1530</v>
      </c>
      <c r="B45" s="985" t="str">
        <f t="shared" si="1"/>
        <v>FALSETRUEFALSETRUEFALSEFALSEFALSEFALSEFALSEFALSEFALSEFALSEFALSEFALSEFALSEFALSEFALSEFALSEFALSEFALSEFALSEFALSEFALSE</v>
      </c>
      <c r="C45" s="994" t="s">
        <v>908</v>
      </c>
      <c r="D45" s="995" t="b">
        <v>1</v>
      </c>
      <c r="E45" s="995" t="b">
        <v>0</v>
      </c>
      <c r="F45" s="995" t="b">
        <v>1</v>
      </c>
      <c r="G45" s="995" t="b">
        <v>0</v>
      </c>
      <c r="H45" s="995" t="b">
        <v>1</v>
      </c>
      <c r="I45" s="995" t="b">
        <v>0</v>
      </c>
      <c r="J45" s="995" t="b">
        <v>0</v>
      </c>
      <c r="K45" s="995" t="b">
        <v>0</v>
      </c>
      <c r="L45" s="995" t="b">
        <v>0</v>
      </c>
      <c r="M45" s="995" t="b">
        <v>0</v>
      </c>
      <c r="N45" s="995" t="b">
        <v>0</v>
      </c>
      <c r="O45" s="995" t="b">
        <v>0</v>
      </c>
      <c r="P45" s="995" t="b">
        <v>0</v>
      </c>
      <c r="Q45" s="995" t="b">
        <v>0</v>
      </c>
      <c r="R45" s="995" t="b">
        <v>0</v>
      </c>
      <c r="S45" s="995" t="b">
        <v>0</v>
      </c>
      <c r="T45" s="995" t="b">
        <v>0</v>
      </c>
      <c r="U45" s="995" t="b">
        <v>0</v>
      </c>
      <c r="V45" s="995" t="b">
        <v>0</v>
      </c>
      <c r="W45" s="995" t="b">
        <v>0</v>
      </c>
      <c r="X45" s="995" t="b">
        <v>0</v>
      </c>
      <c r="Y45" s="995" t="b">
        <v>0</v>
      </c>
      <c r="Z45" s="995" t="b">
        <v>0</v>
      </c>
      <c r="AA45" s="995" t="b">
        <v>0</v>
      </c>
      <c r="AB45" s="995" t="s">
        <v>1533</v>
      </c>
    </row>
    <row r="46">
      <c r="A46" s="982" t="s">
        <v>1530</v>
      </c>
      <c r="B46" s="985" t="str">
        <f t="shared" si="1"/>
        <v>FALSETRUEFALSETRUEFALSEFALSEFALSEFALSEFALSEFALSEFALSEFALSEFALSEFALSEFALSEFALSEFALSEFALSEFALSEFALSEFALSEFALSEFALSE</v>
      </c>
      <c r="C46" s="994" t="s">
        <v>133</v>
      </c>
      <c r="D46" s="995" t="b">
        <v>1</v>
      </c>
      <c r="E46" s="995" t="b">
        <v>0</v>
      </c>
      <c r="F46" s="995" t="b">
        <v>1</v>
      </c>
      <c r="G46" s="995" t="b">
        <v>0</v>
      </c>
      <c r="H46" s="995" t="b">
        <v>1</v>
      </c>
      <c r="I46" s="995" t="b">
        <v>0</v>
      </c>
      <c r="J46" s="995" t="b">
        <v>0</v>
      </c>
      <c r="K46" s="995" t="b">
        <v>0</v>
      </c>
      <c r="L46" s="995" t="b">
        <v>0</v>
      </c>
      <c r="M46" s="995" t="b">
        <v>0</v>
      </c>
      <c r="N46" s="995" t="b">
        <v>0</v>
      </c>
      <c r="O46" s="995" t="b">
        <v>0</v>
      </c>
      <c r="P46" s="995" t="b">
        <v>0</v>
      </c>
      <c r="Q46" s="995" t="b">
        <v>0</v>
      </c>
      <c r="R46" s="995" t="b">
        <v>0</v>
      </c>
      <c r="S46" s="995" t="b">
        <v>0</v>
      </c>
      <c r="T46" s="995" t="b">
        <v>0</v>
      </c>
      <c r="U46" s="995" t="b">
        <v>0</v>
      </c>
      <c r="V46" s="995" t="b">
        <v>0</v>
      </c>
      <c r="W46" s="995" t="b">
        <v>0</v>
      </c>
      <c r="X46" s="995" t="b">
        <v>0</v>
      </c>
      <c r="Y46" s="995" t="b">
        <v>0</v>
      </c>
      <c r="Z46" s="995" t="b">
        <v>0</v>
      </c>
      <c r="AA46" s="995" t="b">
        <v>0</v>
      </c>
      <c r="AB46" s="995" t="s">
        <v>1533</v>
      </c>
    </row>
    <row r="47">
      <c r="A47" s="982" t="s">
        <v>1530</v>
      </c>
      <c r="B47" s="985" t="str">
        <f t="shared" si="1"/>
        <v>FALSETRUEFALSETRUEFALSEFALSEFALSEFALSEFALSEFALSEFALSEFALSEFALSEFALSEFALSEFALSEFALSEFALSEFALSEFALSEFALSEFALSEFALSE</v>
      </c>
      <c r="C47" s="994" t="s">
        <v>914</v>
      </c>
      <c r="D47" s="995" t="b">
        <v>1</v>
      </c>
      <c r="E47" s="995" t="b">
        <v>0</v>
      </c>
      <c r="F47" s="995" t="b">
        <v>1</v>
      </c>
      <c r="G47" s="995" t="b">
        <v>0</v>
      </c>
      <c r="H47" s="995" t="b">
        <v>1</v>
      </c>
      <c r="I47" s="995" t="b">
        <v>0</v>
      </c>
      <c r="J47" s="995" t="b">
        <v>0</v>
      </c>
      <c r="K47" s="995" t="b">
        <v>0</v>
      </c>
      <c r="L47" s="995" t="b">
        <v>0</v>
      </c>
      <c r="M47" s="995" t="b">
        <v>0</v>
      </c>
      <c r="N47" s="995" t="b">
        <v>0</v>
      </c>
      <c r="O47" s="995" t="b">
        <v>0</v>
      </c>
      <c r="P47" s="995" t="b">
        <v>0</v>
      </c>
      <c r="Q47" s="995" t="b">
        <v>0</v>
      </c>
      <c r="R47" s="995" t="b">
        <v>0</v>
      </c>
      <c r="S47" s="995" t="b">
        <v>0</v>
      </c>
      <c r="T47" s="995" t="b">
        <v>0</v>
      </c>
      <c r="U47" s="995" t="b">
        <v>0</v>
      </c>
      <c r="V47" s="995" t="b">
        <v>0</v>
      </c>
      <c r="W47" s="995" t="b">
        <v>0</v>
      </c>
      <c r="X47" s="995" t="b">
        <v>0</v>
      </c>
      <c r="Y47" s="995" t="b">
        <v>0</v>
      </c>
      <c r="Z47" s="995" t="b">
        <v>0</v>
      </c>
      <c r="AA47" s="995" t="b">
        <v>0</v>
      </c>
      <c r="AB47" s="995" t="s">
        <v>1533</v>
      </c>
    </row>
    <row r="48">
      <c r="A48" s="982" t="s">
        <v>1530</v>
      </c>
      <c r="B48" s="985" t="str">
        <f t="shared" si="1"/>
        <v>FALSETRUEFALSETRUEFALSEFALSEFALSEFALSEFALSEFALSEFALSEFALSEFALSEFALSEFALSEFALSEFALSEFALSEFALSEFALSEFALSEFALSEFALSE</v>
      </c>
      <c r="C48" s="994" t="s">
        <v>913</v>
      </c>
      <c r="D48" s="995" t="b">
        <v>1</v>
      </c>
      <c r="E48" s="995" t="b">
        <v>0</v>
      </c>
      <c r="F48" s="995" t="b">
        <v>1</v>
      </c>
      <c r="G48" s="995" t="b">
        <v>0</v>
      </c>
      <c r="H48" s="995" t="b">
        <v>1</v>
      </c>
      <c r="I48" s="995" t="b">
        <v>0</v>
      </c>
      <c r="J48" s="995" t="b">
        <v>0</v>
      </c>
      <c r="K48" s="995" t="b">
        <v>0</v>
      </c>
      <c r="L48" s="995" t="b">
        <v>0</v>
      </c>
      <c r="M48" s="995" t="b">
        <v>0</v>
      </c>
      <c r="N48" s="995" t="b">
        <v>0</v>
      </c>
      <c r="O48" s="995" t="b">
        <v>0</v>
      </c>
      <c r="P48" s="995" t="b">
        <v>0</v>
      </c>
      <c r="Q48" s="995" t="b">
        <v>0</v>
      </c>
      <c r="R48" s="995" t="b">
        <v>0</v>
      </c>
      <c r="S48" s="995" t="b">
        <v>0</v>
      </c>
      <c r="T48" s="995" t="b">
        <v>0</v>
      </c>
      <c r="U48" s="995" t="b">
        <v>0</v>
      </c>
      <c r="V48" s="995" t="b">
        <v>0</v>
      </c>
      <c r="W48" s="995" t="b">
        <v>0</v>
      </c>
      <c r="X48" s="995" t="b">
        <v>0</v>
      </c>
      <c r="Y48" s="995" t="b">
        <v>0</v>
      </c>
      <c r="Z48" s="995" t="b">
        <v>0</v>
      </c>
      <c r="AA48" s="995" t="b">
        <v>0</v>
      </c>
      <c r="AB48" s="995" t="s">
        <v>1533</v>
      </c>
    </row>
    <row r="49">
      <c r="A49" s="982" t="s">
        <v>1530</v>
      </c>
      <c r="B49" s="985" t="str">
        <f t="shared" si="1"/>
        <v>FALSETRUEFALSETRUEFALSEFALSEFALSEFALSEFALSEFALSEFALSEFALSEFALSEFALSEFALSEFALSEFALSEFALSEFALSEFALSEFALSEFALSEFALSE</v>
      </c>
      <c r="C49" s="994" t="s">
        <v>866</v>
      </c>
      <c r="D49" s="995" t="b">
        <v>1</v>
      </c>
      <c r="E49" s="995" t="b">
        <v>0</v>
      </c>
      <c r="F49" s="995" t="b">
        <v>1</v>
      </c>
      <c r="G49" s="995" t="b">
        <v>0</v>
      </c>
      <c r="H49" s="995" t="b">
        <v>1</v>
      </c>
      <c r="I49" s="995" t="b">
        <v>0</v>
      </c>
      <c r="J49" s="995" t="b">
        <v>0</v>
      </c>
      <c r="K49" s="995" t="b">
        <v>0</v>
      </c>
      <c r="L49" s="995" t="b">
        <v>0</v>
      </c>
      <c r="M49" s="995" t="b">
        <v>0</v>
      </c>
      <c r="N49" s="995" t="b">
        <v>0</v>
      </c>
      <c r="O49" s="995" t="b">
        <v>0</v>
      </c>
      <c r="P49" s="995" t="b">
        <v>0</v>
      </c>
      <c r="Q49" s="995" t="b">
        <v>0</v>
      </c>
      <c r="R49" s="995" t="b">
        <v>0</v>
      </c>
      <c r="S49" s="995" t="b">
        <v>0</v>
      </c>
      <c r="T49" s="995" t="b">
        <v>0</v>
      </c>
      <c r="U49" s="995" t="b">
        <v>0</v>
      </c>
      <c r="V49" s="995" t="b">
        <v>0</v>
      </c>
      <c r="W49" s="995" t="b">
        <v>0</v>
      </c>
      <c r="X49" s="995" t="b">
        <v>0</v>
      </c>
      <c r="Y49" s="995" t="b">
        <v>0</v>
      </c>
      <c r="Z49" s="995" t="b">
        <v>0</v>
      </c>
      <c r="AA49" s="995" t="b">
        <v>0</v>
      </c>
      <c r="AB49" s="995" t="s">
        <v>1533</v>
      </c>
    </row>
    <row r="50">
      <c r="A50" s="982" t="s">
        <v>1530</v>
      </c>
      <c r="B50" s="985" t="str">
        <f t="shared" si="1"/>
        <v>FALSETRUEFALSETRUEFALSEFALSEFALSEFALSEFALSEFALSEFALSEFALSEFALSEFALSEFALSEFALSEFALSEFALSEFALSEFALSEFALSEFALSEFALSE</v>
      </c>
      <c r="C50" s="994" t="s">
        <v>864</v>
      </c>
      <c r="D50" s="995" t="b">
        <v>1</v>
      </c>
      <c r="E50" s="995" t="b">
        <v>0</v>
      </c>
      <c r="F50" s="995" t="b">
        <v>1</v>
      </c>
      <c r="G50" s="995" t="b">
        <v>0</v>
      </c>
      <c r="H50" s="995" t="b">
        <v>1</v>
      </c>
      <c r="I50" s="995" t="b">
        <v>0</v>
      </c>
      <c r="J50" s="995" t="b">
        <v>0</v>
      </c>
      <c r="K50" s="995" t="b">
        <v>0</v>
      </c>
      <c r="L50" s="995" t="b">
        <v>0</v>
      </c>
      <c r="M50" s="995" t="b">
        <v>0</v>
      </c>
      <c r="N50" s="995" t="b">
        <v>0</v>
      </c>
      <c r="O50" s="995" t="b">
        <v>0</v>
      </c>
      <c r="P50" s="995" t="b">
        <v>0</v>
      </c>
      <c r="Q50" s="995" t="b">
        <v>0</v>
      </c>
      <c r="R50" s="995" t="b">
        <v>0</v>
      </c>
      <c r="S50" s="995" t="b">
        <v>0</v>
      </c>
      <c r="T50" s="995" t="b">
        <v>0</v>
      </c>
      <c r="U50" s="995" t="b">
        <v>0</v>
      </c>
      <c r="V50" s="995" t="b">
        <v>0</v>
      </c>
      <c r="W50" s="995" t="b">
        <v>0</v>
      </c>
      <c r="X50" s="995" t="b">
        <v>0</v>
      </c>
      <c r="Y50" s="995" t="b">
        <v>0</v>
      </c>
      <c r="Z50" s="995" t="b">
        <v>0</v>
      </c>
      <c r="AA50" s="995" t="b">
        <v>0</v>
      </c>
      <c r="AB50" s="995" t="s">
        <v>1533</v>
      </c>
    </row>
    <row r="51">
      <c r="A51" s="982" t="s">
        <v>1530</v>
      </c>
      <c r="B51" s="985" t="str">
        <f t="shared" si="1"/>
        <v>FALSETRUEFALSETRUEFALSEFALSEFALSEFALSEFALSEFALSEFALSEFALSEFALSEFALSEFALSEFALSEFALSEFALSEFALSEFALSEFALSEFALSEFALSE</v>
      </c>
      <c r="C51" s="994" t="s">
        <v>912</v>
      </c>
      <c r="D51" s="995" t="b">
        <v>1</v>
      </c>
      <c r="E51" s="995" t="b">
        <v>0</v>
      </c>
      <c r="F51" s="995" t="b">
        <v>1</v>
      </c>
      <c r="G51" s="995" t="b">
        <v>0</v>
      </c>
      <c r="H51" s="995" t="b">
        <v>1</v>
      </c>
      <c r="I51" s="995" t="b">
        <v>0</v>
      </c>
      <c r="J51" s="995" t="b">
        <v>0</v>
      </c>
      <c r="K51" s="995" t="b">
        <v>0</v>
      </c>
      <c r="L51" s="995" t="b">
        <v>0</v>
      </c>
      <c r="M51" s="995" t="b">
        <v>0</v>
      </c>
      <c r="N51" s="995" t="b">
        <v>0</v>
      </c>
      <c r="O51" s="995" t="b">
        <v>0</v>
      </c>
      <c r="P51" s="995" t="b">
        <v>0</v>
      </c>
      <c r="Q51" s="995" t="b">
        <v>0</v>
      </c>
      <c r="R51" s="995" t="b">
        <v>0</v>
      </c>
      <c r="S51" s="995" t="b">
        <v>0</v>
      </c>
      <c r="T51" s="995" t="b">
        <v>0</v>
      </c>
      <c r="U51" s="995" t="b">
        <v>0</v>
      </c>
      <c r="V51" s="995" t="b">
        <v>0</v>
      </c>
      <c r="W51" s="995" t="b">
        <v>0</v>
      </c>
      <c r="X51" s="995" t="b">
        <v>0</v>
      </c>
      <c r="Y51" s="995" t="b">
        <v>0</v>
      </c>
      <c r="Z51" s="995" t="b">
        <v>0</v>
      </c>
      <c r="AA51" s="995" t="b">
        <v>0</v>
      </c>
      <c r="AB51" s="995" t="s">
        <v>1533</v>
      </c>
    </row>
    <row r="52">
      <c r="A52" s="982" t="s">
        <v>1530</v>
      </c>
      <c r="B52" s="985" t="str">
        <f t="shared" si="1"/>
        <v>FALSETRUEFALSETRUEFALSEFALSEFALSEFALSEFALSEFALSEFALSEFALSEFALSEFALSEFALSEFALSEFALSEFALSEFALSEFALSEFALSEFALSEFALSE</v>
      </c>
      <c r="C52" s="994" t="s">
        <v>134</v>
      </c>
      <c r="D52" s="995" t="b">
        <v>1</v>
      </c>
      <c r="E52" s="995" t="b">
        <v>0</v>
      </c>
      <c r="F52" s="995" t="b">
        <v>1</v>
      </c>
      <c r="G52" s="995" t="b">
        <v>0</v>
      </c>
      <c r="H52" s="995" t="b">
        <v>1</v>
      </c>
      <c r="I52" s="995" t="b">
        <v>0</v>
      </c>
      <c r="J52" s="995" t="b">
        <v>0</v>
      </c>
      <c r="K52" s="995" t="b">
        <v>0</v>
      </c>
      <c r="L52" s="995" t="b">
        <v>0</v>
      </c>
      <c r="M52" s="995" t="b">
        <v>0</v>
      </c>
      <c r="N52" s="995" t="b">
        <v>0</v>
      </c>
      <c r="O52" s="995" t="b">
        <v>0</v>
      </c>
      <c r="P52" s="995" t="b">
        <v>0</v>
      </c>
      <c r="Q52" s="995" t="b">
        <v>0</v>
      </c>
      <c r="R52" s="995" t="b">
        <v>0</v>
      </c>
      <c r="S52" s="995" t="b">
        <v>0</v>
      </c>
      <c r="T52" s="995" t="b">
        <v>0</v>
      </c>
      <c r="U52" s="995" t="b">
        <v>0</v>
      </c>
      <c r="V52" s="995" t="b">
        <v>0</v>
      </c>
      <c r="W52" s="995" t="b">
        <v>0</v>
      </c>
      <c r="X52" s="995" t="b">
        <v>0</v>
      </c>
      <c r="Y52" s="995" t="b">
        <v>0</v>
      </c>
      <c r="Z52" s="995" t="b">
        <v>0</v>
      </c>
      <c r="AA52" s="995" t="b">
        <v>0</v>
      </c>
      <c r="AB52" s="995" t="s">
        <v>1533</v>
      </c>
    </row>
    <row r="53">
      <c r="A53" s="982" t="s">
        <v>1530</v>
      </c>
      <c r="B53" s="985" t="str">
        <f t="shared" si="1"/>
        <v>FALSETRUEFALSETRUEFALSEFALSEFALSEFALSEFALSEFALSEFALSEFALSEFALSEFALSEFALSEFALSEFALSEFALSEFALSEFALSEFALSEFALSEFALSE</v>
      </c>
      <c r="C53" s="994" t="s">
        <v>917</v>
      </c>
      <c r="D53" s="995" t="b">
        <v>1</v>
      </c>
      <c r="E53" s="995" t="b">
        <v>0</v>
      </c>
      <c r="F53" s="995" t="b">
        <v>1</v>
      </c>
      <c r="G53" s="995" t="b">
        <v>0</v>
      </c>
      <c r="H53" s="995" t="b">
        <v>1</v>
      </c>
      <c r="I53" s="995" t="b">
        <v>0</v>
      </c>
      <c r="J53" s="995" t="b">
        <v>0</v>
      </c>
      <c r="K53" s="995" t="b">
        <v>0</v>
      </c>
      <c r="L53" s="995" t="b">
        <v>0</v>
      </c>
      <c r="M53" s="995" t="b">
        <v>0</v>
      </c>
      <c r="N53" s="995" t="b">
        <v>0</v>
      </c>
      <c r="O53" s="995" t="b">
        <v>0</v>
      </c>
      <c r="P53" s="995" t="b">
        <v>0</v>
      </c>
      <c r="Q53" s="995" t="b">
        <v>0</v>
      </c>
      <c r="R53" s="995" t="b">
        <v>0</v>
      </c>
      <c r="S53" s="995" t="b">
        <v>0</v>
      </c>
      <c r="T53" s="995" t="b">
        <v>0</v>
      </c>
      <c r="U53" s="995" t="b">
        <v>0</v>
      </c>
      <c r="V53" s="995" t="b">
        <v>0</v>
      </c>
      <c r="W53" s="995" t="b">
        <v>0</v>
      </c>
      <c r="X53" s="995" t="b">
        <v>0</v>
      </c>
      <c r="Y53" s="995" t="b">
        <v>0</v>
      </c>
      <c r="Z53" s="995" t="b">
        <v>0</v>
      </c>
      <c r="AA53" s="995" t="b">
        <v>0</v>
      </c>
      <c r="AB53" s="995" t="s">
        <v>1533</v>
      </c>
    </row>
    <row r="54">
      <c r="A54" s="982" t="s">
        <v>1530</v>
      </c>
      <c r="B54" s="985" t="str">
        <f t="shared" si="1"/>
        <v>FALSETRUEFALSETRUEFALSEFALSEFALSEFALSEFALSEFALSEFALSEFALSEFALSEFALSEFALSEFALSEFALSEFALSEFALSEFALSEFALSEFALSEFALSE</v>
      </c>
      <c r="C54" s="994" t="s">
        <v>921</v>
      </c>
      <c r="D54" s="995" t="b">
        <v>1</v>
      </c>
      <c r="E54" s="995" t="b">
        <v>0</v>
      </c>
      <c r="F54" s="995" t="b">
        <v>1</v>
      </c>
      <c r="G54" s="995" t="b">
        <v>0</v>
      </c>
      <c r="H54" s="995" t="b">
        <v>1</v>
      </c>
      <c r="I54" s="995" t="b">
        <v>0</v>
      </c>
      <c r="J54" s="995" t="b">
        <v>0</v>
      </c>
      <c r="K54" s="995" t="b">
        <v>0</v>
      </c>
      <c r="L54" s="995" t="b">
        <v>0</v>
      </c>
      <c r="M54" s="995" t="b">
        <v>0</v>
      </c>
      <c r="N54" s="995" t="b">
        <v>0</v>
      </c>
      <c r="O54" s="995" t="b">
        <v>0</v>
      </c>
      <c r="P54" s="995" t="b">
        <v>0</v>
      </c>
      <c r="Q54" s="995" t="b">
        <v>0</v>
      </c>
      <c r="R54" s="995" t="b">
        <v>0</v>
      </c>
      <c r="S54" s="995" t="b">
        <v>0</v>
      </c>
      <c r="T54" s="995" t="b">
        <v>0</v>
      </c>
      <c r="U54" s="995" t="b">
        <v>0</v>
      </c>
      <c r="V54" s="995" t="b">
        <v>0</v>
      </c>
      <c r="W54" s="995" t="b">
        <v>0</v>
      </c>
      <c r="X54" s="995" t="b">
        <v>0</v>
      </c>
      <c r="Y54" s="995" t="b">
        <v>0</v>
      </c>
      <c r="Z54" s="995" t="b">
        <v>0</v>
      </c>
      <c r="AA54" s="995" t="b">
        <v>0</v>
      </c>
      <c r="AB54" s="995" t="s">
        <v>1533</v>
      </c>
    </row>
    <row r="55">
      <c r="A55" s="982" t="s">
        <v>1530</v>
      </c>
      <c r="B55" s="985" t="str">
        <f t="shared" si="1"/>
        <v>FALSETRUEFALSETRUEFALSEFALSEFALSEFALSEFALSEFALSEFALSEFALSEFALSEFALSEFALSEFALSEFALSEFALSEFALSEFALSEFALSEFALSEFALSE</v>
      </c>
      <c r="C55" s="994" t="s">
        <v>862</v>
      </c>
      <c r="D55" s="995" t="b">
        <v>1</v>
      </c>
      <c r="E55" s="995" t="b">
        <v>0</v>
      </c>
      <c r="F55" s="995" t="b">
        <v>1</v>
      </c>
      <c r="G55" s="995" t="b">
        <v>0</v>
      </c>
      <c r="H55" s="995" t="b">
        <v>1</v>
      </c>
      <c r="I55" s="995" t="b">
        <v>0</v>
      </c>
      <c r="J55" s="995" t="b">
        <v>0</v>
      </c>
      <c r="K55" s="995" t="b">
        <v>0</v>
      </c>
      <c r="L55" s="995" t="b">
        <v>0</v>
      </c>
      <c r="M55" s="995" t="b">
        <v>0</v>
      </c>
      <c r="N55" s="995" t="b">
        <v>0</v>
      </c>
      <c r="O55" s="995" t="b">
        <v>0</v>
      </c>
      <c r="P55" s="995" t="b">
        <v>0</v>
      </c>
      <c r="Q55" s="995" t="b">
        <v>0</v>
      </c>
      <c r="R55" s="995" t="b">
        <v>0</v>
      </c>
      <c r="S55" s="995" t="b">
        <v>0</v>
      </c>
      <c r="T55" s="995" t="b">
        <v>0</v>
      </c>
      <c r="U55" s="995" t="b">
        <v>0</v>
      </c>
      <c r="V55" s="995" t="b">
        <v>0</v>
      </c>
      <c r="W55" s="995" t="b">
        <v>0</v>
      </c>
      <c r="X55" s="995" t="b">
        <v>0</v>
      </c>
      <c r="Y55" s="995" t="b">
        <v>0</v>
      </c>
      <c r="Z55" s="995" t="b">
        <v>0</v>
      </c>
      <c r="AA55" s="995" t="b">
        <v>0</v>
      </c>
      <c r="AB55" s="995" t="s">
        <v>1533</v>
      </c>
    </row>
    <row r="56">
      <c r="A56" s="982" t="s">
        <v>1530</v>
      </c>
      <c r="B56" s="985" t="str">
        <f t="shared" si="1"/>
        <v>FALSETRUEFALSETRUEFALSEFALSEFALSEFALSEFALSEFALSEFALSEFALSEFALSEFALSEFALSEFALSEFALSEFALSEFALSEFALSEFALSEFALSEFALSE</v>
      </c>
      <c r="C56" s="994" t="s">
        <v>907</v>
      </c>
      <c r="D56" s="995" t="b">
        <v>1</v>
      </c>
      <c r="E56" s="995" t="b">
        <v>0</v>
      </c>
      <c r="F56" s="995" t="b">
        <v>1</v>
      </c>
      <c r="G56" s="995" t="b">
        <v>0</v>
      </c>
      <c r="H56" s="995" t="b">
        <v>1</v>
      </c>
      <c r="I56" s="995" t="b">
        <v>0</v>
      </c>
      <c r="J56" s="995" t="b">
        <v>0</v>
      </c>
      <c r="K56" s="995" t="b">
        <v>0</v>
      </c>
      <c r="L56" s="995" t="b">
        <v>0</v>
      </c>
      <c r="M56" s="995" t="b">
        <v>0</v>
      </c>
      <c r="N56" s="995" t="b">
        <v>0</v>
      </c>
      <c r="O56" s="995" t="b">
        <v>0</v>
      </c>
      <c r="P56" s="995" t="b">
        <v>0</v>
      </c>
      <c r="Q56" s="995" t="b">
        <v>0</v>
      </c>
      <c r="R56" s="995" t="b">
        <v>0</v>
      </c>
      <c r="S56" s="995" t="b">
        <v>0</v>
      </c>
      <c r="T56" s="995" t="b">
        <v>0</v>
      </c>
      <c r="U56" s="995" t="b">
        <v>0</v>
      </c>
      <c r="V56" s="995" t="b">
        <v>0</v>
      </c>
      <c r="W56" s="995" t="b">
        <v>0</v>
      </c>
      <c r="X56" s="995" t="b">
        <v>0</v>
      </c>
      <c r="Y56" s="995" t="b">
        <v>0</v>
      </c>
      <c r="Z56" s="995" t="b">
        <v>0</v>
      </c>
      <c r="AA56" s="995" t="b">
        <v>0</v>
      </c>
      <c r="AB56" s="995" t="s">
        <v>1533</v>
      </c>
    </row>
    <row r="57">
      <c r="A57" s="982" t="s">
        <v>1515</v>
      </c>
      <c r="B57" s="985" t="str">
        <f t="shared" si="1"/>
        <v>FALSETRUEFALSEFALSEFALSEFALSEFALSEFALSEFALSEFALSEFALSEFALSEFALSEFALSEFALSEFALSEFALSEFALSEFALSEFALSEFALSEFALSEFALSE</v>
      </c>
      <c r="C57" s="996" t="s">
        <v>850</v>
      </c>
      <c r="D57" s="997" t="b">
        <v>1</v>
      </c>
      <c r="E57" s="997" t="b">
        <v>0</v>
      </c>
      <c r="F57" s="997" t="b">
        <v>1</v>
      </c>
      <c r="G57" s="997" t="b">
        <v>0</v>
      </c>
      <c r="H57" s="997" t="b">
        <v>0</v>
      </c>
      <c r="I57" s="997" t="b">
        <v>0</v>
      </c>
      <c r="J57" s="997" t="b">
        <v>0</v>
      </c>
      <c r="K57" s="997" t="b">
        <v>0</v>
      </c>
      <c r="L57" s="997" t="b">
        <v>0</v>
      </c>
      <c r="M57" s="997" t="b">
        <v>0</v>
      </c>
      <c r="N57" s="997" t="b">
        <v>0</v>
      </c>
      <c r="O57" s="997" t="b">
        <v>0</v>
      </c>
      <c r="P57" s="997" t="b">
        <v>0</v>
      </c>
      <c r="Q57" s="997" t="b">
        <v>0</v>
      </c>
      <c r="R57" s="997" t="b">
        <v>0</v>
      </c>
      <c r="S57" s="997" t="b">
        <v>0</v>
      </c>
      <c r="T57" s="997" t="b">
        <v>0</v>
      </c>
      <c r="U57" s="997" t="b">
        <v>0</v>
      </c>
      <c r="V57" s="997" t="b">
        <v>0</v>
      </c>
      <c r="W57" s="997" t="b">
        <v>0</v>
      </c>
      <c r="X57" s="997" t="b">
        <v>0</v>
      </c>
      <c r="Y57" s="997" t="b">
        <v>0</v>
      </c>
      <c r="Z57" s="997" t="b">
        <v>0</v>
      </c>
      <c r="AA57" s="997" t="b">
        <v>0</v>
      </c>
      <c r="AB57" s="997" t="s">
        <v>1534</v>
      </c>
    </row>
    <row r="58">
      <c r="A58" s="982" t="s">
        <v>1515</v>
      </c>
      <c r="B58" s="985" t="str">
        <f t="shared" si="1"/>
        <v>FALSETRUEFALSEFALSEFALSEFALSEFALSEFALSEFALSEFALSEFALSEFALSEFALSEFALSEFALSEFALSEFALSEFALSEFALSEFALSEFALSEFALSEFALSE</v>
      </c>
      <c r="C58" s="996" t="s">
        <v>1008</v>
      </c>
      <c r="D58" s="997" t="b">
        <v>1</v>
      </c>
      <c r="E58" s="997" t="b">
        <v>0</v>
      </c>
      <c r="F58" s="997" t="b">
        <v>1</v>
      </c>
      <c r="G58" s="997" t="b">
        <v>0</v>
      </c>
      <c r="H58" s="997" t="b">
        <v>0</v>
      </c>
      <c r="I58" s="997" t="b">
        <v>0</v>
      </c>
      <c r="J58" s="997" t="b">
        <v>0</v>
      </c>
      <c r="K58" s="997" t="b">
        <v>0</v>
      </c>
      <c r="L58" s="997" t="b">
        <v>0</v>
      </c>
      <c r="M58" s="997" t="b">
        <v>0</v>
      </c>
      <c r="N58" s="997" t="b">
        <v>0</v>
      </c>
      <c r="O58" s="997" t="b">
        <v>0</v>
      </c>
      <c r="P58" s="997" t="b">
        <v>0</v>
      </c>
      <c r="Q58" s="997" t="b">
        <v>0</v>
      </c>
      <c r="R58" s="997" t="b">
        <v>0</v>
      </c>
      <c r="S58" s="997" t="b">
        <v>0</v>
      </c>
      <c r="T58" s="997" t="b">
        <v>0</v>
      </c>
      <c r="U58" s="997" t="b">
        <v>0</v>
      </c>
      <c r="V58" s="997" t="b">
        <v>0</v>
      </c>
      <c r="W58" s="997" t="b">
        <v>0</v>
      </c>
      <c r="X58" s="997" t="b">
        <v>0</v>
      </c>
      <c r="Y58" s="997" t="b">
        <v>0</v>
      </c>
      <c r="Z58" s="997" t="b">
        <v>0</v>
      </c>
      <c r="AA58" s="997" t="b">
        <v>0</v>
      </c>
      <c r="AB58" s="997" t="s">
        <v>1534</v>
      </c>
    </row>
    <row r="59">
      <c r="A59" s="982" t="s">
        <v>1521</v>
      </c>
      <c r="B59" s="985" t="str">
        <f t="shared" si="1"/>
        <v>TRUEFALSEFALSEFALSEFALSEFALSEFALSEFALSEFALSEFALSEFALSEFALSEFALSEFALSEFALSEFALSEFALSEFALSEFALSEFALSEFALSEFALSEFALSE</v>
      </c>
      <c r="C59" s="998" t="s">
        <v>1535</v>
      </c>
      <c r="D59" s="999" t="b">
        <v>1</v>
      </c>
      <c r="E59" s="999" t="b">
        <v>1</v>
      </c>
      <c r="F59" s="999" t="b">
        <v>0</v>
      </c>
      <c r="G59" s="999" t="b">
        <v>0</v>
      </c>
      <c r="H59" s="999" t="b">
        <v>0</v>
      </c>
      <c r="I59" s="999" t="b">
        <v>0</v>
      </c>
      <c r="J59" s="999" t="b">
        <v>0</v>
      </c>
      <c r="K59" s="999" t="b">
        <v>0</v>
      </c>
      <c r="L59" s="999" t="b">
        <v>0</v>
      </c>
      <c r="M59" s="999" t="b">
        <v>0</v>
      </c>
      <c r="N59" s="999" t="b">
        <v>0</v>
      </c>
      <c r="O59" s="999" t="b">
        <v>0</v>
      </c>
      <c r="P59" s="999" t="b">
        <v>0</v>
      </c>
      <c r="Q59" s="999" t="b">
        <v>0</v>
      </c>
      <c r="R59" s="999" t="b">
        <v>0</v>
      </c>
      <c r="S59" s="999" t="b">
        <v>0</v>
      </c>
      <c r="T59" s="999" t="b">
        <v>0</v>
      </c>
      <c r="U59" s="999" t="b">
        <v>0</v>
      </c>
      <c r="V59" s="999" t="b">
        <v>0</v>
      </c>
      <c r="W59" s="999" t="b">
        <v>0</v>
      </c>
      <c r="X59" s="999" t="b">
        <v>0</v>
      </c>
      <c r="Y59" s="999" t="b">
        <v>0</v>
      </c>
      <c r="Z59" s="999" t="b">
        <v>0</v>
      </c>
      <c r="AA59" s="999" t="b">
        <v>0</v>
      </c>
      <c r="AB59" s="999" t="s">
        <v>1536</v>
      </c>
    </row>
    <row r="60">
      <c r="A60" s="982" t="s">
        <v>1537</v>
      </c>
      <c r="B60" s="985" t="str">
        <f t="shared" si="1"/>
        <v>FALSETRUEFALSETRUETRUETRUETRUETRUETRUETRUETRUETRUETRUETRUETRUETRUETRUETRUEFALSEFALSEFALSEFALSETRUE</v>
      </c>
      <c r="C60" s="998" t="s">
        <v>1538</v>
      </c>
      <c r="D60" s="999" t="b">
        <v>1</v>
      </c>
      <c r="E60" s="999" t="b">
        <v>0</v>
      </c>
      <c r="F60" s="999" t="b">
        <v>1</v>
      </c>
      <c r="G60" s="999" t="b">
        <v>0</v>
      </c>
      <c r="H60" s="999" t="b">
        <v>1</v>
      </c>
      <c r="I60" s="999" t="b">
        <v>1</v>
      </c>
      <c r="J60" s="999" t="b">
        <v>1</v>
      </c>
      <c r="K60" s="999" t="b">
        <v>1</v>
      </c>
      <c r="L60" s="999" t="b">
        <v>1</v>
      </c>
      <c r="M60" s="999" t="b">
        <v>1</v>
      </c>
      <c r="N60" s="999" t="b">
        <v>1</v>
      </c>
      <c r="O60" s="999" t="b">
        <v>1</v>
      </c>
      <c r="P60" s="999" t="b">
        <v>1</v>
      </c>
      <c r="Q60" s="999" t="b">
        <v>1</v>
      </c>
      <c r="R60" s="999" t="b">
        <v>1</v>
      </c>
      <c r="S60" s="999" t="b">
        <v>1</v>
      </c>
      <c r="T60" s="999" t="b">
        <v>1</v>
      </c>
      <c r="U60" s="999" t="b">
        <v>1</v>
      </c>
      <c r="V60" s="999" t="b">
        <v>1</v>
      </c>
      <c r="W60" s="999" t="b">
        <v>0</v>
      </c>
      <c r="X60" s="999" t="b">
        <v>0</v>
      </c>
      <c r="Y60" s="999" t="b">
        <v>0</v>
      </c>
      <c r="Z60" s="999" t="b">
        <v>0</v>
      </c>
      <c r="AA60" s="999" t="b">
        <v>1</v>
      </c>
      <c r="AB60" s="999" t="s">
        <v>1539</v>
      </c>
    </row>
    <row r="61">
      <c r="A61" s="982" t="s">
        <v>1540</v>
      </c>
      <c r="B61" s="985" t="str">
        <f t="shared" si="1"/>
        <v>FALSETRUEFALSETRUETRUEFALSETRUETRUETRUETRUETRUETRUETRUETRUETRUETRUETRUETRUEFALSEFALSEFALSEFALSETRUE</v>
      </c>
      <c r="C61" s="998" t="s">
        <v>1541</v>
      </c>
      <c r="D61" s="999" t="b">
        <v>1</v>
      </c>
      <c r="E61" s="999" t="b">
        <v>0</v>
      </c>
      <c r="F61" s="999" t="b">
        <v>1</v>
      </c>
      <c r="G61" s="999" t="b">
        <v>0</v>
      </c>
      <c r="H61" s="999" t="b">
        <v>1</v>
      </c>
      <c r="I61" s="999" t="b">
        <v>1</v>
      </c>
      <c r="J61" s="999" t="b">
        <v>0</v>
      </c>
      <c r="K61" s="999" t="b">
        <v>1</v>
      </c>
      <c r="L61" s="999" t="b">
        <v>1</v>
      </c>
      <c r="M61" s="999" t="b">
        <v>1</v>
      </c>
      <c r="N61" s="999" t="b">
        <v>1</v>
      </c>
      <c r="O61" s="999" t="b">
        <v>1</v>
      </c>
      <c r="P61" s="999" t="b">
        <v>1</v>
      </c>
      <c r="Q61" s="999" t="b">
        <v>1</v>
      </c>
      <c r="R61" s="999" t="b">
        <v>1</v>
      </c>
      <c r="S61" s="999" t="b">
        <v>1</v>
      </c>
      <c r="T61" s="999" t="b">
        <v>1</v>
      </c>
      <c r="U61" s="999" t="b">
        <v>1</v>
      </c>
      <c r="V61" s="999" t="b">
        <v>1</v>
      </c>
      <c r="W61" s="999" t="b">
        <v>0</v>
      </c>
      <c r="X61" s="999" t="b">
        <v>0</v>
      </c>
      <c r="Y61" s="999" t="b">
        <v>0</v>
      </c>
      <c r="Z61" s="999" t="b">
        <v>0</v>
      </c>
      <c r="AA61" s="999" t="b">
        <v>1</v>
      </c>
      <c r="AB61" s="999" t="s">
        <v>1542</v>
      </c>
    </row>
    <row r="62">
      <c r="A62" s="982" t="s">
        <v>1521</v>
      </c>
      <c r="B62" s="985" t="str">
        <f t="shared" si="1"/>
        <v>TRUEFALSEFALSEFALSEFALSEFALSEFALSEFALSEFALSEFALSEFALSEFALSEFALSEFALSEFALSEFALSEFALSEFALSEFALSEFALSEFALSEFALSEFALSE</v>
      </c>
      <c r="C62" s="998" t="s">
        <v>1543</v>
      </c>
      <c r="D62" s="999" t="b">
        <v>1</v>
      </c>
      <c r="E62" s="999" t="b">
        <v>1</v>
      </c>
      <c r="F62" s="999" t="b">
        <v>0</v>
      </c>
      <c r="G62" s="999" t="b">
        <v>0</v>
      </c>
      <c r="H62" s="999" t="b">
        <v>0</v>
      </c>
      <c r="I62" s="999" t="b">
        <v>0</v>
      </c>
      <c r="J62" s="999" t="b">
        <v>0</v>
      </c>
      <c r="K62" s="999" t="b">
        <v>0</v>
      </c>
      <c r="L62" s="999" t="b">
        <v>0</v>
      </c>
      <c r="M62" s="999" t="b">
        <v>0</v>
      </c>
      <c r="N62" s="999" t="b">
        <v>0</v>
      </c>
      <c r="O62" s="999" t="b">
        <v>0</v>
      </c>
      <c r="P62" s="999" t="b">
        <v>0</v>
      </c>
      <c r="Q62" s="999" t="b">
        <v>0</v>
      </c>
      <c r="R62" s="999" t="b">
        <v>0</v>
      </c>
      <c r="S62" s="999" t="b">
        <v>0</v>
      </c>
      <c r="T62" s="999" t="b">
        <v>0</v>
      </c>
      <c r="U62" s="999" t="b">
        <v>0</v>
      </c>
      <c r="V62" s="999" t="b">
        <v>0</v>
      </c>
      <c r="W62" s="999" t="b">
        <v>0</v>
      </c>
      <c r="X62" s="999" t="b">
        <v>0</v>
      </c>
      <c r="Y62" s="999" t="b">
        <v>0</v>
      </c>
      <c r="Z62" s="999" t="b">
        <v>0</v>
      </c>
      <c r="AA62" s="999" t="b">
        <v>0</v>
      </c>
      <c r="AB62" s="999" t="s">
        <v>1544</v>
      </c>
    </row>
    <row r="63">
      <c r="A63" s="982" t="s">
        <v>1545</v>
      </c>
      <c r="B63" s="985" t="str">
        <f t="shared" si="1"/>
        <v>FALSETRUEFALSEFALSEFALSEFALSEFALSEFALSEFALSEFALSEFALSEFALSEFALSEFALSEFALSEFALSEFALSEFALSEFALSEFALSEFALSEFALSETRUE</v>
      </c>
      <c r="C63" s="983" t="s">
        <v>1070</v>
      </c>
      <c r="D63" s="982" t="b">
        <v>1</v>
      </c>
      <c r="E63" s="991" t="b">
        <v>0</v>
      </c>
      <c r="F63" s="991" t="b">
        <v>1</v>
      </c>
      <c r="G63" s="991" t="b">
        <v>0</v>
      </c>
      <c r="H63" s="982" t="b">
        <v>0</v>
      </c>
      <c r="I63" s="982" t="b">
        <v>0</v>
      </c>
      <c r="J63" s="982" t="b">
        <v>0</v>
      </c>
      <c r="K63" s="982" t="b">
        <v>0</v>
      </c>
      <c r="L63" s="982" t="b">
        <v>0</v>
      </c>
      <c r="M63" s="982" t="b">
        <v>0</v>
      </c>
      <c r="N63" s="991" t="b">
        <v>0</v>
      </c>
      <c r="O63" s="991" t="b">
        <v>0</v>
      </c>
      <c r="P63" s="991" t="b">
        <v>0</v>
      </c>
      <c r="Q63" s="991" t="b">
        <v>0</v>
      </c>
      <c r="R63" s="991" t="b">
        <v>0</v>
      </c>
      <c r="S63" s="982" t="b">
        <v>0</v>
      </c>
      <c r="T63" s="991" t="b">
        <v>0</v>
      </c>
      <c r="U63" s="991" t="b">
        <v>0</v>
      </c>
      <c r="V63" s="982" t="b">
        <v>0</v>
      </c>
      <c r="W63" s="991" t="b">
        <v>0</v>
      </c>
      <c r="X63" s="991" t="b">
        <v>0</v>
      </c>
      <c r="Y63" s="991" t="b">
        <v>0</v>
      </c>
      <c r="Z63" s="991" t="b">
        <v>0</v>
      </c>
      <c r="AA63" s="982" t="b">
        <v>1</v>
      </c>
      <c r="AB63" s="982" t="s">
        <v>1546</v>
      </c>
    </row>
    <row r="64">
      <c r="A64" s="982" t="s">
        <v>1547</v>
      </c>
      <c r="B64" s="985" t="str">
        <f t="shared" si="1"/>
        <v>FALSETRUEFALSEFALSEFALSEFALSEFALSEFALSEFALSEFALSEFALSEFALSEFALSEFALSEFALSEFALSEFALSEFALSETRUEFALSEFALSEFALSEFALSE</v>
      </c>
      <c r="C64" s="983" t="s">
        <v>1076</v>
      </c>
      <c r="D64" s="982" t="b">
        <v>1</v>
      </c>
      <c r="E64" s="991" t="b">
        <v>0</v>
      </c>
      <c r="F64" s="991" t="b">
        <v>1</v>
      </c>
      <c r="G64" s="991" t="b">
        <v>0</v>
      </c>
      <c r="H64" s="991" t="b">
        <v>0</v>
      </c>
      <c r="I64" s="991" t="b">
        <v>0</v>
      </c>
      <c r="J64" s="991" t="b">
        <v>0</v>
      </c>
      <c r="K64" s="991" t="b">
        <v>0</v>
      </c>
      <c r="L64" s="991" t="b">
        <v>0</v>
      </c>
      <c r="M64" s="991" t="b">
        <v>0</v>
      </c>
      <c r="N64" s="991" t="b">
        <v>0</v>
      </c>
      <c r="O64" s="991" t="b">
        <v>0</v>
      </c>
      <c r="P64" s="991" t="b">
        <v>0</v>
      </c>
      <c r="Q64" s="991" t="b">
        <v>0</v>
      </c>
      <c r="R64" s="991" t="b">
        <v>0</v>
      </c>
      <c r="S64" s="991" t="b">
        <v>0</v>
      </c>
      <c r="T64" s="991" t="b">
        <v>0</v>
      </c>
      <c r="U64" s="991" t="b">
        <v>0</v>
      </c>
      <c r="V64" s="991" t="b">
        <v>0</v>
      </c>
      <c r="W64" s="982" t="b">
        <v>1</v>
      </c>
      <c r="X64" s="991" t="b">
        <v>0</v>
      </c>
      <c r="Y64" s="991" t="b">
        <v>0</v>
      </c>
      <c r="Z64" s="991" t="b">
        <v>0</v>
      </c>
      <c r="AA64" s="991" t="b">
        <v>0</v>
      </c>
      <c r="AB64" s="982" t="s">
        <v>1548</v>
      </c>
    </row>
    <row r="65">
      <c r="A65" s="982" t="s">
        <v>1547</v>
      </c>
      <c r="B65" s="985" t="str">
        <f t="shared" si="1"/>
        <v>FALSETRUEFALSEFALSEFALSEFALSEFALSEFALSEFALSEFALSEFALSEFALSEFALSEFALSEFALSEFALSEFALSEFALSETRUEFALSEFALSEFALSEFALSE</v>
      </c>
      <c r="C65" s="983" t="s">
        <v>1033</v>
      </c>
      <c r="D65" s="982" t="b">
        <v>1</v>
      </c>
      <c r="E65" s="991" t="b">
        <v>0</v>
      </c>
      <c r="F65" s="991" t="b">
        <v>1</v>
      </c>
      <c r="G65" s="991" t="b">
        <v>0</v>
      </c>
      <c r="H65" s="991" t="b">
        <v>0</v>
      </c>
      <c r="I65" s="991" t="b">
        <v>0</v>
      </c>
      <c r="J65" s="991" t="b">
        <v>0</v>
      </c>
      <c r="K65" s="991" t="b">
        <v>0</v>
      </c>
      <c r="L65" s="991" t="b">
        <v>0</v>
      </c>
      <c r="M65" s="991" t="b">
        <v>0</v>
      </c>
      <c r="N65" s="991" t="b">
        <v>0</v>
      </c>
      <c r="O65" s="991" t="b">
        <v>0</v>
      </c>
      <c r="P65" s="991" t="b">
        <v>0</v>
      </c>
      <c r="Q65" s="991" t="b">
        <v>0</v>
      </c>
      <c r="R65" s="991" t="b">
        <v>0</v>
      </c>
      <c r="S65" s="991" t="b">
        <v>0</v>
      </c>
      <c r="T65" s="991" t="b">
        <v>0</v>
      </c>
      <c r="U65" s="991" t="b">
        <v>0</v>
      </c>
      <c r="V65" s="991" t="b">
        <v>0</v>
      </c>
      <c r="W65" s="982" t="b">
        <v>1</v>
      </c>
      <c r="X65" s="991" t="b">
        <v>0</v>
      </c>
      <c r="Y65" s="991" t="b">
        <v>0</v>
      </c>
      <c r="Z65" s="991" t="b">
        <v>0</v>
      </c>
      <c r="AA65" s="991" t="b">
        <v>0</v>
      </c>
      <c r="AB65" s="982" t="s">
        <v>1549</v>
      </c>
    </row>
    <row r="66">
      <c r="A66" s="982" t="s">
        <v>1530</v>
      </c>
      <c r="B66" s="985" t="str">
        <f t="shared" si="1"/>
        <v>FALSETRUEFALSETRUEFALSEFALSEFALSEFALSEFALSEFALSEFALSEFALSEFALSEFALSEFALSEFALSEFALSEFALSEFALSEFALSEFALSEFALSEFALSE</v>
      </c>
      <c r="C66" s="983" t="s">
        <v>1032</v>
      </c>
      <c r="D66" s="982" t="b">
        <v>1</v>
      </c>
      <c r="E66" s="991" t="b">
        <v>0</v>
      </c>
      <c r="F66" s="991" t="b">
        <v>1</v>
      </c>
      <c r="G66" s="991" t="b">
        <v>0</v>
      </c>
      <c r="H66" s="982" t="b">
        <v>1</v>
      </c>
      <c r="I66" s="991" t="b">
        <v>0</v>
      </c>
      <c r="J66" s="991" t="b">
        <v>0</v>
      </c>
      <c r="K66" s="991" t="b">
        <v>0</v>
      </c>
      <c r="L66" s="991" t="b">
        <v>0</v>
      </c>
      <c r="M66" s="991" t="b">
        <v>0</v>
      </c>
      <c r="N66" s="991" t="b">
        <v>0</v>
      </c>
      <c r="O66" s="991" t="b">
        <v>0</v>
      </c>
      <c r="P66" s="991" t="b">
        <v>0</v>
      </c>
      <c r="Q66" s="991" t="b">
        <v>0</v>
      </c>
      <c r="R66" s="991" t="b">
        <v>0</v>
      </c>
      <c r="S66" s="991" t="b">
        <v>0</v>
      </c>
      <c r="T66" s="991" t="b">
        <v>0</v>
      </c>
      <c r="U66" s="991" t="b">
        <v>0</v>
      </c>
      <c r="V66" s="991" t="b">
        <v>0</v>
      </c>
      <c r="W66" s="991" t="b">
        <v>0</v>
      </c>
      <c r="X66" s="991" t="b">
        <v>0</v>
      </c>
      <c r="Y66" s="991" t="b">
        <v>0</v>
      </c>
      <c r="Z66" s="991" t="b">
        <v>0</v>
      </c>
      <c r="AA66" s="991" t="b">
        <v>0</v>
      </c>
      <c r="AB66" s="982" t="s">
        <v>1550</v>
      </c>
    </row>
    <row r="67">
      <c r="A67" s="982" t="s">
        <v>1530</v>
      </c>
      <c r="B67" s="985" t="str">
        <f t="shared" si="1"/>
        <v>FALSETRUEFALSETRUEFALSEFALSEFALSEFALSEFALSEFALSEFALSEFALSEFALSEFALSEFALSEFALSEFALSEFALSEFALSEFALSEFALSEFALSEFALSE</v>
      </c>
      <c r="C67" s="983" t="s">
        <v>1052</v>
      </c>
      <c r="D67" s="982" t="b">
        <v>1</v>
      </c>
      <c r="E67" s="991" t="b">
        <v>0</v>
      </c>
      <c r="F67" s="991" t="b">
        <v>1</v>
      </c>
      <c r="G67" s="991" t="b">
        <v>0</v>
      </c>
      <c r="H67" s="982" t="b">
        <v>1</v>
      </c>
      <c r="I67" s="991" t="b">
        <v>0</v>
      </c>
      <c r="J67" s="991" t="b">
        <v>0</v>
      </c>
      <c r="K67" s="991" t="b">
        <v>0</v>
      </c>
      <c r="L67" s="991" t="b">
        <v>0</v>
      </c>
      <c r="M67" s="991" t="b">
        <v>0</v>
      </c>
      <c r="N67" s="991" t="b">
        <v>0</v>
      </c>
      <c r="O67" s="991" t="b">
        <v>0</v>
      </c>
      <c r="P67" s="991" t="b">
        <v>0</v>
      </c>
      <c r="Q67" s="991" t="b">
        <v>0</v>
      </c>
      <c r="R67" s="991" t="b">
        <v>0</v>
      </c>
      <c r="S67" s="991" t="b">
        <v>0</v>
      </c>
      <c r="T67" s="991" t="b">
        <v>0</v>
      </c>
      <c r="U67" s="991" t="b">
        <v>0</v>
      </c>
      <c r="V67" s="991" t="b">
        <v>0</v>
      </c>
      <c r="W67" s="991" t="b">
        <v>0</v>
      </c>
      <c r="X67" s="991" t="b">
        <v>0</v>
      </c>
      <c r="Y67" s="991" t="b">
        <v>0</v>
      </c>
      <c r="Z67" s="991" t="b">
        <v>0</v>
      </c>
      <c r="AA67" s="991" t="b">
        <v>0</v>
      </c>
      <c r="AB67" s="982" t="s">
        <v>1551</v>
      </c>
    </row>
    <row r="68">
      <c r="A68" s="982" t="s">
        <v>1530</v>
      </c>
      <c r="B68" s="985" t="str">
        <f t="shared" si="1"/>
        <v>FALSETRUEFALSETRUEFALSEFALSEFALSEFALSEFALSEFALSEFALSEFALSEFALSEFALSEFALSEFALSEFALSEFALSEFALSEFALSEFALSEFALSEFALSE</v>
      </c>
      <c r="C68" s="983" t="s">
        <v>1029</v>
      </c>
      <c r="D68" s="982" t="b">
        <v>1</v>
      </c>
      <c r="E68" s="991" t="b">
        <v>0</v>
      </c>
      <c r="F68" s="991" t="b">
        <v>1</v>
      </c>
      <c r="G68" s="991" t="b">
        <v>0</v>
      </c>
      <c r="H68" s="982" t="b">
        <v>1</v>
      </c>
      <c r="I68" s="991" t="b">
        <v>0</v>
      </c>
      <c r="J68" s="991" t="b">
        <v>0</v>
      </c>
      <c r="K68" s="991" t="b">
        <v>0</v>
      </c>
      <c r="L68" s="991" t="b">
        <v>0</v>
      </c>
      <c r="M68" s="991" t="b">
        <v>0</v>
      </c>
      <c r="N68" s="991" t="b">
        <v>0</v>
      </c>
      <c r="O68" s="991" t="b">
        <v>0</v>
      </c>
      <c r="P68" s="991" t="b">
        <v>0</v>
      </c>
      <c r="Q68" s="991" t="b">
        <v>0</v>
      </c>
      <c r="R68" s="991" t="b">
        <v>0</v>
      </c>
      <c r="S68" s="991" t="b">
        <v>0</v>
      </c>
      <c r="T68" s="991" t="b">
        <v>0</v>
      </c>
      <c r="U68" s="991" t="b">
        <v>0</v>
      </c>
      <c r="V68" s="991" t="b">
        <v>0</v>
      </c>
      <c r="W68" s="991" t="b">
        <v>0</v>
      </c>
      <c r="X68" s="991" t="b">
        <v>0</v>
      </c>
      <c r="Y68" s="991" t="b">
        <v>0</v>
      </c>
      <c r="Z68" s="991" t="b">
        <v>0</v>
      </c>
      <c r="AA68" s="991" t="b">
        <v>0</v>
      </c>
      <c r="AB68" s="982" t="s">
        <v>1552</v>
      </c>
    </row>
    <row r="69">
      <c r="A69" s="982" t="s">
        <v>1530</v>
      </c>
      <c r="B69" s="985" t="str">
        <f t="shared" si="1"/>
        <v>FALSETRUEFALSETRUEFALSEFALSEFALSEFALSEFALSEFALSEFALSEFALSEFALSEFALSEFALSEFALSEFALSEFALSEFALSEFALSEFALSEFALSEFALSE</v>
      </c>
      <c r="C69" s="983" t="s">
        <v>1034</v>
      </c>
      <c r="D69" s="982" t="b">
        <v>1</v>
      </c>
      <c r="E69" s="991" t="b">
        <v>0</v>
      </c>
      <c r="F69" s="991" t="b">
        <v>1</v>
      </c>
      <c r="G69" s="991" t="b">
        <v>0</v>
      </c>
      <c r="H69" s="982" t="b">
        <v>1</v>
      </c>
      <c r="I69" s="991" t="b">
        <v>0</v>
      </c>
      <c r="J69" s="991" t="b">
        <v>0</v>
      </c>
      <c r="K69" s="991" t="b">
        <v>0</v>
      </c>
      <c r="L69" s="991" t="b">
        <v>0</v>
      </c>
      <c r="M69" s="991" t="b">
        <v>0</v>
      </c>
      <c r="N69" s="991" t="b">
        <v>0</v>
      </c>
      <c r="O69" s="991" t="b">
        <v>0</v>
      </c>
      <c r="P69" s="991" t="b">
        <v>0</v>
      </c>
      <c r="Q69" s="991" t="b">
        <v>0</v>
      </c>
      <c r="R69" s="991" t="b">
        <v>0</v>
      </c>
      <c r="S69" s="991" t="b">
        <v>0</v>
      </c>
      <c r="T69" s="991" t="b">
        <v>0</v>
      </c>
      <c r="U69" s="991" t="b">
        <v>0</v>
      </c>
      <c r="V69" s="991" t="b">
        <v>0</v>
      </c>
      <c r="W69" s="991" t="b">
        <v>0</v>
      </c>
      <c r="X69" s="991" t="b">
        <v>0</v>
      </c>
      <c r="Y69" s="991" t="b">
        <v>0</v>
      </c>
      <c r="Z69" s="991" t="b">
        <v>0</v>
      </c>
      <c r="AA69" s="991" t="b">
        <v>0</v>
      </c>
      <c r="AB69" s="982" t="s">
        <v>1553</v>
      </c>
    </row>
    <row r="70">
      <c r="A70" s="982" t="s">
        <v>1530</v>
      </c>
      <c r="B70" s="985" t="str">
        <f t="shared" si="1"/>
        <v>FALSETRUEFALSETRUEFALSEFALSEFALSEFALSEFALSEFALSEFALSEFALSEFALSEFALSEFALSEFALSEFALSEFALSEFALSEFALSEFALSEFALSEFALSE</v>
      </c>
      <c r="C70" s="983" t="s">
        <v>1075</v>
      </c>
      <c r="D70" s="982" t="b">
        <v>1</v>
      </c>
      <c r="E70" s="991" t="b">
        <v>0</v>
      </c>
      <c r="F70" s="991" t="b">
        <v>1</v>
      </c>
      <c r="G70" s="991" t="b">
        <v>0</v>
      </c>
      <c r="H70" s="982" t="b">
        <v>1</v>
      </c>
      <c r="I70" s="991" t="b">
        <v>0</v>
      </c>
      <c r="J70" s="991" t="b">
        <v>0</v>
      </c>
      <c r="K70" s="991" t="b">
        <v>0</v>
      </c>
      <c r="L70" s="991" t="b">
        <v>0</v>
      </c>
      <c r="M70" s="991" t="b">
        <v>0</v>
      </c>
      <c r="N70" s="991" t="b">
        <v>0</v>
      </c>
      <c r="O70" s="991" t="b">
        <v>0</v>
      </c>
      <c r="P70" s="991" t="b">
        <v>0</v>
      </c>
      <c r="Q70" s="991" t="b">
        <v>0</v>
      </c>
      <c r="R70" s="991" t="b">
        <v>0</v>
      </c>
      <c r="S70" s="991" t="b">
        <v>0</v>
      </c>
      <c r="T70" s="991" t="b">
        <v>0</v>
      </c>
      <c r="U70" s="991" t="b">
        <v>0</v>
      </c>
      <c r="V70" s="991" t="b">
        <v>0</v>
      </c>
      <c r="W70" s="991" t="b">
        <v>0</v>
      </c>
      <c r="X70" s="991" t="b">
        <v>0</v>
      </c>
      <c r="Y70" s="991" t="b">
        <v>0</v>
      </c>
      <c r="Z70" s="991" t="b">
        <v>0</v>
      </c>
      <c r="AA70" s="991" t="b">
        <v>0</v>
      </c>
      <c r="AB70" s="982" t="s">
        <v>1554</v>
      </c>
    </row>
    <row r="71">
      <c r="A71" s="982" t="s">
        <v>1555</v>
      </c>
      <c r="B71" s="985" t="str">
        <f t="shared" si="1"/>
        <v>FALSETRUEFALSEFALSEFALSEFALSEFALSETRUEFALSEFALSEFALSEFALSEFALSEFALSEFALSEFALSEFALSEFALSEFALSEFALSEFALSEFALSEFALSE</v>
      </c>
      <c r="C71" s="983" t="s">
        <v>1073</v>
      </c>
      <c r="D71" s="982" t="b">
        <v>1</v>
      </c>
      <c r="E71" s="991" t="b">
        <v>0</v>
      </c>
      <c r="F71" s="991" t="b">
        <v>1</v>
      </c>
      <c r="G71" s="991" t="b">
        <v>0</v>
      </c>
      <c r="H71" s="991" t="b">
        <v>0</v>
      </c>
      <c r="I71" s="991" t="b">
        <v>0</v>
      </c>
      <c r="J71" s="991" t="b">
        <v>0</v>
      </c>
      <c r="K71" s="991" t="b">
        <v>0</v>
      </c>
      <c r="L71" s="982" t="b">
        <v>1</v>
      </c>
      <c r="M71" s="991" t="b">
        <v>0</v>
      </c>
      <c r="N71" s="991" t="b">
        <v>0</v>
      </c>
      <c r="O71" s="991" t="b">
        <v>0</v>
      </c>
      <c r="P71" s="991" t="b">
        <v>0</v>
      </c>
      <c r="Q71" s="991" t="b">
        <v>0</v>
      </c>
      <c r="R71" s="991" t="b">
        <v>0</v>
      </c>
      <c r="S71" s="991" t="b">
        <v>0</v>
      </c>
      <c r="T71" s="991" t="b">
        <v>0</v>
      </c>
      <c r="U71" s="991" t="b">
        <v>0</v>
      </c>
      <c r="V71" s="991" t="b">
        <v>0</v>
      </c>
      <c r="W71" s="991" t="b">
        <v>0</v>
      </c>
      <c r="X71" s="991" t="b">
        <v>0</v>
      </c>
      <c r="Y71" s="991" t="b">
        <v>0</v>
      </c>
      <c r="Z71" s="991" t="b">
        <v>0</v>
      </c>
      <c r="AA71" s="991" t="b">
        <v>0</v>
      </c>
      <c r="AB71" s="982" t="s">
        <v>1556</v>
      </c>
    </row>
    <row r="72">
      <c r="A72" s="982" t="s">
        <v>1515</v>
      </c>
      <c r="B72" s="985" t="str">
        <f t="shared" si="1"/>
        <v>FALSETRUEFALSEFALSEFALSEFALSEFALSEFALSEFALSEFALSEFALSEFALSEFALSEFALSEFALSEFALSEFALSEFALSEFALSEFALSEFALSEFALSEFALSE</v>
      </c>
      <c r="C72" s="983" t="s">
        <v>1038</v>
      </c>
      <c r="D72" s="982" t="b">
        <v>1</v>
      </c>
      <c r="E72" s="991" t="b">
        <v>0</v>
      </c>
      <c r="F72" s="991" t="b">
        <v>1</v>
      </c>
      <c r="G72" s="991" t="b">
        <v>0</v>
      </c>
      <c r="H72" s="991" t="b">
        <v>0</v>
      </c>
      <c r="I72" s="991" t="b">
        <v>0</v>
      </c>
      <c r="J72" s="991" t="b">
        <v>0</v>
      </c>
      <c r="K72" s="991" t="b">
        <v>0</v>
      </c>
      <c r="L72" s="991" t="b">
        <v>0</v>
      </c>
      <c r="M72" s="991" t="b">
        <v>0</v>
      </c>
      <c r="N72" s="991" t="b">
        <v>0</v>
      </c>
      <c r="O72" s="991" t="b">
        <v>0</v>
      </c>
      <c r="P72" s="991" t="b">
        <v>0</v>
      </c>
      <c r="Q72" s="991" t="b">
        <v>0</v>
      </c>
      <c r="R72" s="991" t="b">
        <v>0</v>
      </c>
      <c r="S72" s="991" t="b">
        <v>0</v>
      </c>
      <c r="T72" s="991" t="b">
        <v>0</v>
      </c>
      <c r="U72" s="991" t="b">
        <v>0</v>
      </c>
      <c r="V72" s="991" t="b">
        <v>0</v>
      </c>
      <c r="W72" s="991" t="b">
        <v>0</v>
      </c>
      <c r="X72" s="991" t="b">
        <v>0</v>
      </c>
      <c r="Y72" s="991" t="b">
        <v>0</v>
      </c>
      <c r="Z72" s="991" t="b">
        <v>0</v>
      </c>
      <c r="AA72" s="991" t="b">
        <v>0</v>
      </c>
      <c r="AB72" s="982" t="s">
        <v>1557</v>
      </c>
    </row>
    <row r="73">
      <c r="A73" s="982" t="s">
        <v>1555</v>
      </c>
      <c r="B73" s="985" t="str">
        <f t="shared" si="1"/>
        <v>FALSETRUEFALSEFALSEFALSEFALSEFALSETRUEFALSEFALSEFALSEFALSEFALSEFALSEFALSEFALSEFALSEFALSEFALSEFALSEFALSEFALSEFALSE</v>
      </c>
      <c r="C73" s="983" t="s">
        <v>1072</v>
      </c>
      <c r="D73" s="982" t="b">
        <v>1</v>
      </c>
      <c r="E73" s="991" t="b">
        <v>0</v>
      </c>
      <c r="F73" s="991" t="b">
        <v>1</v>
      </c>
      <c r="G73" s="991" t="b">
        <v>0</v>
      </c>
      <c r="H73" s="991" t="b">
        <v>0</v>
      </c>
      <c r="I73" s="991" t="b">
        <v>0</v>
      </c>
      <c r="J73" s="991" t="b">
        <v>0</v>
      </c>
      <c r="K73" s="991" t="b">
        <v>0</v>
      </c>
      <c r="L73" s="982" t="b">
        <v>1</v>
      </c>
      <c r="M73" s="991" t="b">
        <v>0</v>
      </c>
      <c r="N73" s="991" t="b">
        <v>0</v>
      </c>
      <c r="O73" s="991" t="b">
        <v>0</v>
      </c>
      <c r="P73" s="991" t="b">
        <v>0</v>
      </c>
      <c r="Q73" s="991" t="b">
        <v>0</v>
      </c>
      <c r="R73" s="991" t="b">
        <v>0</v>
      </c>
      <c r="S73" s="991" t="b">
        <v>0</v>
      </c>
      <c r="T73" s="991" t="b">
        <v>0</v>
      </c>
      <c r="U73" s="991" t="b">
        <v>0</v>
      </c>
      <c r="V73" s="991" t="b">
        <v>0</v>
      </c>
      <c r="W73" s="991" t="b">
        <v>0</v>
      </c>
      <c r="X73" s="991" t="b">
        <v>0</v>
      </c>
      <c r="Y73" s="991" t="b">
        <v>0</v>
      </c>
      <c r="Z73" s="991" t="b">
        <v>0</v>
      </c>
      <c r="AA73" s="991" t="b">
        <v>0</v>
      </c>
      <c r="AB73" s="982" t="s">
        <v>1558</v>
      </c>
    </row>
    <row r="74">
      <c r="A74" s="982" t="s">
        <v>1559</v>
      </c>
      <c r="B74" s="985" t="str">
        <f t="shared" si="1"/>
        <v>FALSETRUEFALSETRUETRUETRUETRUETRUETRUEFALSEFALSEFALSEFALSEFALSETRUEFALSEFALSETRUEFALSEFALSEFALSEFALSEFALSE</v>
      </c>
      <c r="C74" s="983" t="s">
        <v>1560</v>
      </c>
      <c r="D74" s="982" t="b">
        <v>1</v>
      </c>
      <c r="E74" s="991" t="b">
        <v>0</v>
      </c>
      <c r="F74" s="991" t="b">
        <v>1</v>
      </c>
      <c r="G74" s="991" t="b">
        <v>0</v>
      </c>
      <c r="H74" s="982" t="b">
        <v>1</v>
      </c>
      <c r="I74" s="982" t="b">
        <v>1</v>
      </c>
      <c r="J74" s="982" t="b">
        <v>1</v>
      </c>
      <c r="K74" s="982" t="b">
        <v>1</v>
      </c>
      <c r="L74" s="982" t="b">
        <v>1</v>
      </c>
      <c r="M74" s="982" t="b">
        <v>1</v>
      </c>
      <c r="N74" s="991" t="b">
        <v>0</v>
      </c>
      <c r="O74" s="991" t="b">
        <v>0</v>
      </c>
      <c r="P74" s="991" t="b">
        <v>0</v>
      </c>
      <c r="Q74" s="991" t="b">
        <v>0</v>
      </c>
      <c r="R74" s="991" t="b">
        <v>0</v>
      </c>
      <c r="S74" s="982" t="b">
        <v>1</v>
      </c>
      <c r="T74" s="991" t="b">
        <v>0</v>
      </c>
      <c r="U74" s="991" t="b">
        <v>0</v>
      </c>
      <c r="V74" s="982" t="b">
        <v>1</v>
      </c>
      <c r="W74" s="991" t="b">
        <v>0</v>
      </c>
      <c r="X74" s="991" t="b">
        <v>0</v>
      </c>
      <c r="Y74" s="991" t="b">
        <v>0</v>
      </c>
      <c r="Z74" s="991" t="b">
        <v>0</v>
      </c>
      <c r="AA74" s="991" t="b">
        <v>0</v>
      </c>
      <c r="AB74" s="982" t="s">
        <v>1561</v>
      </c>
    </row>
    <row r="75">
      <c r="A75" s="982" t="s">
        <v>1515</v>
      </c>
      <c r="B75" s="985" t="str">
        <f t="shared" si="1"/>
        <v>FALSETRUEFALSEFALSEFALSEFALSEFALSEFALSEFALSEFALSEFALSEFALSEFALSEFALSEFALSEFALSEFALSEFALSEFALSEFALSEFALSEFALSEFALSE</v>
      </c>
      <c r="C75" s="983" t="s">
        <v>1074</v>
      </c>
      <c r="D75" s="982" t="b">
        <v>1</v>
      </c>
      <c r="E75" s="991" t="b">
        <v>0</v>
      </c>
      <c r="F75" s="991" t="b">
        <v>1</v>
      </c>
      <c r="G75" s="991" t="b">
        <v>0</v>
      </c>
      <c r="H75" s="991" t="b">
        <v>0</v>
      </c>
      <c r="I75" s="991" t="b">
        <v>0</v>
      </c>
      <c r="J75" s="991" t="b">
        <v>0</v>
      </c>
      <c r="K75" s="991" t="b">
        <v>0</v>
      </c>
      <c r="L75" s="991" t="b">
        <v>0</v>
      </c>
      <c r="M75" s="991" t="b">
        <v>0</v>
      </c>
      <c r="N75" s="991" t="b">
        <v>0</v>
      </c>
      <c r="O75" s="991" t="b">
        <v>0</v>
      </c>
      <c r="P75" s="991" t="b">
        <v>0</v>
      </c>
      <c r="Q75" s="991" t="b">
        <v>0</v>
      </c>
      <c r="R75" s="991" t="b">
        <v>0</v>
      </c>
      <c r="S75" s="991" t="b">
        <v>0</v>
      </c>
      <c r="T75" s="991" t="b">
        <v>0</v>
      </c>
      <c r="U75" s="991" t="b">
        <v>0</v>
      </c>
      <c r="V75" s="991" t="b">
        <v>0</v>
      </c>
      <c r="W75" s="991" t="b">
        <v>0</v>
      </c>
      <c r="X75" s="991" t="b">
        <v>0</v>
      </c>
      <c r="Y75" s="991" t="b">
        <v>0</v>
      </c>
      <c r="Z75" s="991" t="b">
        <v>0</v>
      </c>
      <c r="AA75" s="991" t="b">
        <v>0</v>
      </c>
      <c r="AB75" s="982" t="s">
        <v>1562</v>
      </c>
    </row>
    <row r="76">
      <c r="A76" s="982" t="s">
        <v>1559</v>
      </c>
      <c r="B76" s="985" t="str">
        <f t="shared" si="1"/>
        <v>FALSETRUEFALSETRUETRUETRUETRUETRUETRUEFALSEFALSEFALSEFALSEFALSETRUEFALSEFALSETRUEFALSEFALSEFALSEFALSEFALSE</v>
      </c>
      <c r="C76" s="983" t="s">
        <v>1563</v>
      </c>
      <c r="D76" s="982" t="b">
        <v>1</v>
      </c>
      <c r="E76" s="991" t="b">
        <v>0</v>
      </c>
      <c r="F76" s="991" t="b">
        <v>1</v>
      </c>
      <c r="G76" s="991" t="b">
        <v>0</v>
      </c>
      <c r="H76" s="982" t="b">
        <v>1</v>
      </c>
      <c r="I76" s="982" t="b">
        <v>1</v>
      </c>
      <c r="J76" s="982" t="b">
        <v>1</v>
      </c>
      <c r="K76" s="982" t="b">
        <v>1</v>
      </c>
      <c r="L76" s="982" t="b">
        <v>1</v>
      </c>
      <c r="M76" s="982" t="b">
        <v>1</v>
      </c>
      <c r="N76" s="991" t="b">
        <v>0</v>
      </c>
      <c r="O76" s="991" t="b">
        <v>0</v>
      </c>
      <c r="P76" s="991" t="b">
        <v>0</v>
      </c>
      <c r="Q76" s="991" t="b">
        <v>0</v>
      </c>
      <c r="R76" s="991" t="b">
        <v>0</v>
      </c>
      <c r="S76" s="982" t="b">
        <v>1</v>
      </c>
      <c r="T76" s="991" t="b">
        <v>0</v>
      </c>
      <c r="U76" s="991" t="b">
        <v>0</v>
      </c>
      <c r="V76" s="982" t="b">
        <v>1</v>
      </c>
      <c r="W76" s="991" t="b">
        <v>0</v>
      </c>
      <c r="X76" s="991" t="b">
        <v>0</v>
      </c>
      <c r="Y76" s="991" t="b">
        <v>0</v>
      </c>
      <c r="Z76" s="991" t="b">
        <v>0</v>
      </c>
      <c r="AA76" s="991" t="b">
        <v>0</v>
      </c>
      <c r="AB76" s="982" t="s">
        <v>1564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0.5"/>
    <col customWidth="1" min="3" max="3" width="3.0"/>
    <col customWidth="1" min="4" max="4" width="20.5"/>
    <col customWidth="1" min="5" max="5" width="18.63"/>
    <col customWidth="1" min="6" max="6" width="17.75"/>
    <col customWidth="1" min="7" max="7" width="18.63"/>
    <col customWidth="1" min="8" max="8" width="17.63"/>
    <col customWidth="1" min="9" max="9" width="14.25"/>
    <col customWidth="1" min="10" max="10" width="15.0"/>
    <col customWidth="1" min="11" max="11" width="1.5"/>
    <col customWidth="1" min="13" max="13" width="3.0"/>
  </cols>
  <sheetData>
    <row r="1">
      <c r="A1" s="3">
        <f t="shared" ref="A1:A163" si="1">ROW()</f>
        <v>1</v>
      </c>
      <c r="B1" s="340" t="s">
        <v>0</v>
      </c>
      <c r="C1" s="3" t="str">
        <f t="shared" ref="C1:C12" si="2">"=&gt;"</f>
        <v>=&gt;</v>
      </c>
      <c r="D1" s="341" t="s">
        <v>836</v>
      </c>
      <c r="E1" s="342" t="s">
        <v>837</v>
      </c>
      <c r="F1" s="3" t="s">
        <v>838</v>
      </c>
      <c r="G1" s="3" t="s">
        <v>62</v>
      </c>
      <c r="H1" s="3" t="s">
        <v>64</v>
      </c>
      <c r="I1" s="651" t="s">
        <v>839</v>
      </c>
      <c r="J1" s="3"/>
      <c r="K1" s="8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>
        <f t="shared" si="1"/>
        <v>2</v>
      </c>
      <c r="B2" s="341" t="s">
        <v>836</v>
      </c>
      <c r="C2" s="3" t="str">
        <f t="shared" si="2"/>
        <v>=&gt;</v>
      </c>
      <c r="D2" s="7" t="s">
        <v>840</v>
      </c>
      <c r="E2" s="344" t="s">
        <v>841</v>
      </c>
      <c r="F2" s="341" t="s">
        <v>836</v>
      </c>
      <c r="G2" s="3"/>
      <c r="H2" s="3"/>
      <c r="I2" s="3"/>
      <c r="J2" s="3"/>
      <c r="K2" s="3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">
        <f t="shared" si="1"/>
        <v>3</v>
      </c>
      <c r="B3" s="341" t="s">
        <v>836</v>
      </c>
      <c r="C3" s="3" t="str">
        <f t="shared" si="2"/>
        <v>=&gt;</v>
      </c>
      <c r="D3" s="7" t="s">
        <v>842</v>
      </c>
      <c r="E3" s="345" t="s">
        <v>843</v>
      </c>
      <c r="F3" s="341" t="s">
        <v>836</v>
      </c>
      <c r="G3" s="3"/>
      <c r="H3" s="3"/>
      <c r="I3" s="3"/>
      <c r="J3" s="3"/>
      <c r="K3" s="3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">
        <f t="shared" si="1"/>
        <v>4</v>
      </c>
      <c r="B4" s="341" t="s">
        <v>836</v>
      </c>
      <c r="C4" s="3" t="str">
        <f t="shared" si="2"/>
        <v>=&gt;</v>
      </c>
      <c r="D4" s="3" t="s">
        <v>844</v>
      </c>
      <c r="E4" s="346" t="s">
        <v>845</v>
      </c>
      <c r="F4" s="341" t="s">
        <v>836</v>
      </c>
      <c r="G4" s="3"/>
      <c r="H4" s="3"/>
      <c r="I4" s="3"/>
      <c r="J4" s="3"/>
      <c r="K4" s="3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">
        <f t="shared" si="1"/>
        <v>5</v>
      </c>
      <c r="B5" s="341" t="s">
        <v>836</v>
      </c>
      <c r="C5" s="3" t="str">
        <f t="shared" si="2"/>
        <v>=&gt;</v>
      </c>
      <c r="D5" s="3" t="s">
        <v>846</v>
      </c>
      <c r="E5" s="347" t="s">
        <v>847</v>
      </c>
      <c r="F5" s="341" t="s">
        <v>836</v>
      </c>
      <c r="G5" s="3"/>
      <c r="H5" s="3"/>
      <c r="I5" s="3"/>
      <c r="J5" s="3"/>
      <c r="K5" s="3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">
        <f t="shared" si="1"/>
        <v>6</v>
      </c>
      <c r="B6" s="341" t="s">
        <v>836</v>
      </c>
      <c r="C6" s="3" t="str">
        <f t="shared" si="2"/>
        <v>=&gt;</v>
      </c>
      <c r="D6" s="348" t="s">
        <v>848</v>
      </c>
      <c r="E6" s="341" t="s">
        <v>836</v>
      </c>
      <c r="F6" s="3"/>
      <c r="G6" s="3"/>
      <c r="H6" s="3"/>
      <c r="I6" s="3"/>
      <c r="J6" s="3"/>
      <c r="K6" s="3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">
        <f t="shared" si="1"/>
        <v>7</v>
      </c>
      <c r="B7" s="341" t="s">
        <v>836</v>
      </c>
      <c r="C7" s="3" t="str">
        <f t="shared" si="2"/>
        <v>=&gt;</v>
      </c>
      <c r="D7" s="3" t="s">
        <v>14</v>
      </c>
      <c r="E7" s="349" t="s">
        <v>849</v>
      </c>
      <c r="F7" s="341" t="s">
        <v>836</v>
      </c>
      <c r="G7" s="3"/>
      <c r="H7" s="3"/>
      <c r="I7" s="3"/>
      <c r="J7" s="3"/>
      <c r="K7" s="3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">
        <f t="shared" si="1"/>
        <v>8</v>
      </c>
      <c r="B8" s="341" t="s">
        <v>836</v>
      </c>
      <c r="C8" s="3" t="str">
        <f t="shared" si="2"/>
        <v>=&gt;</v>
      </c>
      <c r="D8" s="3" t="s">
        <v>8</v>
      </c>
      <c r="E8" s="3"/>
      <c r="F8" s="3"/>
      <c r="G8" s="3"/>
      <c r="H8" s="3"/>
      <c r="I8" s="3"/>
      <c r="J8" s="3"/>
      <c r="K8" s="3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">
        <f t="shared" si="1"/>
        <v>9</v>
      </c>
      <c r="B9" s="344" t="s">
        <v>841</v>
      </c>
      <c r="C9" s="3" t="str">
        <f t="shared" si="2"/>
        <v>=&gt;</v>
      </c>
      <c r="D9" s="7" t="s">
        <v>850</v>
      </c>
      <c r="E9" s="350" t="s">
        <v>851</v>
      </c>
      <c r="F9" s="21" t="s">
        <v>6</v>
      </c>
      <c r="G9" s="7"/>
      <c r="H9" s="15"/>
      <c r="I9" s="3"/>
      <c r="J9" s="3"/>
      <c r="K9" s="3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">
        <f t="shared" si="1"/>
        <v>10</v>
      </c>
      <c r="B10" s="350" t="s">
        <v>851</v>
      </c>
      <c r="C10" s="3" t="str">
        <f t="shared" si="2"/>
        <v>=&gt;</v>
      </c>
      <c r="D10" s="3" t="s">
        <v>14</v>
      </c>
      <c r="E10" s="352" t="s">
        <v>853</v>
      </c>
      <c r="F10" s="353" t="s">
        <v>854</v>
      </c>
      <c r="G10" s="7"/>
      <c r="H10" s="15"/>
      <c r="I10" s="3"/>
      <c r="J10" s="3"/>
      <c r="K10" s="3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">
        <f t="shared" si="1"/>
        <v>11</v>
      </c>
      <c r="B11" s="352" t="s">
        <v>853</v>
      </c>
      <c r="C11" s="3" t="str">
        <f t="shared" si="2"/>
        <v>=&gt;</v>
      </c>
      <c r="D11" s="3" t="str">
        <f>"="</f>
        <v>=</v>
      </c>
      <c r="E11" s="1000" t="s">
        <v>935</v>
      </c>
      <c r="F11" s="21"/>
      <c r="G11" s="7"/>
      <c r="H11" s="15"/>
      <c r="I11" s="3"/>
      <c r="J11" s="3"/>
      <c r="K11" s="3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">
        <f t="shared" si="1"/>
        <v>12</v>
      </c>
      <c r="B12" s="352" t="s">
        <v>853</v>
      </c>
      <c r="C12" s="3" t="str">
        <f t="shared" si="2"/>
        <v>=&gt;</v>
      </c>
      <c r="D12" s="3" t="s">
        <v>8</v>
      </c>
      <c r="E12" s="3"/>
      <c r="F12" s="21"/>
      <c r="G12" s="7"/>
      <c r="H12" s="15"/>
      <c r="I12" s="3"/>
      <c r="J12" s="3"/>
      <c r="K12" s="3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">
        <f t="shared" si="1"/>
        <v>13</v>
      </c>
      <c r="B13" s="353" t="s">
        <v>854</v>
      </c>
      <c r="C13" s="3"/>
      <c r="D13" s="3" t="s">
        <v>38</v>
      </c>
      <c r="E13" s="3" t="s">
        <v>14</v>
      </c>
      <c r="F13" s="352" t="s">
        <v>853</v>
      </c>
      <c r="G13" s="353" t="s">
        <v>854</v>
      </c>
      <c r="H13" s="15"/>
      <c r="I13" s="3"/>
      <c r="J13" s="3"/>
      <c r="K13" s="3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">
        <f t="shared" si="1"/>
        <v>14</v>
      </c>
      <c r="B14" s="353" t="s">
        <v>854</v>
      </c>
      <c r="C14" s="3"/>
      <c r="D14" s="3" t="s">
        <v>8</v>
      </c>
      <c r="E14" s="8"/>
      <c r="F14" s="3"/>
      <c r="G14" s="8"/>
      <c r="H14" s="15"/>
      <c r="I14" s="3"/>
      <c r="J14" s="3"/>
      <c r="K14" s="3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">
        <f t="shared" si="1"/>
        <v>15</v>
      </c>
      <c r="B15" s="344" t="s">
        <v>841</v>
      </c>
      <c r="C15" s="3" t="str">
        <f t="shared" ref="C15:C19" si="3">"=&gt;"</f>
        <v>=&gt;</v>
      </c>
      <c r="D15" s="351" t="s">
        <v>852</v>
      </c>
      <c r="E15" s="21"/>
      <c r="F15" s="21"/>
      <c r="G15" s="7"/>
      <c r="H15" s="15"/>
      <c r="I15" s="3"/>
      <c r="J15" s="3"/>
      <c r="K15" s="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">
        <f t="shared" si="1"/>
        <v>16</v>
      </c>
      <c r="B16" s="345" t="s">
        <v>843</v>
      </c>
      <c r="C16" s="3" t="str">
        <f t="shared" si="3"/>
        <v>=&gt;</v>
      </c>
      <c r="D16" s="7" t="s">
        <v>850</v>
      </c>
      <c r="E16" s="468" t="s">
        <v>967</v>
      </c>
      <c r="F16" s="21" t="s">
        <v>6</v>
      </c>
      <c r="G16" s="16"/>
      <c r="H16" s="15"/>
      <c r="I16" s="3"/>
      <c r="J16" s="3"/>
      <c r="K16" s="3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">
        <f t="shared" si="1"/>
        <v>17</v>
      </c>
      <c r="B17" s="350" t="s">
        <v>967</v>
      </c>
      <c r="C17" s="3" t="str">
        <f t="shared" si="3"/>
        <v>=&gt;</v>
      </c>
      <c r="D17" s="3" t="s">
        <v>14</v>
      </c>
      <c r="E17" s="352" t="s">
        <v>968</v>
      </c>
      <c r="F17" s="353" t="s">
        <v>969</v>
      </c>
      <c r="G17" s="7"/>
      <c r="H17" s="7"/>
      <c r="I17" s="3"/>
      <c r="J17" s="3"/>
      <c r="K17" s="3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">
        <f t="shared" si="1"/>
        <v>18</v>
      </c>
      <c r="B18" s="352" t="s">
        <v>968</v>
      </c>
      <c r="C18" s="3" t="str">
        <f t="shared" si="3"/>
        <v>=&gt;</v>
      </c>
      <c r="D18" s="3" t="str">
        <f>"="</f>
        <v>=</v>
      </c>
      <c r="E18" s="1001" t="s">
        <v>952</v>
      </c>
      <c r="F18" s="21"/>
      <c r="G18" s="7"/>
      <c r="H18" s="7"/>
      <c r="I18" s="3"/>
      <c r="J18" s="3"/>
      <c r="K18" s="3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">
        <f t="shared" si="1"/>
        <v>19</v>
      </c>
      <c r="B19" s="352" t="s">
        <v>968</v>
      </c>
      <c r="C19" s="3" t="str">
        <f t="shared" si="3"/>
        <v>=&gt;</v>
      </c>
      <c r="D19" s="3" t="s">
        <v>8</v>
      </c>
      <c r="E19" s="3"/>
      <c r="F19" s="21"/>
      <c r="G19" s="7"/>
      <c r="H19" s="7"/>
      <c r="I19" s="3"/>
      <c r="J19" s="3"/>
      <c r="K19" s="3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">
        <f t="shared" si="1"/>
        <v>20</v>
      </c>
      <c r="B20" s="353" t="s">
        <v>969</v>
      </c>
      <c r="C20" s="3"/>
      <c r="D20" s="3" t="s">
        <v>38</v>
      </c>
      <c r="E20" s="3" t="s">
        <v>14</v>
      </c>
      <c r="F20" s="352" t="s">
        <v>968</v>
      </c>
      <c r="G20" s="353" t="s">
        <v>969</v>
      </c>
      <c r="H20" s="7"/>
      <c r="I20" s="3"/>
      <c r="J20" s="3"/>
      <c r="K20" s="3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">
        <f t="shared" si="1"/>
        <v>21</v>
      </c>
      <c r="B21" s="353" t="s">
        <v>969</v>
      </c>
      <c r="C21" s="3"/>
      <c r="D21" s="3" t="s">
        <v>8</v>
      </c>
      <c r="E21" s="8"/>
      <c r="F21" s="3"/>
      <c r="G21" s="8"/>
      <c r="H21" s="7"/>
      <c r="I21" s="3"/>
      <c r="J21" s="3"/>
      <c r="K21" s="3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">
        <f t="shared" si="1"/>
        <v>22</v>
      </c>
      <c r="B22" s="345" t="s">
        <v>843</v>
      </c>
      <c r="C22" s="3" t="str">
        <f t="shared" ref="C22:C26" si="4">"=&gt;"</f>
        <v>=&gt;</v>
      </c>
      <c r="D22" s="351" t="s">
        <v>852</v>
      </c>
      <c r="E22" s="21"/>
      <c r="F22" s="21"/>
      <c r="G22" s="7"/>
      <c r="H22" s="7"/>
      <c r="I22" s="3"/>
      <c r="J22" s="3"/>
      <c r="K22" s="3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">
        <f t="shared" si="1"/>
        <v>23</v>
      </c>
      <c r="B23" s="346" t="s">
        <v>845</v>
      </c>
      <c r="C23" s="3" t="str">
        <f t="shared" si="4"/>
        <v>=&gt;</v>
      </c>
      <c r="D23" s="7" t="s">
        <v>850</v>
      </c>
      <c r="E23" s="472" t="s">
        <v>970</v>
      </c>
      <c r="F23" s="21" t="s">
        <v>6</v>
      </c>
      <c r="G23" s="16"/>
      <c r="H23" s="7"/>
      <c r="I23" s="3"/>
      <c r="J23" s="3"/>
      <c r="K23" s="3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">
        <f t="shared" si="1"/>
        <v>24</v>
      </c>
      <c r="B24" s="350" t="s">
        <v>970</v>
      </c>
      <c r="C24" s="3" t="str">
        <f t="shared" si="4"/>
        <v>=&gt;</v>
      </c>
      <c r="D24" s="3" t="s">
        <v>14</v>
      </c>
      <c r="E24" s="352" t="s">
        <v>971</v>
      </c>
      <c r="F24" s="353" t="s">
        <v>972</v>
      </c>
      <c r="G24" s="7"/>
      <c r="H24" s="7"/>
      <c r="I24" s="3"/>
      <c r="J24" s="3"/>
      <c r="K24" s="3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">
        <f t="shared" si="1"/>
        <v>25</v>
      </c>
      <c r="B25" s="352" t="s">
        <v>971</v>
      </c>
      <c r="C25" s="3" t="str">
        <f t="shared" si="4"/>
        <v>=&gt;</v>
      </c>
      <c r="D25" s="3" t="str">
        <f>"="</f>
        <v>=</v>
      </c>
      <c r="E25" s="1002" t="s">
        <v>947</v>
      </c>
      <c r="F25" s="21"/>
      <c r="G25" s="7"/>
      <c r="H25" s="7"/>
      <c r="I25" s="3"/>
      <c r="J25" s="3"/>
      <c r="K25" s="3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">
        <f t="shared" si="1"/>
        <v>26</v>
      </c>
      <c r="B26" s="352" t="s">
        <v>971</v>
      </c>
      <c r="C26" s="3" t="str">
        <f t="shared" si="4"/>
        <v>=&gt;</v>
      </c>
      <c r="D26" s="3" t="s">
        <v>8</v>
      </c>
      <c r="E26" s="3"/>
      <c r="F26" s="21"/>
      <c r="G26" s="7"/>
      <c r="H26" s="7"/>
      <c r="I26" s="3"/>
      <c r="J26" s="3"/>
      <c r="K26" s="3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">
        <f t="shared" si="1"/>
        <v>27</v>
      </c>
      <c r="B27" s="353" t="s">
        <v>972</v>
      </c>
      <c r="C27" s="3"/>
      <c r="D27" s="3" t="s">
        <v>38</v>
      </c>
      <c r="E27" s="3" t="s">
        <v>14</v>
      </c>
      <c r="F27" s="352" t="s">
        <v>971</v>
      </c>
      <c r="G27" s="353" t="s">
        <v>972</v>
      </c>
      <c r="H27" s="7"/>
      <c r="I27" s="3"/>
      <c r="J27" s="3"/>
      <c r="K27" s="3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">
        <f t="shared" si="1"/>
        <v>28</v>
      </c>
      <c r="B28" s="353" t="s">
        <v>972</v>
      </c>
      <c r="C28" s="3"/>
      <c r="D28" s="3" t="s">
        <v>8</v>
      </c>
      <c r="E28" s="8"/>
      <c r="F28" s="3"/>
      <c r="G28" s="8"/>
      <c r="H28" s="7"/>
      <c r="I28" s="3"/>
      <c r="J28" s="3"/>
      <c r="K28" s="3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">
        <f t="shared" si="1"/>
        <v>29</v>
      </c>
      <c r="B29" s="346" t="s">
        <v>845</v>
      </c>
      <c r="C29" s="3" t="str">
        <f t="shared" ref="C29:C33" si="5">"=&gt;"</f>
        <v>=&gt;</v>
      </c>
      <c r="D29" s="351" t="s">
        <v>852</v>
      </c>
      <c r="E29" s="21"/>
      <c r="F29" s="21"/>
      <c r="G29" s="7"/>
      <c r="H29" s="7"/>
      <c r="I29" s="3"/>
      <c r="J29" s="3"/>
      <c r="K29" s="3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">
        <f t="shared" si="1"/>
        <v>30</v>
      </c>
      <c r="B30" s="347" t="s">
        <v>847</v>
      </c>
      <c r="C30" s="3" t="str">
        <f t="shared" si="5"/>
        <v>=&gt;</v>
      </c>
      <c r="D30" s="7" t="s">
        <v>850</v>
      </c>
      <c r="E30" s="476" t="s">
        <v>973</v>
      </c>
      <c r="F30" s="21" t="s">
        <v>6</v>
      </c>
      <c r="G30" s="1003"/>
      <c r="H30" s="7"/>
      <c r="I30" s="3"/>
      <c r="J30" s="3"/>
      <c r="K30" s="3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">
        <f t="shared" si="1"/>
        <v>31</v>
      </c>
      <c r="B31" s="350" t="s">
        <v>973</v>
      </c>
      <c r="C31" s="3" t="str">
        <f t="shared" si="5"/>
        <v>=&gt;</v>
      </c>
      <c r="D31" s="3" t="s">
        <v>14</v>
      </c>
      <c r="E31" s="352" t="s">
        <v>974</v>
      </c>
      <c r="F31" s="353" t="s">
        <v>975</v>
      </c>
      <c r="G31" s="7"/>
      <c r="H31" s="7"/>
      <c r="I31" s="3"/>
      <c r="J31" s="3"/>
      <c r="K31" s="3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">
        <f t="shared" si="1"/>
        <v>32</v>
      </c>
      <c r="B32" s="352" t="s">
        <v>974</v>
      </c>
      <c r="C32" s="3" t="str">
        <f t="shared" si="5"/>
        <v>=&gt;</v>
      </c>
      <c r="D32" s="3" t="str">
        <f>"="</f>
        <v>=</v>
      </c>
      <c r="E32" s="1003" t="s">
        <v>1565</v>
      </c>
      <c r="F32" s="21"/>
      <c r="G32" s="7"/>
      <c r="H32" s="7"/>
      <c r="I32" s="3"/>
      <c r="J32" s="3"/>
      <c r="K32" s="3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">
        <f t="shared" si="1"/>
        <v>33</v>
      </c>
      <c r="B33" s="352" t="s">
        <v>974</v>
      </c>
      <c r="C33" s="3" t="str">
        <f t="shared" si="5"/>
        <v>=&gt;</v>
      </c>
      <c r="D33" s="3" t="s">
        <v>8</v>
      </c>
      <c r="E33" s="3"/>
      <c r="F33" s="21"/>
      <c r="G33" s="7"/>
      <c r="H33" s="7"/>
      <c r="I33" s="3"/>
      <c r="J33" s="3"/>
      <c r="K33" s="3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">
        <f t="shared" si="1"/>
        <v>34</v>
      </c>
      <c r="B34" s="353" t="s">
        <v>975</v>
      </c>
      <c r="C34" s="3"/>
      <c r="D34" s="3" t="s">
        <v>38</v>
      </c>
      <c r="E34" s="3" t="s">
        <v>14</v>
      </c>
      <c r="F34" s="352" t="s">
        <v>974</v>
      </c>
      <c r="G34" s="353" t="s">
        <v>975</v>
      </c>
      <c r="H34" s="7"/>
      <c r="I34" s="3"/>
      <c r="J34" s="3"/>
      <c r="K34" s="3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">
        <f t="shared" si="1"/>
        <v>35</v>
      </c>
      <c r="B35" s="353" t="s">
        <v>975</v>
      </c>
      <c r="C35" s="3"/>
      <c r="D35" s="3" t="s">
        <v>8</v>
      </c>
      <c r="E35" s="8"/>
      <c r="F35" s="3"/>
      <c r="G35" s="8"/>
      <c r="H35" s="7"/>
      <c r="I35" s="3"/>
      <c r="J35" s="3"/>
      <c r="K35" s="3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">
        <f t="shared" si="1"/>
        <v>36</v>
      </c>
      <c r="B36" s="347" t="s">
        <v>847</v>
      </c>
      <c r="C36" s="3" t="str">
        <f t="shared" ref="C36:C169" si="6">"=&gt;"</f>
        <v>=&gt;</v>
      </c>
      <c r="D36" s="351" t="s">
        <v>852</v>
      </c>
      <c r="E36" s="7"/>
      <c r="F36" s="21"/>
      <c r="G36" s="21"/>
      <c r="H36" s="7"/>
      <c r="I36" s="3"/>
      <c r="J36" s="3"/>
      <c r="K36" s="3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">
        <f t="shared" si="1"/>
        <v>37</v>
      </c>
      <c r="B37" s="351" t="s">
        <v>852</v>
      </c>
      <c r="C37" s="3" t="str">
        <f t="shared" si="6"/>
        <v>=&gt;</v>
      </c>
      <c r="D37" s="462" t="s">
        <v>962</v>
      </c>
      <c r="E37" s="3" t="s">
        <v>850</v>
      </c>
      <c r="F37" s="463" t="s">
        <v>963</v>
      </c>
      <c r="G37" s="3" t="s">
        <v>6</v>
      </c>
      <c r="H37" s="3"/>
      <c r="I37" s="8"/>
      <c r="J37" s="8"/>
      <c r="K37" s="3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">
        <f t="shared" si="1"/>
        <v>38</v>
      </c>
      <c r="B38" s="624" t="s">
        <v>1095</v>
      </c>
      <c r="C38" s="3" t="str">
        <f t="shared" si="6"/>
        <v>=&gt;</v>
      </c>
      <c r="D38" s="547" t="s">
        <v>1019</v>
      </c>
      <c r="E38" s="8"/>
      <c r="F38" s="8"/>
      <c r="G38" s="3"/>
      <c r="H38" s="3"/>
      <c r="I38" s="3"/>
      <c r="J38" s="3"/>
      <c r="K38" s="3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">
        <f t="shared" si="1"/>
        <v>39</v>
      </c>
      <c r="B39" s="388" t="s">
        <v>890</v>
      </c>
      <c r="C39" s="3" t="str">
        <f t="shared" si="6"/>
        <v>=&gt;</v>
      </c>
      <c r="D39" s="392" t="s">
        <v>893</v>
      </c>
      <c r="E39" s="393" t="s">
        <v>894</v>
      </c>
      <c r="F39" s="3"/>
      <c r="G39" s="3"/>
      <c r="H39" s="3"/>
      <c r="I39" s="3"/>
      <c r="J39" s="3"/>
      <c r="K39" s="3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">
        <f t="shared" si="1"/>
        <v>40</v>
      </c>
      <c r="B40" s="392" t="s">
        <v>893</v>
      </c>
      <c r="C40" s="3" t="str">
        <f t="shared" si="6"/>
        <v>=&gt;</v>
      </c>
      <c r="D40" s="3" t="s">
        <v>62</v>
      </c>
      <c r="E40" s="394" t="s">
        <v>895</v>
      </c>
      <c r="F40" s="3" t="s">
        <v>64</v>
      </c>
      <c r="G40" s="8"/>
      <c r="H40" s="3"/>
      <c r="I40" s="3"/>
      <c r="J40" s="3"/>
      <c r="K40" s="3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">
        <f t="shared" si="1"/>
        <v>41</v>
      </c>
      <c r="B41" s="392" t="s">
        <v>893</v>
      </c>
      <c r="C41" s="3" t="str">
        <f t="shared" si="6"/>
        <v>=&gt;</v>
      </c>
      <c r="D41" s="3" t="s">
        <v>8</v>
      </c>
      <c r="E41" s="3"/>
      <c r="F41" s="3"/>
      <c r="G41" s="8"/>
      <c r="H41" s="3"/>
      <c r="I41" s="3"/>
      <c r="J41" s="3"/>
      <c r="K41" s="3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">
        <f t="shared" si="1"/>
        <v>42</v>
      </c>
      <c r="B42" s="393" t="s">
        <v>894</v>
      </c>
      <c r="C42" s="3" t="str">
        <f t="shared" si="6"/>
        <v>=&gt;</v>
      </c>
      <c r="D42" s="423" t="s">
        <v>892</v>
      </c>
      <c r="E42" s="3"/>
      <c r="F42" s="8"/>
      <c r="G42" s="8"/>
      <c r="H42" s="3"/>
      <c r="I42" s="3"/>
      <c r="J42" s="3"/>
      <c r="K42" s="3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">
        <f t="shared" si="1"/>
        <v>43</v>
      </c>
      <c r="B43" s="393" t="s">
        <v>894</v>
      </c>
      <c r="C43" s="3" t="str">
        <f t="shared" si="6"/>
        <v>=&gt;</v>
      </c>
      <c r="D43" s="424" t="s">
        <v>930</v>
      </c>
      <c r="E43" s="3"/>
      <c r="F43" s="3"/>
      <c r="G43" s="8"/>
      <c r="H43" s="3"/>
      <c r="I43" s="3"/>
      <c r="J43" s="3"/>
      <c r="K43" s="3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">
        <f t="shared" si="1"/>
        <v>44</v>
      </c>
      <c r="B44" s="393" t="s">
        <v>894</v>
      </c>
      <c r="C44" s="3" t="str">
        <f t="shared" si="6"/>
        <v>=&gt;</v>
      </c>
      <c r="D44" s="3" t="s">
        <v>8</v>
      </c>
      <c r="E44" s="3"/>
      <c r="F44" s="3"/>
      <c r="G44" s="8"/>
      <c r="H44" s="3"/>
      <c r="I44" s="3"/>
      <c r="J44" s="3"/>
      <c r="K44" s="3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">
        <f t="shared" si="1"/>
        <v>45</v>
      </c>
      <c r="B45" s="423" t="s">
        <v>892</v>
      </c>
      <c r="C45" s="3" t="str">
        <f t="shared" si="6"/>
        <v>=&gt;</v>
      </c>
      <c r="D45" s="3" t="s">
        <v>30</v>
      </c>
      <c r="E45" s="603" t="s">
        <v>1085</v>
      </c>
      <c r="F45" s="3" t="s">
        <v>32</v>
      </c>
      <c r="G45" s="393" t="s">
        <v>894</v>
      </c>
      <c r="H45" s="3"/>
      <c r="I45" s="3"/>
      <c r="J45" s="3"/>
      <c r="K45" s="3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">
        <f t="shared" si="1"/>
        <v>46</v>
      </c>
      <c r="B46" s="424" t="s">
        <v>930</v>
      </c>
      <c r="C46" s="3" t="str">
        <f t="shared" si="6"/>
        <v>=&gt;</v>
      </c>
      <c r="D46" s="3" t="s">
        <v>180</v>
      </c>
      <c r="E46" s="3" t="s">
        <v>14</v>
      </c>
      <c r="F46" s="393" t="s">
        <v>894</v>
      </c>
      <c r="G46" s="3"/>
      <c r="H46" s="3"/>
      <c r="I46" s="3"/>
      <c r="J46" s="3"/>
      <c r="K46" s="3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">
        <f t="shared" si="1"/>
        <v>47</v>
      </c>
      <c r="B47" s="394" t="s">
        <v>895</v>
      </c>
      <c r="C47" s="3" t="str">
        <f t="shared" si="6"/>
        <v>=&gt;</v>
      </c>
      <c r="D47" s="395" t="s">
        <v>28</v>
      </c>
      <c r="E47" s="396" t="s">
        <v>896</v>
      </c>
      <c r="F47" s="3"/>
      <c r="G47" s="8"/>
      <c r="H47" s="3"/>
      <c r="I47" s="3"/>
      <c r="J47" s="3"/>
      <c r="K47" s="3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">
        <f t="shared" si="1"/>
        <v>48</v>
      </c>
      <c r="B48" s="394" t="s">
        <v>895</v>
      </c>
      <c r="C48" s="3" t="str">
        <f t="shared" si="6"/>
        <v>=&gt;</v>
      </c>
      <c r="D48" s="3" t="s">
        <v>8</v>
      </c>
      <c r="E48" s="3"/>
      <c r="F48" s="8"/>
      <c r="G48" s="3"/>
      <c r="H48" s="3"/>
      <c r="I48" s="3"/>
      <c r="J48" s="3"/>
      <c r="K48" s="3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">
        <f t="shared" si="1"/>
        <v>49</v>
      </c>
      <c r="B49" s="395" t="s">
        <v>28</v>
      </c>
      <c r="C49" s="3" t="str">
        <f t="shared" si="6"/>
        <v>=&gt;</v>
      </c>
      <c r="D49" s="603" t="s">
        <v>1085</v>
      </c>
      <c r="E49" s="3"/>
      <c r="F49" s="8"/>
      <c r="G49" s="3"/>
      <c r="H49" s="3"/>
      <c r="I49" s="3"/>
      <c r="J49" s="3"/>
      <c r="K49" s="3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">
        <f t="shared" si="1"/>
        <v>50</v>
      </c>
      <c r="B50" s="395" t="s">
        <v>28</v>
      </c>
      <c r="C50" s="3" t="str">
        <f t="shared" si="6"/>
        <v>=&gt;</v>
      </c>
      <c r="D50" s="3" t="s">
        <v>30</v>
      </c>
      <c r="E50" s="399" t="s">
        <v>897</v>
      </c>
      <c r="F50" s="3" t="s">
        <v>32</v>
      </c>
      <c r="G50" s="393" t="s">
        <v>894</v>
      </c>
      <c r="H50" s="3"/>
      <c r="I50" s="3"/>
      <c r="J50" s="3"/>
      <c r="K50" s="3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">
        <f t="shared" si="1"/>
        <v>51</v>
      </c>
      <c r="B51" s="399" t="s">
        <v>897</v>
      </c>
      <c r="C51" s="3" t="str">
        <f t="shared" si="6"/>
        <v>=&gt;</v>
      </c>
      <c r="D51" s="400" t="s">
        <v>899</v>
      </c>
      <c r="E51" s="3"/>
      <c r="F51" s="8"/>
      <c r="G51" s="3"/>
      <c r="H51" s="3"/>
      <c r="I51" s="3"/>
      <c r="J51" s="3"/>
      <c r="K51" s="3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">
        <f t="shared" si="1"/>
        <v>52</v>
      </c>
      <c r="B52" s="399" t="s">
        <v>897</v>
      </c>
      <c r="C52" s="3" t="str">
        <f t="shared" si="6"/>
        <v>=&gt;</v>
      </c>
      <c r="D52" s="3" t="s">
        <v>14</v>
      </c>
      <c r="E52" s="401" t="s">
        <v>900</v>
      </c>
      <c r="F52" s="3"/>
      <c r="G52" s="3"/>
      <c r="H52" s="3"/>
      <c r="I52" s="3"/>
      <c r="J52" s="3"/>
      <c r="K52" s="3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">
        <f t="shared" si="1"/>
        <v>53</v>
      </c>
      <c r="B53" s="399" t="s">
        <v>897</v>
      </c>
      <c r="C53" s="3" t="str">
        <f t="shared" si="6"/>
        <v>=&gt;</v>
      </c>
      <c r="D53" s="3" t="s">
        <v>8</v>
      </c>
      <c r="E53" s="3"/>
      <c r="F53" s="3"/>
      <c r="G53" s="3"/>
      <c r="H53" s="3"/>
      <c r="I53" s="3"/>
      <c r="J53" s="3"/>
      <c r="K53" s="3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">
        <f t="shared" si="1"/>
        <v>54</v>
      </c>
      <c r="B54" s="400" t="s">
        <v>899</v>
      </c>
      <c r="C54" s="3" t="str">
        <f t="shared" si="6"/>
        <v>=&gt;</v>
      </c>
      <c r="D54" s="3" t="s">
        <v>868</v>
      </c>
      <c r="E54" s="403" t="s">
        <v>901</v>
      </c>
      <c r="F54" s="3"/>
      <c r="G54" s="3"/>
      <c r="H54" s="3"/>
      <c r="I54" s="3"/>
      <c r="J54" s="3"/>
      <c r="K54" s="3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">
        <f t="shared" si="1"/>
        <v>55</v>
      </c>
      <c r="B55" s="400" t="s">
        <v>899</v>
      </c>
      <c r="C55" s="3" t="str">
        <f t="shared" si="6"/>
        <v>=&gt;</v>
      </c>
      <c r="D55" s="3" t="s">
        <v>902</v>
      </c>
      <c r="E55" s="403" t="s">
        <v>901</v>
      </c>
      <c r="F55" s="3"/>
      <c r="G55" s="3"/>
      <c r="H55" s="3"/>
      <c r="I55" s="3"/>
      <c r="J55" s="3"/>
      <c r="K55" s="3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">
        <f t="shared" si="1"/>
        <v>56</v>
      </c>
      <c r="B56" s="400" t="s">
        <v>899</v>
      </c>
      <c r="C56" s="3" t="str">
        <f t="shared" si="6"/>
        <v>=&gt;</v>
      </c>
      <c r="D56" s="3" t="s">
        <v>903</v>
      </c>
      <c r="E56" s="403" t="s">
        <v>901</v>
      </c>
      <c r="F56" s="3"/>
      <c r="G56" s="3"/>
      <c r="H56" s="3"/>
      <c r="I56" s="3"/>
      <c r="J56" s="3"/>
      <c r="K56" s="3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">
        <f t="shared" si="1"/>
        <v>57</v>
      </c>
      <c r="B57" s="400" t="s">
        <v>899</v>
      </c>
      <c r="C57" s="3" t="str">
        <f t="shared" si="6"/>
        <v>=&gt;</v>
      </c>
      <c r="D57" s="3" t="s">
        <v>904</v>
      </c>
      <c r="E57" s="403" t="s">
        <v>901</v>
      </c>
      <c r="F57" s="3"/>
      <c r="G57" s="3"/>
      <c r="H57" s="3"/>
      <c r="I57" s="3"/>
      <c r="J57" s="3"/>
      <c r="K57" s="3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">
        <f t="shared" si="1"/>
        <v>58</v>
      </c>
      <c r="B58" s="400" t="s">
        <v>899</v>
      </c>
      <c r="C58" s="3" t="str">
        <f t="shared" si="6"/>
        <v>=&gt;</v>
      </c>
      <c r="D58" s="3" t="s">
        <v>30</v>
      </c>
      <c r="E58" s="399" t="s">
        <v>897</v>
      </c>
      <c r="F58" s="3" t="s">
        <v>32</v>
      </c>
      <c r="G58" s="403" t="s">
        <v>901</v>
      </c>
      <c r="H58" s="8"/>
      <c r="I58" s="3"/>
      <c r="J58" s="3"/>
      <c r="K58" s="3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">
        <f t="shared" si="1"/>
        <v>59</v>
      </c>
      <c r="B59" s="403" t="s">
        <v>901</v>
      </c>
      <c r="C59" s="3" t="str">
        <f t="shared" si="6"/>
        <v>=&gt;</v>
      </c>
      <c r="D59" s="3" t="s">
        <v>38</v>
      </c>
      <c r="E59" s="404" t="s">
        <v>905</v>
      </c>
      <c r="F59" s="3"/>
      <c r="G59" s="3"/>
      <c r="H59" s="3"/>
      <c r="I59" s="3"/>
      <c r="J59" s="3"/>
      <c r="K59" s="3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">
        <f t="shared" si="1"/>
        <v>60</v>
      </c>
      <c r="B60" s="403" t="s">
        <v>901</v>
      </c>
      <c r="C60" s="3" t="str">
        <f t="shared" si="6"/>
        <v>=&gt;</v>
      </c>
      <c r="D60" s="3" t="s">
        <v>8</v>
      </c>
      <c r="E60" s="3"/>
      <c r="F60" s="3"/>
      <c r="G60" s="3"/>
      <c r="H60" s="3"/>
      <c r="I60" s="3"/>
      <c r="J60" s="3"/>
      <c r="K60" s="3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">
        <f t="shared" si="1"/>
        <v>61</v>
      </c>
      <c r="B61" s="404" t="s">
        <v>905</v>
      </c>
      <c r="C61" s="3" t="str">
        <f t="shared" si="6"/>
        <v>=&gt;</v>
      </c>
      <c r="D61" s="3" t="s">
        <v>14</v>
      </c>
      <c r="E61" s="403" t="s">
        <v>901</v>
      </c>
      <c r="F61" s="3"/>
      <c r="G61" s="3"/>
      <c r="H61" s="3"/>
      <c r="I61" s="3"/>
      <c r="J61" s="3"/>
      <c r="K61" s="3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">
        <f t="shared" si="1"/>
        <v>62</v>
      </c>
      <c r="B62" s="404" t="s">
        <v>905</v>
      </c>
      <c r="C62" s="3" t="str">
        <f t="shared" si="6"/>
        <v>=&gt;</v>
      </c>
      <c r="D62" s="400" t="s">
        <v>899</v>
      </c>
      <c r="E62" s="3"/>
      <c r="F62" s="3"/>
      <c r="G62" s="3"/>
      <c r="H62" s="3"/>
      <c r="I62" s="3"/>
      <c r="J62" s="3"/>
      <c r="K62" s="3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">
        <f t="shared" si="1"/>
        <v>63</v>
      </c>
      <c r="B63" s="401" t="s">
        <v>900</v>
      </c>
      <c r="C63" s="3" t="str">
        <f t="shared" si="6"/>
        <v>=&gt;</v>
      </c>
      <c r="D63" s="3" t="s">
        <v>38</v>
      </c>
      <c r="E63" s="404" t="s">
        <v>905</v>
      </c>
      <c r="F63" s="3"/>
      <c r="G63" s="3"/>
      <c r="H63" s="3"/>
      <c r="I63" s="3"/>
      <c r="J63" s="3"/>
      <c r="K63" s="3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">
        <f t="shared" si="1"/>
        <v>64</v>
      </c>
      <c r="B64" s="401" t="s">
        <v>900</v>
      </c>
      <c r="C64" s="3" t="str">
        <f t="shared" si="6"/>
        <v>=&gt;</v>
      </c>
      <c r="D64" s="3" t="str">
        <f>"="</f>
        <v>=</v>
      </c>
      <c r="E64" s="395" t="s">
        <v>28</v>
      </c>
      <c r="F64" s="3" t="s">
        <v>6</v>
      </c>
      <c r="G64" s="422" t="s">
        <v>929</v>
      </c>
      <c r="H64" s="3"/>
      <c r="I64" s="3"/>
      <c r="J64" s="3"/>
      <c r="K64" s="3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">
        <f t="shared" si="1"/>
        <v>65</v>
      </c>
      <c r="B65" s="401" t="s">
        <v>900</v>
      </c>
      <c r="C65" s="3" t="str">
        <f t="shared" si="6"/>
        <v>=&gt;</v>
      </c>
      <c r="D65" s="3" t="s">
        <v>8</v>
      </c>
      <c r="E65" s="3"/>
      <c r="F65" s="3"/>
      <c r="G65" s="3"/>
      <c r="H65" s="3"/>
      <c r="I65" s="3"/>
      <c r="J65" s="3"/>
      <c r="K65" s="3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">
        <f t="shared" si="1"/>
        <v>66</v>
      </c>
      <c r="B66" s="422" t="s">
        <v>929</v>
      </c>
      <c r="C66" s="3" t="str">
        <f t="shared" si="6"/>
        <v>=&gt;</v>
      </c>
      <c r="D66" s="3" t="s">
        <v>14</v>
      </c>
      <c r="E66" s="3" t="str">
        <f>"="</f>
        <v>=</v>
      </c>
      <c r="F66" s="395" t="s">
        <v>28</v>
      </c>
      <c r="G66" s="3" t="s">
        <v>6</v>
      </c>
      <c r="H66" s="422" t="s">
        <v>929</v>
      </c>
      <c r="I66" s="3"/>
      <c r="J66" s="3"/>
      <c r="K66" s="3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">
        <f t="shared" si="1"/>
        <v>67</v>
      </c>
      <c r="B67" s="422" t="s">
        <v>929</v>
      </c>
      <c r="C67" s="3" t="str">
        <f t="shared" si="6"/>
        <v>=&gt;</v>
      </c>
      <c r="D67" s="3" t="s">
        <v>8</v>
      </c>
      <c r="E67" s="3"/>
      <c r="F67" s="3"/>
      <c r="G67" s="3"/>
      <c r="H67" s="3"/>
      <c r="I67" s="3"/>
      <c r="J67" s="3"/>
      <c r="K67" s="3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">
        <f t="shared" si="1"/>
        <v>68</v>
      </c>
      <c r="B68" s="396" t="s">
        <v>896</v>
      </c>
      <c r="C68" s="3" t="str">
        <f t="shared" si="6"/>
        <v>=&gt;</v>
      </c>
      <c r="D68" s="3" t="s">
        <v>38</v>
      </c>
      <c r="E68" s="395" t="s">
        <v>28</v>
      </c>
      <c r="F68" s="396" t="s">
        <v>896</v>
      </c>
      <c r="G68" s="3"/>
      <c r="H68" s="3"/>
      <c r="I68" s="3"/>
      <c r="J68" s="3"/>
      <c r="K68" s="3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">
        <f t="shared" si="1"/>
        <v>69</v>
      </c>
      <c r="B69" s="396" t="s">
        <v>896</v>
      </c>
      <c r="C69" s="3" t="str">
        <f t="shared" si="6"/>
        <v>=&gt;</v>
      </c>
      <c r="D69" s="3" t="s">
        <v>8</v>
      </c>
      <c r="E69" s="3"/>
      <c r="F69" s="3"/>
      <c r="G69" s="3"/>
      <c r="H69" s="3"/>
      <c r="I69" s="3"/>
      <c r="J69" s="3"/>
      <c r="K69" s="3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">
        <f t="shared" si="1"/>
        <v>70</v>
      </c>
      <c r="B70" s="547" t="s">
        <v>1019</v>
      </c>
      <c r="C70" s="3" t="str">
        <f t="shared" si="6"/>
        <v>=&gt;</v>
      </c>
      <c r="D70" s="548" t="s">
        <v>1026</v>
      </c>
      <c r="E70" s="533" t="s">
        <v>1017</v>
      </c>
      <c r="F70" s="8"/>
      <c r="G70" s="8"/>
      <c r="H70" s="3"/>
      <c r="I70" s="3"/>
      <c r="J70" s="3"/>
      <c r="K70" s="3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">
        <f t="shared" si="1"/>
        <v>71</v>
      </c>
      <c r="B71" s="548" t="s">
        <v>1026</v>
      </c>
      <c r="C71" s="3" t="str">
        <f t="shared" si="6"/>
        <v>=&gt;</v>
      </c>
      <c r="D71" s="428" t="s">
        <v>911</v>
      </c>
      <c r="E71" s="8"/>
      <c r="F71" s="3"/>
      <c r="G71" s="8"/>
      <c r="H71" s="3"/>
      <c r="I71" s="3"/>
      <c r="J71" s="3"/>
      <c r="K71" s="3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">
        <f t="shared" si="1"/>
        <v>72</v>
      </c>
      <c r="B72" s="548" t="s">
        <v>1026</v>
      </c>
      <c r="C72" s="3" t="str">
        <f t="shared" si="6"/>
        <v>=&gt;</v>
      </c>
      <c r="D72" s="428" t="s">
        <v>915</v>
      </c>
      <c r="E72" s="8"/>
      <c r="F72" s="3"/>
      <c r="G72" s="8"/>
      <c r="H72" s="3"/>
      <c r="I72" s="3"/>
      <c r="J72" s="3"/>
      <c r="K72" s="3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">
        <f t="shared" si="1"/>
        <v>73</v>
      </c>
      <c r="B73" s="548" t="s">
        <v>1026</v>
      </c>
      <c r="C73" s="3" t="str">
        <f t="shared" si="6"/>
        <v>=&gt;</v>
      </c>
      <c r="D73" s="428" t="s">
        <v>918</v>
      </c>
      <c r="E73" s="8"/>
      <c r="F73" s="3"/>
      <c r="G73" s="8"/>
      <c r="H73" s="3"/>
      <c r="I73" s="3"/>
      <c r="J73" s="3"/>
      <c r="K73" s="3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">
        <f t="shared" si="1"/>
        <v>74</v>
      </c>
      <c r="B74" s="548" t="s">
        <v>1026</v>
      </c>
      <c r="C74" s="3" t="str">
        <f t="shared" si="6"/>
        <v>=&gt;</v>
      </c>
      <c r="D74" s="428" t="s">
        <v>919</v>
      </c>
      <c r="E74" s="8"/>
      <c r="F74" s="3"/>
      <c r="G74" s="8"/>
      <c r="H74" s="3"/>
      <c r="I74" s="3"/>
      <c r="J74" s="3"/>
      <c r="K74" s="3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">
        <f t="shared" si="1"/>
        <v>75</v>
      </c>
      <c r="B75" s="548" t="s">
        <v>1026</v>
      </c>
      <c r="C75" s="3" t="str">
        <f t="shared" si="6"/>
        <v>=&gt;</v>
      </c>
      <c r="D75" s="428" t="s">
        <v>867</v>
      </c>
      <c r="E75" s="8"/>
      <c r="F75" s="3"/>
      <c r="G75" s="8"/>
      <c r="H75" s="3"/>
      <c r="I75" s="3"/>
      <c r="J75" s="3"/>
      <c r="K75" s="3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">
        <f t="shared" si="1"/>
        <v>76</v>
      </c>
      <c r="B76" s="548" t="s">
        <v>1026</v>
      </c>
      <c r="C76" s="3" t="str">
        <f t="shared" si="6"/>
        <v>=&gt;</v>
      </c>
      <c r="D76" s="428" t="s">
        <v>908</v>
      </c>
      <c r="E76" s="8"/>
      <c r="F76" s="3"/>
      <c r="G76" s="8"/>
      <c r="H76" s="3"/>
      <c r="I76" s="3"/>
      <c r="J76" s="3"/>
      <c r="K76" s="3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">
        <f t="shared" si="1"/>
        <v>77</v>
      </c>
      <c r="B77" s="548" t="s">
        <v>1026</v>
      </c>
      <c r="C77" s="3" t="str">
        <f t="shared" si="6"/>
        <v>=&gt;</v>
      </c>
      <c r="D77" s="428" t="s">
        <v>133</v>
      </c>
      <c r="E77" s="8"/>
      <c r="F77" s="3"/>
      <c r="G77" s="8"/>
      <c r="H77" s="3"/>
      <c r="I77" s="3"/>
      <c r="J77" s="3"/>
      <c r="K77" s="3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">
        <f t="shared" si="1"/>
        <v>78</v>
      </c>
      <c r="B78" s="548" t="s">
        <v>1026</v>
      </c>
      <c r="C78" s="3" t="str">
        <f t="shared" si="6"/>
        <v>=&gt;</v>
      </c>
      <c r="D78" s="428" t="s">
        <v>906</v>
      </c>
      <c r="E78" s="8"/>
      <c r="F78" s="3"/>
      <c r="G78" s="8"/>
      <c r="H78" s="3"/>
      <c r="I78" s="3"/>
      <c r="J78" s="3"/>
      <c r="K78" s="3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">
        <f t="shared" si="1"/>
        <v>79</v>
      </c>
      <c r="B79" s="548" t="s">
        <v>1026</v>
      </c>
      <c r="C79" s="3" t="str">
        <f t="shared" si="6"/>
        <v>=&gt;</v>
      </c>
      <c r="D79" s="428" t="s">
        <v>914</v>
      </c>
      <c r="E79" s="8"/>
      <c r="F79" s="3"/>
      <c r="G79" s="8"/>
      <c r="H79" s="3"/>
      <c r="I79" s="3"/>
      <c r="J79" s="3"/>
      <c r="K79" s="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">
        <f t="shared" si="1"/>
        <v>80</v>
      </c>
      <c r="B80" s="548" t="s">
        <v>1026</v>
      </c>
      <c r="C80" s="3" t="str">
        <f t="shared" si="6"/>
        <v>=&gt;</v>
      </c>
      <c r="D80" s="428" t="s">
        <v>913</v>
      </c>
      <c r="E80" s="8"/>
      <c r="F80" s="3"/>
      <c r="G80" s="8"/>
      <c r="H80" s="3"/>
      <c r="I80" s="3"/>
      <c r="J80" s="3"/>
      <c r="K80" s="3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">
        <f t="shared" si="1"/>
        <v>81</v>
      </c>
      <c r="B81" s="548" t="s">
        <v>1026</v>
      </c>
      <c r="C81" s="3" t="str">
        <f t="shared" si="6"/>
        <v>=&gt;</v>
      </c>
      <c r="D81" s="428" t="s">
        <v>866</v>
      </c>
      <c r="E81" s="8"/>
      <c r="F81" s="3"/>
      <c r="G81" s="8"/>
      <c r="H81" s="3"/>
      <c r="I81" s="3"/>
      <c r="J81" s="3"/>
      <c r="K81" s="3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">
        <f t="shared" si="1"/>
        <v>82</v>
      </c>
      <c r="B82" s="548" t="s">
        <v>1026</v>
      </c>
      <c r="C82" s="3" t="str">
        <f t="shared" si="6"/>
        <v>=&gt;</v>
      </c>
      <c r="D82" s="428" t="s">
        <v>864</v>
      </c>
      <c r="E82" s="8"/>
      <c r="F82" s="3"/>
      <c r="G82" s="8"/>
      <c r="H82" s="3"/>
      <c r="I82" s="3"/>
      <c r="J82" s="3"/>
      <c r="K82" s="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">
        <f t="shared" si="1"/>
        <v>83</v>
      </c>
      <c r="B83" s="548" t="s">
        <v>1026</v>
      </c>
      <c r="C83" s="3" t="str">
        <f t="shared" si="6"/>
        <v>=&gt;</v>
      </c>
      <c r="D83" s="428" t="s">
        <v>912</v>
      </c>
      <c r="E83" s="8"/>
      <c r="F83" s="3"/>
      <c r="G83" s="8"/>
      <c r="H83" s="3"/>
      <c r="I83" s="3"/>
      <c r="J83" s="3"/>
      <c r="K83" s="3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">
        <f t="shared" si="1"/>
        <v>84</v>
      </c>
      <c r="B84" s="548" t="s">
        <v>1026</v>
      </c>
      <c r="C84" s="3" t="str">
        <f t="shared" si="6"/>
        <v>=&gt;</v>
      </c>
      <c r="D84" s="428" t="s">
        <v>134</v>
      </c>
      <c r="E84" s="8"/>
      <c r="F84" s="3"/>
      <c r="G84" s="8"/>
      <c r="H84" s="3"/>
      <c r="I84" s="3"/>
      <c r="J84" s="3"/>
      <c r="K84" s="3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">
        <f t="shared" si="1"/>
        <v>85</v>
      </c>
      <c r="B85" s="548" t="s">
        <v>1026</v>
      </c>
      <c r="C85" s="3" t="str">
        <f t="shared" si="6"/>
        <v>=&gt;</v>
      </c>
      <c r="D85" s="428" t="s">
        <v>917</v>
      </c>
      <c r="E85" s="8"/>
      <c r="F85" s="3"/>
      <c r="G85" s="8"/>
      <c r="H85" s="3"/>
      <c r="I85" s="3"/>
      <c r="J85" s="3"/>
      <c r="K85" s="3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">
        <f t="shared" si="1"/>
        <v>86</v>
      </c>
      <c r="B86" s="548" t="s">
        <v>1026</v>
      </c>
      <c r="C86" s="3" t="str">
        <f t="shared" si="6"/>
        <v>=&gt;</v>
      </c>
      <c r="D86" s="428" t="s">
        <v>921</v>
      </c>
      <c r="E86" s="8"/>
      <c r="F86" s="3"/>
      <c r="G86" s="8"/>
      <c r="H86" s="3"/>
      <c r="I86" s="3"/>
      <c r="J86" s="3"/>
      <c r="K86" s="3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">
        <f t="shared" si="1"/>
        <v>87</v>
      </c>
      <c r="B87" s="548" t="s">
        <v>1026</v>
      </c>
      <c r="C87" s="3" t="str">
        <f t="shared" si="6"/>
        <v>=&gt;</v>
      </c>
      <c r="D87" s="428" t="s">
        <v>862</v>
      </c>
      <c r="E87" s="8"/>
      <c r="F87" s="3"/>
      <c r="G87" s="8"/>
      <c r="H87" s="3"/>
      <c r="I87" s="3"/>
      <c r="J87" s="3"/>
      <c r="K87" s="3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">
        <f t="shared" si="1"/>
        <v>88</v>
      </c>
      <c r="B88" s="548" t="s">
        <v>1026</v>
      </c>
      <c r="C88" s="3" t="str">
        <f t="shared" si="6"/>
        <v>=&gt;</v>
      </c>
      <c r="D88" s="428" t="s">
        <v>907</v>
      </c>
      <c r="E88" s="8"/>
      <c r="F88" s="3"/>
      <c r="G88" s="8"/>
      <c r="H88" s="3"/>
      <c r="I88" s="3"/>
      <c r="J88" s="3"/>
      <c r="K88" s="3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">
        <f t="shared" si="1"/>
        <v>89</v>
      </c>
      <c r="B89" s="533" t="s">
        <v>1017</v>
      </c>
      <c r="C89" s="3" t="str">
        <f t="shared" si="6"/>
        <v>=&gt;</v>
      </c>
      <c r="D89" s="546" t="s">
        <v>1025</v>
      </c>
      <c r="E89" s="393" t="s">
        <v>894</v>
      </c>
      <c r="F89" s="3"/>
      <c r="G89" s="8"/>
      <c r="H89" s="3"/>
      <c r="I89" s="3"/>
      <c r="J89" s="3"/>
      <c r="K89" s="3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">
        <f t="shared" si="1"/>
        <v>90</v>
      </c>
      <c r="B90" s="546" t="s">
        <v>1025</v>
      </c>
      <c r="C90" s="3" t="str">
        <f t="shared" si="6"/>
        <v>=&gt;</v>
      </c>
      <c r="D90" s="3" t="s">
        <v>62</v>
      </c>
      <c r="E90" s="394" t="s">
        <v>895</v>
      </c>
      <c r="F90" s="3" t="s">
        <v>64</v>
      </c>
      <c r="G90" s="8"/>
      <c r="H90" s="3"/>
      <c r="I90" s="3"/>
      <c r="J90" s="3"/>
      <c r="K90" s="3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">
        <f t="shared" si="1"/>
        <v>91</v>
      </c>
      <c r="B91" s="462" t="s">
        <v>962</v>
      </c>
      <c r="C91" s="3" t="str">
        <f t="shared" si="6"/>
        <v>=&gt;</v>
      </c>
      <c r="D91" s="3" t="s">
        <v>30</v>
      </c>
      <c r="E91" s="3" t="s">
        <v>32</v>
      </c>
      <c r="F91" s="464" t="s">
        <v>964</v>
      </c>
      <c r="G91" s="3"/>
      <c r="H91" s="3"/>
      <c r="I91" s="3"/>
      <c r="J91" s="3"/>
      <c r="K91" s="3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">
        <f t="shared" si="1"/>
        <v>92</v>
      </c>
      <c r="B92" s="464" t="s">
        <v>964</v>
      </c>
      <c r="C92" s="3" t="str">
        <f t="shared" si="6"/>
        <v>=&gt;</v>
      </c>
      <c r="D92" s="462" t="s">
        <v>962</v>
      </c>
      <c r="E92" s="3"/>
      <c r="F92" s="3"/>
      <c r="G92" s="3"/>
      <c r="H92" s="3"/>
      <c r="I92" s="3"/>
      <c r="J92" s="3"/>
      <c r="K92" s="3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">
        <f t="shared" si="1"/>
        <v>93</v>
      </c>
      <c r="B93" s="464" t="s">
        <v>964</v>
      </c>
      <c r="C93" s="3" t="str">
        <f t="shared" si="6"/>
        <v>=&gt;</v>
      </c>
      <c r="D93" s="3" t="s">
        <v>8</v>
      </c>
      <c r="E93" s="3"/>
      <c r="F93" s="3"/>
      <c r="G93" s="3"/>
      <c r="H93" s="8"/>
      <c r="I93" s="3"/>
      <c r="J93" s="3"/>
      <c r="K93" s="3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">
        <f t="shared" si="1"/>
        <v>94</v>
      </c>
      <c r="B94" s="463" t="s">
        <v>963</v>
      </c>
      <c r="C94" s="3" t="str">
        <f t="shared" si="6"/>
        <v>=&gt;</v>
      </c>
      <c r="D94" s="3" t="s">
        <v>14</v>
      </c>
      <c r="E94" s="653" t="s">
        <v>1129</v>
      </c>
      <c r="F94" s="466" t="s">
        <v>966</v>
      </c>
      <c r="G94" s="3"/>
      <c r="H94" s="3"/>
      <c r="I94" s="3"/>
      <c r="J94" s="3"/>
      <c r="K94" s="3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">
        <f t="shared" si="1"/>
        <v>95</v>
      </c>
      <c r="B95" s="653" t="s">
        <v>1129</v>
      </c>
      <c r="C95" s="3" t="str">
        <f t="shared" si="6"/>
        <v>=&gt;</v>
      </c>
      <c r="D95" s="3" t="str">
        <f>"="</f>
        <v>=</v>
      </c>
      <c r="E95" s="395" t="s">
        <v>28</v>
      </c>
      <c r="F95" s="3"/>
      <c r="G95" s="3"/>
      <c r="H95" s="3"/>
      <c r="I95" s="3"/>
      <c r="J95" s="3"/>
      <c r="K95" s="3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">
        <f t="shared" si="1"/>
        <v>96</v>
      </c>
      <c r="B96" s="653" t="s">
        <v>1129</v>
      </c>
      <c r="C96" s="3" t="str">
        <f t="shared" si="6"/>
        <v>=&gt;</v>
      </c>
      <c r="D96" s="3" t="s">
        <v>8</v>
      </c>
      <c r="E96" s="3"/>
      <c r="F96" s="3"/>
      <c r="G96" s="3"/>
      <c r="H96" s="3"/>
      <c r="I96" s="3"/>
      <c r="J96" s="3"/>
      <c r="K96" s="3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">
        <f t="shared" si="1"/>
        <v>97</v>
      </c>
      <c r="B97" s="466" t="s">
        <v>966</v>
      </c>
      <c r="C97" s="3" t="str">
        <f t="shared" si="6"/>
        <v>=&gt;</v>
      </c>
      <c r="D97" s="3" t="s">
        <v>38</v>
      </c>
      <c r="E97" s="463" t="s">
        <v>963</v>
      </c>
      <c r="F97" s="3"/>
      <c r="G97" s="3"/>
      <c r="H97" s="3"/>
      <c r="I97" s="3"/>
      <c r="J97" s="3"/>
      <c r="K97" s="3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">
        <f t="shared" si="1"/>
        <v>98</v>
      </c>
      <c r="B98" s="466" t="s">
        <v>966</v>
      </c>
      <c r="C98" s="3" t="str">
        <f t="shared" si="6"/>
        <v>=&gt;</v>
      </c>
      <c r="D98" s="3" t="s">
        <v>8</v>
      </c>
      <c r="E98" s="3"/>
      <c r="F98" s="3"/>
      <c r="G98" s="3"/>
      <c r="H98" s="3"/>
      <c r="I98" s="3"/>
      <c r="J98" s="3"/>
      <c r="K98" s="3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">
        <f t="shared" si="1"/>
        <v>99</v>
      </c>
      <c r="B99" s="348" t="s">
        <v>848</v>
      </c>
      <c r="C99" s="3" t="str">
        <f t="shared" si="6"/>
        <v>=&gt;</v>
      </c>
      <c r="D99" s="3" t="s">
        <v>999</v>
      </c>
      <c r="E99" s="3" t="s">
        <v>850</v>
      </c>
      <c r="F99" s="3" t="s">
        <v>14</v>
      </c>
      <c r="G99" s="3" t="str">
        <f>"="</f>
        <v>=</v>
      </c>
      <c r="H99" s="3" t="s">
        <v>30</v>
      </c>
      <c r="I99" s="509" t="s">
        <v>1000</v>
      </c>
      <c r="J99" s="3" t="s">
        <v>32</v>
      </c>
      <c r="K99" s="3" t="s">
        <v>6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">
        <f t="shared" si="1"/>
        <v>100</v>
      </c>
      <c r="B100" s="509" t="s">
        <v>1000</v>
      </c>
      <c r="C100" s="3" t="str">
        <f t="shared" si="6"/>
        <v>=&gt;</v>
      </c>
      <c r="D100" s="510" t="s">
        <v>1001</v>
      </c>
      <c r="E100" s="3" t="s">
        <v>6</v>
      </c>
      <c r="F100" s="511" t="s">
        <v>1002</v>
      </c>
      <c r="G100" s="8"/>
      <c r="H100" s="8"/>
      <c r="I100" s="8"/>
      <c r="J100" s="3"/>
      <c r="K100" s="3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">
        <f t="shared" si="1"/>
        <v>101</v>
      </c>
      <c r="B101" s="510" t="s">
        <v>1001</v>
      </c>
      <c r="C101" s="3" t="str">
        <f t="shared" si="6"/>
        <v>=&gt;</v>
      </c>
      <c r="D101" s="512" t="s">
        <v>1003</v>
      </c>
      <c r="E101" s="3" t="s">
        <v>850</v>
      </c>
      <c r="F101" s="3" t="s">
        <v>14</v>
      </c>
      <c r="G101" s="8"/>
      <c r="H101" s="8"/>
      <c r="I101" s="8"/>
      <c r="J101" s="3"/>
      <c r="K101" s="3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">
        <f t="shared" si="1"/>
        <v>102</v>
      </c>
      <c r="B102" s="512" t="s">
        <v>1003</v>
      </c>
      <c r="C102" s="3" t="str">
        <f t="shared" si="6"/>
        <v>=&gt;</v>
      </c>
      <c r="D102" s="3" t="s">
        <v>840</v>
      </c>
      <c r="E102" s="464" t="s">
        <v>964</v>
      </c>
      <c r="F102" s="8"/>
      <c r="G102" s="8"/>
      <c r="H102" s="8"/>
      <c r="I102" s="8"/>
      <c r="J102" s="3"/>
      <c r="K102" s="3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">
        <f t="shared" si="1"/>
        <v>103</v>
      </c>
      <c r="B103" s="512" t="s">
        <v>1003</v>
      </c>
      <c r="C103" s="3" t="str">
        <f t="shared" si="6"/>
        <v>=&gt;</v>
      </c>
      <c r="D103" s="3" t="s">
        <v>844</v>
      </c>
      <c r="E103" s="464" t="s">
        <v>964</v>
      </c>
      <c r="F103" s="3"/>
      <c r="G103" s="3"/>
      <c r="H103" s="3"/>
      <c r="I103" s="3"/>
      <c r="J103" s="3"/>
      <c r="K103" s="3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">
        <f t="shared" si="1"/>
        <v>104</v>
      </c>
      <c r="B104" s="512" t="s">
        <v>1003</v>
      </c>
      <c r="C104" s="3" t="str">
        <f t="shared" si="6"/>
        <v>=&gt;</v>
      </c>
      <c r="D104" s="3" t="s">
        <v>846</v>
      </c>
      <c r="E104" s="464" t="s">
        <v>964</v>
      </c>
      <c r="F104" s="3"/>
      <c r="G104" s="3"/>
      <c r="H104" s="3"/>
      <c r="I104" s="3"/>
      <c r="J104" s="3"/>
      <c r="K104" s="3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">
        <f t="shared" si="1"/>
        <v>105</v>
      </c>
      <c r="B105" s="512" t="s">
        <v>1003</v>
      </c>
      <c r="C105" s="3" t="str">
        <f t="shared" si="6"/>
        <v>=&gt;</v>
      </c>
      <c r="D105" s="3" t="s">
        <v>842</v>
      </c>
      <c r="E105" s="464" t="s">
        <v>964</v>
      </c>
      <c r="F105" s="3"/>
      <c r="G105" s="3"/>
      <c r="H105" s="3"/>
      <c r="I105" s="3"/>
      <c r="J105" s="3"/>
      <c r="K105" s="3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">
        <f t="shared" si="1"/>
        <v>106</v>
      </c>
      <c r="B106" s="512" t="s">
        <v>1003</v>
      </c>
      <c r="C106" s="3" t="str">
        <f t="shared" si="6"/>
        <v>=&gt;</v>
      </c>
      <c r="D106" s="3" t="s">
        <v>14</v>
      </c>
      <c r="E106" s="464" t="s">
        <v>964</v>
      </c>
      <c r="F106" s="3"/>
      <c r="G106" s="3"/>
      <c r="H106" s="3"/>
      <c r="I106" s="3"/>
      <c r="J106" s="3"/>
      <c r="K106" s="3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">
        <f t="shared" si="1"/>
        <v>107</v>
      </c>
      <c r="B107" s="511" t="s">
        <v>1002</v>
      </c>
      <c r="C107" s="3" t="str">
        <f t="shared" si="6"/>
        <v>=&gt;</v>
      </c>
      <c r="D107" s="509" t="s">
        <v>1000</v>
      </c>
      <c r="E107" s="3"/>
      <c r="F107" s="3"/>
      <c r="G107" s="3"/>
      <c r="H107" s="3"/>
      <c r="I107" s="3"/>
      <c r="J107" s="3"/>
      <c r="K107" s="3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">
        <f t="shared" si="1"/>
        <v>108</v>
      </c>
      <c r="B108" s="511" t="s">
        <v>1002</v>
      </c>
      <c r="C108" s="3" t="str">
        <f t="shared" si="6"/>
        <v>=&gt;</v>
      </c>
      <c r="D108" s="3" t="s">
        <v>8</v>
      </c>
      <c r="E108" s="3"/>
      <c r="F108" s="3"/>
      <c r="G108" s="3"/>
      <c r="H108" s="8"/>
      <c r="I108" s="3"/>
      <c r="J108" s="3"/>
      <c r="K108" s="3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">
        <f t="shared" si="1"/>
        <v>109</v>
      </c>
      <c r="B109" s="349" t="s">
        <v>849</v>
      </c>
      <c r="C109" s="3" t="str">
        <f t="shared" si="6"/>
        <v>=&gt;</v>
      </c>
      <c r="D109" s="464" t="s">
        <v>964</v>
      </c>
      <c r="E109" s="3" t="s">
        <v>850</v>
      </c>
      <c r="F109" s="513" t="s">
        <v>1004</v>
      </c>
      <c r="G109" s="3" t="s">
        <v>6</v>
      </c>
      <c r="H109" s="8"/>
      <c r="I109" s="3"/>
      <c r="J109" s="3"/>
      <c r="K109" s="3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">
        <f t="shared" si="1"/>
        <v>110</v>
      </c>
      <c r="B110" s="513" t="s">
        <v>1004</v>
      </c>
      <c r="C110" s="3" t="str">
        <f t="shared" si="6"/>
        <v>=&gt;</v>
      </c>
      <c r="D110" s="3" t="s">
        <v>14</v>
      </c>
      <c r="E110" s="653" t="s">
        <v>1129</v>
      </c>
      <c r="F110" s="516" t="s">
        <v>1006</v>
      </c>
      <c r="G110" s="3"/>
      <c r="H110" s="3"/>
      <c r="I110" s="3"/>
      <c r="J110" s="3"/>
      <c r="K110" s="3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">
        <f t="shared" si="1"/>
        <v>111</v>
      </c>
      <c r="B111" s="516" t="s">
        <v>1006</v>
      </c>
      <c r="C111" s="3" t="str">
        <f t="shared" si="6"/>
        <v>=&gt;</v>
      </c>
      <c r="D111" s="3" t="s">
        <v>38</v>
      </c>
      <c r="E111" s="513" t="s">
        <v>1004</v>
      </c>
      <c r="F111" s="3"/>
      <c r="G111" s="3"/>
      <c r="H111" s="3"/>
      <c r="I111" s="3"/>
      <c r="J111" s="3"/>
      <c r="K111" s="3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">
        <f t="shared" si="1"/>
        <v>112</v>
      </c>
      <c r="B112" s="516" t="s">
        <v>1006</v>
      </c>
      <c r="C112" s="3" t="str">
        <f t="shared" si="6"/>
        <v>=&gt;</v>
      </c>
      <c r="D112" s="3" t="s">
        <v>8</v>
      </c>
      <c r="E112" s="3"/>
      <c r="F112" s="3"/>
      <c r="G112" s="3"/>
      <c r="H112" s="3"/>
      <c r="I112" s="3"/>
      <c r="J112" s="3"/>
      <c r="K112" s="3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">
        <f t="shared" si="1"/>
        <v>113</v>
      </c>
      <c r="B113" s="342" t="s">
        <v>837</v>
      </c>
      <c r="C113" s="3" t="str">
        <f t="shared" si="6"/>
        <v>=&gt;</v>
      </c>
      <c r="D113" s="3" t="s">
        <v>1008</v>
      </c>
      <c r="E113" s="520" t="s">
        <v>1009</v>
      </c>
      <c r="F113" s="3" t="s">
        <v>62</v>
      </c>
      <c r="G113" s="521" t="s">
        <v>1010</v>
      </c>
      <c r="H113" s="3" t="s">
        <v>64</v>
      </c>
      <c r="I113" s="651" t="s">
        <v>839</v>
      </c>
      <c r="J113" s="342" t="s">
        <v>837</v>
      </c>
      <c r="K113" s="3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">
        <f t="shared" si="1"/>
        <v>114</v>
      </c>
      <c r="B114" s="342" t="s">
        <v>837</v>
      </c>
      <c r="C114" s="3" t="str">
        <f t="shared" si="6"/>
        <v>=&gt;</v>
      </c>
      <c r="D114" s="3" t="s">
        <v>8</v>
      </c>
      <c r="E114" s="3"/>
      <c r="F114" s="3"/>
      <c r="G114" s="3"/>
      <c r="H114" s="8"/>
      <c r="I114" s="3"/>
      <c r="J114" s="3"/>
      <c r="K114" s="8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">
        <f t="shared" si="1"/>
        <v>115</v>
      </c>
      <c r="B115" s="520" t="s">
        <v>1009</v>
      </c>
      <c r="C115" s="3" t="str">
        <f t="shared" si="6"/>
        <v>=&gt;</v>
      </c>
      <c r="D115" s="510" t="s">
        <v>1001</v>
      </c>
      <c r="E115" s="3"/>
      <c r="F115" s="3"/>
      <c r="G115" s="3"/>
      <c r="H115" s="3"/>
      <c r="I115" s="3"/>
      <c r="J115" s="3"/>
      <c r="K115" s="3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">
        <f t="shared" si="1"/>
        <v>116</v>
      </c>
      <c r="B116" s="521" t="s">
        <v>1010</v>
      </c>
      <c r="C116" s="3" t="str">
        <f t="shared" si="6"/>
        <v>=&gt;</v>
      </c>
      <c r="D116" s="510" t="s">
        <v>1001</v>
      </c>
      <c r="E116" s="522" t="s">
        <v>1011</v>
      </c>
      <c r="F116" s="3"/>
      <c r="G116" s="3"/>
      <c r="H116" s="3"/>
      <c r="I116" s="3"/>
      <c r="J116" s="3"/>
      <c r="K116" s="3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">
        <f t="shared" si="1"/>
        <v>117</v>
      </c>
      <c r="B117" s="521" t="s">
        <v>1010</v>
      </c>
      <c r="C117" s="3" t="str">
        <f t="shared" si="6"/>
        <v>=&gt;</v>
      </c>
      <c r="D117" s="3" t="s">
        <v>8</v>
      </c>
      <c r="E117" s="3"/>
      <c r="F117" s="3"/>
      <c r="G117" s="3"/>
      <c r="H117" s="3"/>
      <c r="I117" s="3"/>
      <c r="J117" s="3"/>
      <c r="K117" s="3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">
        <f t="shared" si="1"/>
        <v>118</v>
      </c>
      <c r="B118" s="522" t="s">
        <v>1011</v>
      </c>
      <c r="C118" s="3" t="str">
        <f t="shared" si="6"/>
        <v>=&gt;</v>
      </c>
      <c r="D118" s="3" t="s">
        <v>38</v>
      </c>
      <c r="E118" s="510" t="s">
        <v>1001</v>
      </c>
      <c r="F118" s="522" t="s">
        <v>1011</v>
      </c>
      <c r="G118" s="3"/>
      <c r="H118" s="3"/>
      <c r="I118" s="3"/>
      <c r="J118" s="3"/>
      <c r="K118" s="3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">
        <f t="shared" si="1"/>
        <v>119</v>
      </c>
      <c r="B119" s="522" t="s">
        <v>1011</v>
      </c>
      <c r="C119" s="3" t="str">
        <f t="shared" si="6"/>
        <v>=&gt;</v>
      </c>
      <c r="D119" s="3" t="s">
        <v>8</v>
      </c>
      <c r="E119" s="3"/>
      <c r="F119" s="3"/>
      <c r="G119" s="3"/>
      <c r="H119" s="3"/>
      <c r="I119" s="3"/>
      <c r="J119" s="3"/>
      <c r="K119" s="3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">
        <f t="shared" si="1"/>
        <v>120</v>
      </c>
      <c r="B120" s="651" t="s">
        <v>839</v>
      </c>
      <c r="C120" s="3" t="str">
        <f t="shared" si="6"/>
        <v>=&gt;</v>
      </c>
      <c r="D120" s="3" t="s">
        <v>17</v>
      </c>
      <c r="E120" s="523" t="s">
        <v>1012</v>
      </c>
      <c r="F120" s="524" t="s">
        <v>1013</v>
      </c>
      <c r="G120" s="3" t="s">
        <v>19</v>
      </c>
      <c r="H120" s="3"/>
      <c r="I120" s="3"/>
      <c r="J120" s="8"/>
      <c r="K120" s="8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">
        <f t="shared" si="1"/>
        <v>121</v>
      </c>
      <c r="B121" s="523" t="s">
        <v>1012</v>
      </c>
      <c r="C121" s="3" t="str">
        <f t="shared" si="6"/>
        <v>=&gt;</v>
      </c>
      <c r="D121" s="652" t="s">
        <v>1128</v>
      </c>
      <c r="E121" s="523" t="s">
        <v>1012</v>
      </c>
      <c r="F121" s="3"/>
      <c r="G121" s="3"/>
      <c r="H121" s="3"/>
      <c r="I121" s="3"/>
      <c r="J121" s="3"/>
      <c r="K121" s="3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">
        <f t="shared" si="1"/>
        <v>122</v>
      </c>
      <c r="B122" s="523" t="s">
        <v>1012</v>
      </c>
      <c r="C122" s="3" t="str">
        <f t="shared" si="6"/>
        <v>=&gt;</v>
      </c>
      <c r="D122" s="3" t="s">
        <v>14</v>
      </c>
      <c r="E122" s="530" t="s">
        <v>1014</v>
      </c>
      <c r="F122" s="8"/>
      <c r="G122" s="3"/>
      <c r="H122" s="3"/>
      <c r="I122" s="3"/>
      <c r="J122" s="3"/>
      <c r="K122" s="3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">
        <f t="shared" si="1"/>
        <v>123</v>
      </c>
      <c r="B123" s="523" t="s">
        <v>1012</v>
      </c>
      <c r="C123" s="3" t="str">
        <f t="shared" si="6"/>
        <v>=&gt;</v>
      </c>
      <c r="D123" s="3" t="s">
        <v>8</v>
      </c>
      <c r="E123" s="3"/>
      <c r="F123" s="3"/>
      <c r="G123" s="3"/>
      <c r="H123" s="3"/>
      <c r="I123" s="3"/>
      <c r="J123" s="3"/>
      <c r="K123" s="3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">
        <f t="shared" si="1"/>
        <v>124</v>
      </c>
      <c r="B124" s="524" t="s">
        <v>1013</v>
      </c>
      <c r="C124" s="3" t="str">
        <f t="shared" si="6"/>
        <v>=&gt;</v>
      </c>
      <c r="D124" s="543" t="s">
        <v>1018</v>
      </c>
      <c r="E124" s="524" t="s">
        <v>1013</v>
      </c>
      <c r="F124" s="8"/>
      <c r="G124" s="8"/>
      <c r="H124" s="8"/>
      <c r="I124" s="3"/>
      <c r="J124" s="3"/>
      <c r="K124" s="8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">
        <f t="shared" si="1"/>
        <v>125</v>
      </c>
      <c r="B125" s="524" t="s">
        <v>1013</v>
      </c>
      <c r="C125" s="3" t="str">
        <f t="shared" si="6"/>
        <v>=&gt;</v>
      </c>
      <c r="D125" s="654" t="s">
        <v>1019</v>
      </c>
      <c r="E125" s="3" t="s">
        <v>6</v>
      </c>
      <c r="F125" s="524" t="s">
        <v>1013</v>
      </c>
      <c r="G125" s="8"/>
      <c r="H125" s="8"/>
      <c r="I125" s="3"/>
      <c r="J125" s="3"/>
      <c r="K125" s="8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">
        <f t="shared" si="1"/>
        <v>126</v>
      </c>
      <c r="B126" s="524" t="s">
        <v>1013</v>
      </c>
      <c r="C126" s="3" t="str">
        <f t="shared" si="6"/>
        <v>=&gt;</v>
      </c>
      <c r="D126" s="549" t="s">
        <v>1020</v>
      </c>
      <c r="E126" s="524" t="s">
        <v>1013</v>
      </c>
      <c r="F126" s="3"/>
      <c r="G126" s="3"/>
      <c r="H126" s="3"/>
      <c r="I126" s="3"/>
      <c r="J126" s="3"/>
      <c r="K126" s="8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">
        <f t="shared" si="1"/>
        <v>127</v>
      </c>
      <c r="B127" s="524" t="s">
        <v>1013</v>
      </c>
      <c r="C127" s="3" t="str">
        <f t="shared" si="6"/>
        <v>=&gt;</v>
      </c>
      <c r="D127" s="569" t="s">
        <v>1021</v>
      </c>
      <c r="E127" s="524" t="s">
        <v>1013</v>
      </c>
      <c r="F127" s="3"/>
      <c r="G127" s="3"/>
      <c r="H127" s="3"/>
      <c r="I127" s="3"/>
      <c r="J127" s="3"/>
      <c r="K127" s="8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">
        <f t="shared" si="1"/>
        <v>128</v>
      </c>
      <c r="B128" s="524" t="s">
        <v>1013</v>
      </c>
      <c r="C128" s="3" t="str">
        <f t="shared" si="6"/>
        <v>=&gt;</v>
      </c>
      <c r="D128" s="591" t="s">
        <v>1062</v>
      </c>
      <c r="E128" s="524" t="s">
        <v>1013</v>
      </c>
      <c r="F128" s="8"/>
      <c r="G128" s="8"/>
      <c r="H128" s="8"/>
      <c r="I128" s="3"/>
      <c r="J128" s="3"/>
      <c r="K128" s="8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">
        <f t="shared" si="1"/>
        <v>129</v>
      </c>
      <c r="B129" s="524" t="s">
        <v>1013</v>
      </c>
      <c r="C129" s="3" t="str">
        <f t="shared" si="6"/>
        <v>=&gt;</v>
      </c>
      <c r="D129" s="3" t="s">
        <v>8</v>
      </c>
      <c r="E129" s="8"/>
      <c r="F129" s="8"/>
      <c r="G129" s="8"/>
      <c r="H129" s="8"/>
      <c r="I129" s="3"/>
      <c r="J129" s="3"/>
      <c r="K129" s="8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">
        <f t="shared" si="1"/>
        <v>130</v>
      </c>
      <c r="B130" s="530" t="s">
        <v>1014</v>
      </c>
      <c r="C130" s="3" t="str">
        <f t="shared" si="6"/>
        <v>=&gt;</v>
      </c>
      <c r="D130" s="3" t="s">
        <v>850</v>
      </c>
      <c r="E130" s="513" t="s">
        <v>1004</v>
      </c>
      <c r="F130" s="3" t="s">
        <v>6</v>
      </c>
      <c r="G130" s="523" t="s">
        <v>1012</v>
      </c>
      <c r="H130" s="8"/>
      <c r="I130" s="3"/>
      <c r="J130" s="3"/>
      <c r="K130" s="8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">
        <f t="shared" si="1"/>
        <v>131</v>
      </c>
      <c r="B131" s="530" t="s">
        <v>1014</v>
      </c>
      <c r="C131" s="3" t="str">
        <f t="shared" si="6"/>
        <v>=&gt;</v>
      </c>
      <c r="D131" s="3" t="s">
        <v>30</v>
      </c>
      <c r="E131" s="531" t="s">
        <v>1015</v>
      </c>
      <c r="F131" s="8"/>
      <c r="G131" s="8"/>
      <c r="H131" s="8"/>
      <c r="I131" s="3"/>
      <c r="J131" s="3"/>
      <c r="K131" s="8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">
        <f t="shared" si="1"/>
        <v>132</v>
      </c>
      <c r="B132" s="530" t="s">
        <v>1014</v>
      </c>
      <c r="C132" s="3" t="str">
        <f t="shared" si="6"/>
        <v>=&gt;</v>
      </c>
      <c r="D132" s="424" t="s">
        <v>930</v>
      </c>
      <c r="E132" s="532" t="s">
        <v>1016</v>
      </c>
      <c r="F132" s="395" t="s">
        <v>28</v>
      </c>
      <c r="G132" s="3" t="s">
        <v>6</v>
      </c>
      <c r="H132" s="524" t="s">
        <v>1013</v>
      </c>
      <c r="I132" s="3"/>
      <c r="J132" s="3"/>
      <c r="K132" s="8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">
        <f t="shared" si="1"/>
        <v>133</v>
      </c>
      <c r="B133" s="530" t="s">
        <v>1014</v>
      </c>
      <c r="C133" s="3" t="str">
        <f t="shared" si="6"/>
        <v>=&gt;</v>
      </c>
      <c r="D133" s="532" t="s">
        <v>1016</v>
      </c>
      <c r="E133" s="395" t="s">
        <v>28</v>
      </c>
      <c r="F133" s="3" t="s">
        <v>6</v>
      </c>
      <c r="G133" s="524" t="s">
        <v>1013</v>
      </c>
      <c r="H133" s="8"/>
      <c r="I133" s="3"/>
      <c r="J133" s="3"/>
      <c r="K133" s="8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">
        <f t="shared" si="1"/>
        <v>134</v>
      </c>
      <c r="B134" s="530" t="s">
        <v>1014</v>
      </c>
      <c r="C134" s="3" t="str">
        <f t="shared" si="6"/>
        <v>=&gt;</v>
      </c>
      <c r="D134" s="533" t="s">
        <v>1017</v>
      </c>
      <c r="E134" s="8" t="s">
        <v>6</v>
      </c>
      <c r="F134" s="524" t="s">
        <v>1013</v>
      </c>
      <c r="G134" s="8"/>
      <c r="H134" s="8"/>
      <c r="I134" s="3"/>
      <c r="J134" s="3"/>
      <c r="K134" s="8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">
        <f t="shared" si="1"/>
        <v>135</v>
      </c>
      <c r="B135" s="531" t="s">
        <v>1015</v>
      </c>
      <c r="C135" s="3" t="str">
        <f t="shared" si="6"/>
        <v>=&gt;</v>
      </c>
      <c r="D135" s="8" t="s">
        <v>32</v>
      </c>
      <c r="E135" s="464" t="s">
        <v>964</v>
      </c>
      <c r="F135" s="3" t="s">
        <v>850</v>
      </c>
      <c r="G135" s="513" t="s">
        <v>1004</v>
      </c>
      <c r="H135" s="3" t="s">
        <v>6</v>
      </c>
      <c r="I135" s="523" t="s">
        <v>1012</v>
      </c>
      <c r="J135" s="3"/>
      <c r="K135" s="8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">
        <f t="shared" si="1"/>
        <v>136</v>
      </c>
      <c r="B136" s="531" t="s">
        <v>1015</v>
      </c>
      <c r="C136" s="3" t="str">
        <f t="shared" si="6"/>
        <v>=&gt;</v>
      </c>
      <c r="D136" s="603" t="s">
        <v>1085</v>
      </c>
      <c r="E136" s="8" t="s">
        <v>32</v>
      </c>
      <c r="F136" s="535" t="s">
        <v>894</v>
      </c>
      <c r="G136" s="532" t="s">
        <v>1016</v>
      </c>
      <c r="H136" s="395" t="s">
        <v>28</v>
      </c>
      <c r="I136" s="3" t="s">
        <v>6</v>
      </c>
      <c r="J136" s="524" t="s">
        <v>1013</v>
      </c>
      <c r="K136" s="8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">
        <f t="shared" si="1"/>
        <v>137</v>
      </c>
      <c r="B137" s="543" t="s">
        <v>1018</v>
      </c>
      <c r="C137" s="3" t="str">
        <f t="shared" si="6"/>
        <v>=&gt;</v>
      </c>
      <c r="D137" s="3" t="s">
        <v>14</v>
      </c>
      <c r="E137" s="544" t="s">
        <v>1023</v>
      </c>
      <c r="F137" s="524" t="s">
        <v>1013</v>
      </c>
      <c r="G137" s="8"/>
      <c r="H137" s="8"/>
      <c r="I137" s="3"/>
      <c r="J137" s="3"/>
      <c r="K137" s="8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">
        <f t="shared" si="1"/>
        <v>138</v>
      </c>
      <c r="B138" s="544" t="s">
        <v>1023</v>
      </c>
      <c r="C138" s="3" t="str">
        <f t="shared" si="6"/>
        <v>=&gt;</v>
      </c>
      <c r="D138" s="533" t="s">
        <v>1017</v>
      </c>
      <c r="E138" s="8" t="s">
        <v>6</v>
      </c>
      <c r="F138" s="8"/>
      <c r="G138" s="8"/>
      <c r="H138" s="3"/>
      <c r="I138" s="3"/>
      <c r="J138" s="3"/>
      <c r="K138" s="8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">
        <f t="shared" si="1"/>
        <v>139</v>
      </c>
      <c r="B139" s="544" t="s">
        <v>1023</v>
      </c>
      <c r="C139" s="3" t="str">
        <f t="shared" si="6"/>
        <v>=&gt;</v>
      </c>
      <c r="D139" s="545" t="s">
        <v>1024</v>
      </c>
      <c r="E139" s="8"/>
      <c r="F139" s="8"/>
      <c r="G139" s="8"/>
      <c r="H139" s="3"/>
      <c r="I139" s="3"/>
      <c r="J139" s="3"/>
      <c r="K139" s="8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">
        <f t="shared" si="1"/>
        <v>140</v>
      </c>
      <c r="B140" s="545" t="s">
        <v>1024</v>
      </c>
      <c r="C140" s="3" t="str">
        <f t="shared" si="6"/>
        <v>=&gt;</v>
      </c>
      <c r="D140" s="535" t="s">
        <v>894</v>
      </c>
      <c r="E140" s="532" t="s">
        <v>1016</v>
      </c>
      <c r="F140" s="395" t="s">
        <v>28</v>
      </c>
      <c r="G140" s="3" t="s">
        <v>6</v>
      </c>
      <c r="H140" s="8"/>
      <c r="I140" s="3"/>
      <c r="J140" s="3"/>
      <c r="K140" s="8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">
        <f t="shared" si="1"/>
        <v>141</v>
      </c>
      <c r="B141" s="532" t="s">
        <v>1016</v>
      </c>
      <c r="C141" s="3" t="str">
        <f t="shared" si="6"/>
        <v>=&gt;</v>
      </c>
      <c r="D141" s="8" t="str">
        <f>"="</f>
        <v>=</v>
      </c>
      <c r="E141" s="8"/>
      <c r="F141" s="8"/>
      <c r="G141" s="8"/>
      <c r="H141" s="3"/>
      <c r="I141" s="3"/>
      <c r="J141" s="3"/>
      <c r="K141" s="8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">
        <f t="shared" si="1"/>
        <v>142</v>
      </c>
      <c r="B142" s="532" t="s">
        <v>1016</v>
      </c>
      <c r="C142" s="3" t="str">
        <f t="shared" si="6"/>
        <v>=&gt;</v>
      </c>
      <c r="D142" s="8" t="str">
        <f>"+="</f>
        <v>+=</v>
      </c>
      <c r="E142" s="8"/>
      <c r="F142" s="8"/>
      <c r="G142" s="8"/>
      <c r="H142" s="3"/>
      <c r="I142" s="3"/>
      <c r="J142" s="3"/>
      <c r="K142" s="8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">
        <f t="shared" si="1"/>
        <v>143</v>
      </c>
      <c r="B143" s="532" t="s">
        <v>1016</v>
      </c>
      <c r="C143" s="3" t="str">
        <f t="shared" si="6"/>
        <v>=&gt;</v>
      </c>
      <c r="D143" s="8" t="str">
        <f>"-="</f>
        <v>-=</v>
      </c>
      <c r="E143" s="8"/>
      <c r="F143" s="8"/>
      <c r="G143" s="8"/>
      <c r="H143" s="3"/>
      <c r="I143" s="3"/>
      <c r="J143" s="3"/>
      <c r="K143" s="8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">
        <f t="shared" si="1"/>
        <v>144</v>
      </c>
      <c r="B144" s="532" t="s">
        <v>1016</v>
      </c>
      <c r="C144" s="3" t="str">
        <f t="shared" si="6"/>
        <v>=&gt;</v>
      </c>
      <c r="D144" s="8" t="str">
        <f>"*="</f>
        <v>*=</v>
      </c>
      <c r="E144" s="8"/>
      <c r="F144" s="8"/>
      <c r="G144" s="8"/>
      <c r="H144" s="3"/>
      <c r="I144" s="3"/>
      <c r="J144" s="3"/>
      <c r="K144" s="8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">
        <f t="shared" si="1"/>
        <v>145</v>
      </c>
      <c r="B145" s="532" t="s">
        <v>1016</v>
      </c>
      <c r="C145" s="3" t="str">
        <f t="shared" si="6"/>
        <v>=&gt;</v>
      </c>
      <c r="D145" s="8" t="str">
        <f>"/="</f>
        <v>/=</v>
      </c>
      <c r="E145" s="8"/>
      <c r="F145" s="8"/>
      <c r="G145" s="8"/>
      <c r="H145" s="3"/>
      <c r="I145" s="3"/>
      <c r="J145" s="3"/>
      <c r="K145" s="8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">
        <f t="shared" si="1"/>
        <v>146</v>
      </c>
      <c r="B146" s="532" t="s">
        <v>1016</v>
      </c>
      <c r="C146" s="3" t="str">
        <f t="shared" si="6"/>
        <v>=&gt;</v>
      </c>
      <c r="D146" s="8" t="str">
        <f>"%="</f>
        <v>%=</v>
      </c>
      <c r="E146" s="8"/>
      <c r="F146" s="8"/>
      <c r="G146" s="8"/>
      <c r="H146" s="3"/>
      <c r="I146" s="3"/>
      <c r="J146" s="3"/>
      <c r="K146" s="8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">
        <f t="shared" si="1"/>
        <v>147</v>
      </c>
      <c r="B147" s="549" t="s">
        <v>1020</v>
      </c>
      <c r="C147" s="3" t="str">
        <f t="shared" si="6"/>
        <v>=&gt;</v>
      </c>
      <c r="D147" s="550" t="s">
        <v>1027</v>
      </c>
      <c r="E147" s="3"/>
      <c r="F147" s="3"/>
      <c r="G147" s="3"/>
      <c r="H147" s="3"/>
      <c r="I147" s="3"/>
      <c r="J147" s="3"/>
      <c r="K147" s="8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">
        <f t="shared" si="1"/>
        <v>148</v>
      </c>
      <c r="B148" s="549" t="s">
        <v>1020</v>
      </c>
      <c r="C148" s="3" t="str">
        <f t="shared" si="6"/>
        <v>=&gt;</v>
      </c>
      <c r="D148" s="551" t="s">
        <v>1028</v>
      </c>
      <c r="E148" s="3"/>
      <c r="F148" s="3"/>
      <c r="G148" s="3"/>
      <c r="H148" s="3"/>
      <c r="I148" s="3"/>
      <c r="J148" s="3"/>
      <c r="K148" s="8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">
        <f t="shared" si="1"/>
        <v>149</v>
      </c>
      <c r="B149" s="550" t="s">
        <v>1027</v>
      </c>
      <c r="C149" s="3" t="str">
        <f t="shared" si="6"/>
        <v>=&gt;</v>
      </c>
      <c r="D149" s="542" t="s">
        <v>1029</v>
      </c>
      <c r="E149" s="3" t="s">
        <v>62</v>
      </c>
      <c r="F149" s="603" t="s">
        <v>1085</v>
      </c>
      <c r="G149" s="3" t="s">
        <v>64</v>
      </c>
      <c r="H149" s="651" t="s">
        <v>839</v>
      </c>
      <c r="I149" s="553" t="s">
        <v>1030</v>
      </c>
      <c r="J149" s="554" t="s">
        <v>1031</v>
      </c>
      <c r="K149" s="7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">
        <f t="shared" si="1"/>
        <v>150</v>
      </c>
      <c r="B150" s="1004" t="s">
        <v>1565</v>
      </c>
      <c r="C150" s="3" t="str">
        <f t="shared" si="6"/>
        <v>=&gt;</v>
      </c>
      <c r="D150" s="1005" t="s">
        <v>1566</v>
      </c>
      <c r="E150" s="3"/>
      <c r="F150" s="7"/>
      <c r="G150" s="3"/>
      <c r="H150" s="3"/>
      <c r="I150" s="3"/>
      <c r="J150" s="3"/>
      <c r="K150" s="7"/>
      <c r="L150" s="1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">
        <f t="shared" si="1"/>
        <v>151</v>
      </c>
      <c r="B151" s="1005" t="s">
        <v>1566</v>
      </c>
      <c r="C151" s="3" t="str">
        <f t="shared" si="6"/>
        <v>=&gt;</v>
      </c>
      <c r="D151" s="1006" t="s">
        <v>1567</v>
      </c>
      <c r="E151" s="1007" t="s">
        <v>1568</v>
      </c>
      <c r="F151" s="7"/>
      <c r="G151" s="3"/>
      <c r="H151" s="3"/>
      <c r="I151" s="3"/>
      <c r="J151" s="649"/>
      <c r="K151" s="7"/>
      <c r="L151" s="15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">
        <f t="shared" si="1"/>
        <v>152</v>
      </c>
      <c r="B152" s="1006" t="s">
        <v>1567</v>
      </c>
      <c r="C152" s="3" t="str">
        <f t="shared" si="6"/>
        <v>=&gt;</v>
      </c>
      <c r="D152" s="1008" t="s">
        <v>1569</v>
      </c>
      <c r="E152" s="1009" t="s">
        <v>1570</v>
      </c>
      <c r="F152" s="7"/>
      <c r="G152" s="3"/>
      <c r="H152" s="3"/>
      <c r="I152" s="3"/>
      <c r="J152" s="7"/>
      <c r="K152" s="7"/>
      <c r="L152" s="15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">
        <f t="shared" si="1"/>
        <v>153</v>
      </c>
      <c r="B153" s="1007" t="s">
        <v>1568</v>
      </c>
      <c r="C153" s="3" t="str">
        <f t="shared" si="6"/>
        <v>=&gt;</v>
      </c>
      <c r="D153" s="649" t="s">
        <v>937</v>
      </c>
      <c r="E153" s="1006" t="s">
        <v>1567</v>
      </c>
      <c r="F153" s="1007" t="s">
        <v>1568</v>
      </c>
      <c r="G153" s="3"/>
      <c r="H153" s="3"/>
      <c r="I153" s="3"/>
      <c r="J153" s="649"/>
      <c r="K153" s="649"/>
      <c r="L153" s="15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">
        <f t="shared" si="1"/>
        <v>154</v>
      </c>
      <c r="B154" s="1007" t="s">
        <v>1568</v>
      </c>
      <c r="C154" s="3" t="str">
        <f t="shared" si="6"/>
        <v>=&gt;</v>
      </c>
      <c r="D154" s="542" t="s">
        <v>8</v>
      </c>
      <c r="E154" s="3"/>
      <c r="F154" s="7"/>
      <c r="G154" s="3"/>
      <c r="H154" s="3"/>
      <c r="I154" s="3"/>
      <c r="J154" s="3"/>
      <c r="K154" s="7"/>
      <c r="L154" s="15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">
        <f t="shared" si="1"/>
        <v>155</v>
      </c>
      <c r="B155" s="1008" t="s">
        <v>1569</v>
      </c>
      <c r="C155" s="3" t="str">
        <f t="shared" si="6"/>
        <v>=&gt;</v>
      </c>
      <c r="D155" s="649" t="s">
        <v>885</v>
      </c>
      <c r="E155" s="1008" t="s">
        <v>1569</v>
      </c>
      <c r="F155" s="7"/>
      <c r="G155" s="3"/>
      <c r="H155" s="3"/>
      <c r="I155" s="3"/>
      <c r="J155" s="649"/>
      <c r="K155" s="7"/>
      <c r="L155" s="15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">
        <f t="shared" si="1"/>
        <v>156</v>
      </c>
      <c r="B156" s="1008" t="s">
        <v>1569</v>
      </c>
      <c r="C156" s="3" t="str">
        <f t="shared" si="6"/>
        <v>=&gt;</v>
      </c>
      <c r="D156" s="1010" t="s">
        <v>1571</v>
      </c>
      <c r="E156" s="649"/>
      <c r="F156" s="7"/>
      <c r="G156" s="3"/>
      <c r="H156" s="3"/>
      <c r="I156" s="3"/>
      <c r="J156" s="649"/>
      <c r="K156" s="7"/>
      <c r="L156" s="1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">
        <f t="shared" si="1"/>
        <v>157</v>
      </c>
      <c r="B157" s="1009" t="s">
        <v>1570</v>
      </c>
      <c r="C157" s="3" t="str">
        <f t="shared" si="6"/>
        <v>=&gt;</v>
      </c>
      <c r="D157" s="649" t="s">
        <v>936</v>
      </c>
      <c r="E157" s="1008" t="s">
        <v>1569</v>
      </c>
      <c r="F157" s="1009" t="s">
        <v>1570</v>
      </c>
      <c r="G157" s="3"/>
      <c r="H157" s="3"/>
      <c r="I157" s="3"/>
      <c r="J157" s="649"/>
      <c r="K157" s="7"/>
      <c r="L157" s="1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">
        <f t="shared" si="1"/>
        <v>158</v>
      </c>
      <c r="B158" s="1009" t="s">
        <v>1570</v>
      </c>
      <c r="C158" s="3" t="str">
        <f t="shared" si="6"/>
        <v>=&gt;</v>
      </c>
      <c r="D158" s="542" t="s">
        <v>8</v>
      </c>
      <c r="E158" s="3"/>
      <c r="F158" s="7"/>
      <c r="G158" s="3"/>
      <c r="H158" s="3"/>
      <c r="I158" s="3"/>
      <c r="J158" s="3"/>
      <c r="K158" s="7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">
        <f t="shared" si="1"/>
        <v>159</v>
      </c>
      <c r="B159" s="1010" t="s">
        <v>1571</v>
      </c>
      <c r="C159" s="3" t="str">
        <f t="shared" si="6"/>
        <v>=&gt;</v>
      </c>
      <c r="D159" s="649" t="s">
        <v>1572</v>
      </c>
      <c r="E159" s="1003" t="s">
        <v>1565</v>
      </c>
      <c r="F159" s="7" t="s">
        <v>1573</v>
      </c>
      <c r="G159" s="3"/>
      <c r="H159" s="3"/>
      <c r="I159" s="3"/>
      <c r="J159" s="7"/>
      <c r="K159" s="7"/>
      <c r="L159" s="15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">
        <f t="shared" si="1"/>
        <v>160</v>
      </c>
      <c r="B160" s="1010" t="s">
        <v>1571</v>
      </c>
      <c r="C160" s="3" t="str">
        <f t="shared" si="6"/>
        <v>=&gt;</v>
      </c>
      <c r="D160" s="1011" t="s">
        <v>1574</v>
      </c>
      <c r="E160" s="7"/>
      <c r="F160" s="7"/>
      <c r="G160" s="3"/>
      <c r="H160" s="3"/>
      <c r="I160" s="7" t="s">
        <v>1575</v>
      </c>
      <c r="J160" s="7"/>
      <c r="K160" s="7"/>
      <c r="L160" s="1010" t="s">
        <v>1576</v>
      </c>
      <c r="M160" s="3" t="str">
        <f>"=&gt;"</f>
        <v>=&gt;</v>
      </c>
      <c r="N160" s="1011" t="s">
        <v>1574</v>
      </c>
      <c r="O160" s="7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">
        <f t="shared" si="1"/>
        <v>161</v>
      </c>
      <c r="B161" s="1010" t="s">
        <v>1571</v>
      </c>
      <c r="C161" s="3" t="str">
        <f t="shared" si="6"/>
        <v>=&gt;</v>
      </c>
      <c r="D161" s="1012" t="s">
        <v>1577</v>
      </c>
      <c r="E161" s="7"/>
      <c r="F161" s="7"/>
      <c r="G161" s="3"/>
      <c r="H161" s="3"/>
      <c r="I161" s="3"/>
      <c r="J161" s="7"/>
      <c r="K161" s="7"/>
      <c r="L161" s="15"/>
      <c r="M161" s="16"/>
      <c r="N161" s="1012" t="s">
        <v>1577</v>
      </c>
      <c r="O161" s="7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">
        <f t="shared" si="1"/>
        <v>162</v>
      </c>
      <c r="B162" s="1010" t="s">
        <v>1571</v>
      </c>
      <c r="C162" s="3" t="str">
        <f t="shared" si="6"/>
        <v>=&gt;</v>
      </c>
      <c r="D162" s="1013" t="s">
        <v>1578</v>
      </c>
      <c r="E162" s="7"/>
      <c r="F162" s="7"/>
      <c r="G162" s="3"/>
      <c r="H162" s="3"/>
      <c r="I162" s="3"/>
      <c r="J162" s="7"/>
      <c r="K162" s="7"/>
      <c r="L162" s="15"/>
      <c r="M162" s="16"/>
      <c r="N162" s="1013" t="s">
        <v>1578</v>
      </c>
      <c r="O162" s="7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">
        <f t="shared" si="1"/>
        <v>163</v>
      </c>
      <c r="B163" s="1010" t="s">
        <v>1571</v>
      </c>
      <c r="C163" s="3" t="str">
        <f t="shared" si="6"/>
        <v>=&gt;</v>
      </c>
      <c r="D163" s="1014" t="s">
        <v>1579</v>
      </c>
      <c r="E163" s="7"/>
      <c r="F163" s="7"/>
      <c r="G163" s="3"/>
      <c r="H163" s="3"/>
      <c r="I163" s="3"/>
      <c r="J163" s="7"/>
      <c r="K163" s="7"/>
      <c r="L163" s="15"/>
      <c r="M163" s="16"/>
      <c r="N163" s="1014" t="s">
        <v>1579</v>
      </c>
      <c r="O163" s="7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"/>
      <c r="B164" s="1010" t="s">
        <v>1571</v>
      </c>
      <c r="C164" s="3" t="str">
        <f t="shared" si="6"/>
        <v>=&gt;</v>
      </c>
      <c r="D164" s="1015" t="s">
        <v>14</v>
      </c>
      <c r="E164" s="388" t="s">
        <v>890</v>
      </c>
      <c r="F164" s="1010" t="s">
        <v>1576</v>
      </c>
      <c r="G164" s="3"/>
      <c r="H164" s="3"/>
      <c r="I164" s="3"/>
      <c r="J164" s="7"/>
      <c r="K164" s="7"/>
      <c r="L164" s="15"/>
      <c r="M164" s="16"/>
      <c r="N164" s="1015" t="s">
        <v>14</v>
      </c>
      <c r="O164" s="388" t="s">
        <v>890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">
        <f t="shared" ref="A165:A254" si="7">ROW()</f>
        <v>165</v>
      </c>
      <c r="B165" s="1011" t="s">
        <v>1574</v>
      </c>
      <c r="C165" s="3" t="str">
        <f t="shared" si="6"/>
        <v>=&gt;</v>
      </c>
      <c r="D165" s="1015" t="s">
        <v>1580</v>
      </c>
      <c r="E165" s="1016" t="s">
        <v>1581</v>
      </c>
      <c r="F165" s="7"/>
      <c r="G165" s="3"/>
      <c r="H165" s="3"/>
      <c r="I165" s="3"/>
      <c r="J165" s="7"/>
      <c r="K165" s="7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">
        <f t="shared" si="7"/>
        <v>166</v>
      </c>
      <c r="B166" s="1016" t="s">
        <v>1581</v>
      </c>
      <c r="C166" s="3" t="str">
        <f t="shared" si="6"/>
        <v>=&gt;</v>
      </c>
      <c r="D166" s="1017" t="s">
        <v>1582</v>
      </c>
      <c r="E166" s="1015" t="s">
        <v>1580</v>
      </c>
      <c r="F166" s="7"/>
      <c r="G166" s="3"/>
      <c r="H166" s="3"/>
      <c r="I166" s="3"/>
      <c r="J166" s="7"/>
      <c r="K166" s="7"/>
      <c r="L166" s="1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">
        <f t="shared" si="7"/>
        <v>167</v>
      </c>
      <c r="B167" s="1016" t="s">
        <v>1581</v>
      </c>
      <c r="C167" s="3" t="str">
        <f t="shared" si="6"/>
        <v>=&gt;</v>
      </c>
      <c r="D167" s="542" t="s">
        <v>8</v>
      </c>
      <c r="E167" s="7"/>
      <c r="F167" s="649"/>
      <c r="G167" s="3"/>
      <c r="H167" s="3"/>
      <c r="I167" s="3"/>
      <c r="J167" s="7"/>
      <c r="K167" s="649"/>
      <c r="L167" s="15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">
        <f t="shared" si="7"/>
        <v>168</v>
      </c>
      <c r="B168" s="1015" t="s">
        <v>1580</v>
      </c>
      <c r="C168" s="3" t="str">
        <f t="shared" si="6"/>
        <v>=&gt;</v>
      </c>
      <c r="D168" s="649" t="s">
        <v>903</v>
      </c>
      <c r="E168" s="7"/>
      <c r="F168" s="649"/>
      <c r="G168" s="3"/>
      <c r="H168" s="3"/>
      <c r="I168" s="3"/>
      <c r="J168" s="7"/>
      <c r="K168" s="649"/>
      <c r="L168" s="15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">
        <f t="shared" si="7"/>
        <v>169</v>
      </c>
      <c r="B169" s="1015" t="s">
        <v>1580</v>
      </c>
      <c r="C169" s="3" t="str">
        <f t="shared" si="6"/>
        <v>=&gt;</v>
      </c>
      <c r="D169" s="649" t="s">
        <v>14</v>
      </c>
      <c r="E169" s="388" t="s">
        <v>890</v>
      </c>
      <c r="F169" s="649"/>
      <c r="G169" s="3"/>
      <c r="H169" s="3"/>
      <c r="I169" s="3"/>
      <c r="J169" s="8"/>
      <c r="K169" s="649"/>
      <c r="L169" s="15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">
        <f t="shared" si="7"/>
        <v>170</v>
      </c>
      <c r="B170" s="1015" t="s">
        <v>1580</v>
      </c>
      <c r="C170" s="3"/>
      <c r="D170" s="649" t="s">
        <v>908</v>
      </c>
      <c r="E170" s="7" t="s">
        <v>62</v>
      </c>
      <c r="F170" s="649" t="s">
        <v>64</v>
      </c>
      <c r="G170" s="3"/>
      <c r="H170" s="3"/>
      <c r="I170" s="3"/>
      <c r="J170" s="7"/>
      <c r="K170" s="649"/>
      <c r="L170" s="15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">
        <f t="shared" si="7"/>
        <v>171</v>
      </c>
      <c r="B171" s="1015" t="s">
        <v>1580</v>
      </c>
      <c r="C171" s="3"/>
      <c r="D171" s="649" t="s">
        <v>910</v>
      </c>
      <c r="E171" s="7" t="s">
        <v>62</v>
      </c>
      <c r="F171" s="649" t="s">
        <v>64</v>
      </c>
      <c r="G171" s="3"/>
      <c r="H171" s="3"/>
      <c r="I171" s="3"/>
      <c r="J171" s="7"/>
      <c r="K171" s="649"/>
      <c r="L171" s="15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">
        <f t="shared" si="7"/>
        <v>172</v>
      </c>
      <c r="B172" s="1015" t="s">
        <v>1580</v>
      </c>
      <c r="C172" s="3" t="str">
        <f t="shared" ref="C172:C183" si="8">"=&gt;"</f>
        <v>=&gt;</v>
      </c>
      <c r="D172" s="7" t="s">
        <v>62</v>
      </c>
      <c r="E172" s="1011" t="s">
        <v>1574</v>
      </c>
      <c r="F172" s="7" t="s">
        <v>64</v>
      </c>
      <c r="G172" s="3"/>
      <c r="H172" s="3"/>
      <c r="I172" s="3"/>
      <c r="J172" s="7"/>
      <c r="K172" s="7"/>
      <c r="L172" s="15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">
        <f t="shared" si="7"/>
        <v>173</v>
      </c>
      <c r="B173" s="1017" t="s">
        <v>1582</v>
      </c>
      <c r="C173" s="3" t="str">
        <f t="shared" si="8"/>
        <v>=&gt;</v>
      </c>
      <c r="D173" s="623" t="s">
        <v>934</v>
      </c>
      <c r="E173" s="7"/>
      <c r="F173" s="7"/>
      <c r="G173" s="3"/>
      <c r="H173" s="3"/>
      <c r="I173" s="3"/>
      <c r="J173" s="7"/>
      <c r="K173" s="7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">
        <f t="shared" si="7"/>
        <v>174</v>
      </c>
      <c r="B174" s="1017" t="s">
        <v>1582</v>
      </c>
      <c r="C174" s="3" t="str">
        <f t="shared" si="8"/>
        <v>=&gt;</v>
      </c>
      <c r="D174" s="623" t="s">
        <v>163</v>
      </c>
      <c r="E174" s="7"/>
      <c r="F174" s="7"/>
      <c r="G174" s="3"/>
      <c r="H174" s="3"/>
      <c r="I174" s="3"/>
      <c r="J174" s="7"/>
      <c r="K174" s="649"/>
      <c r="L174" s="15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">
        <f t="shared" si="7"/>
        <v>175</v>
      </c>
      <c r="B175" s="1013" t="s">
        <v>1577</v>
      </c>
      <c r="C175" s="3" t="str">
        <f t="shared" si="8"/>
        <v>=&gt;</v>
      </c>
      <c r="D175" s="1000" t="s">
        <v>935</v>
      </c>
      <c r="E175" s="1018" t="s">
        <v>112</v>
      </c>
      <c r="F175" s="1000" t="s">
        <v>935</v>
      </c>
      <c r="G175" s="1019"/>
      <c r="H175" s="1019"/>
      <c r="I175" s="1019"/>
      <c r="J175" s="1020"/>
      <c r="K175" s="1021"/>
      <c r="L175" s="1022"/>
      <c r="M175" s="1023"/>
      <c r="N175" s="1023"/>
      <c r="O175" s="1023"/>
      <c r="P175" s="1023"/>
      <c r="Q175" s="1023"/>
      <c r="R175" s="1023"/>
      <c r="S175" s="1023"/>
      <c r="T175" s="1023"/>
      <c r="U175" s="1023"/>
      <c r="V175" s="1023"/>
      <c r="W175" s="1023"/>
      <c r="X175" s="1023"/>
      <c r="Y175" s="1023"/>
      <c r="Z175" s="1023"/>
    </row>
    <row r="176">
      <c r="A176" s="3">
        <f t="shared" si="7"/>
        <v>176</v>
      </c>
      <c r="B176" s="1000" t="s">
        <v>935</v>
      </c>
      <c r="C176" s="3" t="str">
        <f t="shared" si="8"/>
        <v>=&gt;</v>
      </c>
      <c r="D176" s="1024" t="s">
        <v>1583</v>
      </c>
      <c r="E176" s="1025" t="s">
        <v>870</v>
      </c>
      <c r="F176" s="649"/>
      <c r="G176" s="3"/>
      <c r="H176" s="3"/>
      <c r="I176" s="3"/>
      <c r="J176" s="649"/>
      <c r="K176" s="7"/>
      <c r="L176" s="15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">
        <f t="shared" si="7"/>
        <v>177</v>
      </c>
      <c r="B177" s="1025" t="s">
        <v>870</v>
      </c>
      <c r="C177" s="3" t="str">
        <f t="shared" si="8"/>
        <v>=&gt;</v>
      </c>
      <c r="D177" s="1026" t="s">
        <v>1584</v>
      </c>
      <c r="E177" s="1024" t="s">
        <v>1583</v>
      </c>
      <c r="F177" s="1025" t="s">
        <v>870</v>
      </c>
      <c r="G177" s="3"/>
      <c r="H177" s="3"/>
      <c r="I177" s="3"/>
      <c r="J177" s="649"/>
      <c r="K177" s="649"/>
      <c r="L177" s="15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">
        <f t="shared" si="7"/>
        <v>178</v>
      </c>
      <c r="B178" s="1025" t="s">
        <v>870</v>
      </c>
      <c r="C178" s="3" t="str">
        <f t="shared" si="8"/>
        <v>=&gt;</v>
      </c>
      <c r="D178" s="542" t="s">
        <v>8</v>
      </c>
      <c r="E178" s="649"/>
      <c r="F178" s="649"/>
      <c r="G178" s="3"/>
      <c r="H178" s="3"/>
      <c r="I178" s="3"/>
      <c r="J178" s="649"/>
      <c r="K178" s="649"/>
      <c r="L178" s="15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">
        <f t="shared" si="7"/>
        <v>179</v>
      </c>
      <c r="B179" s="1026" t="s">
        <v>1584</v>
      </c>
      <c r="C179" s="3" t="str">
        <f t="shared" si="8"/>
        <v>=&gt;</v>
      </c>
      <c r="D179" s="650" t="s">
        <v>924</v>
      </c>
      <c r="E179" s="649"/>
      <c r="F179" s="649"/>
      <c r="G179" s="3"/>
      <c r="H179" s="3"/>
      <c r="I179" s="3"/>
      <c r="J179" s="649"/>
      <c r="K179" s="649"/>
      <c r="L179" s="15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">
        <f t="shared" si="7"/>
        <v>180</v>
      </c>
      <c r="B180" s="1026" t="s">
        <v>1584</v>
      </c>
      <c r="C180" s="3" t="str">
        <f t="shared" si="8"/>
        <v>=&gt;</v>
      </c>
      <c r="D180" s="649" t="s">
        <v>41</v>
      </c>
      <c r="E180" s="649"/>
      <c r="F180" s="649"/>
      <c r="G180" s="3"/>
      <c r="H180" s="3"/>
      <c r="I180" s="3"/>
      <c r="J180" s="7"/>
      <c r="K180" s="649"/>
      <c r="L180" s="15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">
        <f t="shared" si="7"/>
        <v>181</v>
      </c>
      <c r="B181" s="1024" t="s">
        <v>1583</v>
      </c>
      <c r="C181" s="3" t="str">
        <f t="shared" si="8"/>
        <v>=&gt;</v>
      </c>
      <c r="D181" s="1027" t="s">
        <v>1585</v>
      </c>
      <c r="E181" s="1028" t="s">
        <v>869</v>
      </c>
      <c r="F181" s="649"/>
      <c r="G181" s="3"/>
      <c r="H181" s="3"/>
      <c r="I181" s="3"/>
      <c r="J181" s="7"/>
      <c r="K181" s="649"/>
      <c r="L181" s="15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">
        <f t="shared" si="7"/>
        <v>182</v>
      </c>
      <c r="B182" s="1027" t="s">
        <v>1585</v>
      </c>
      <c r="C182" s="3" t="str">
        <f t="shared" si="8"/>
        <v>=&gt;</v>
      </c>
      <c r="D182" s="7" t="s">
        <v>868</v>
      </c>
      <c r="E182" s="7"/>
      <c r="F182" s="649"/>
      <c r="G182" s="3"/>
      <c r="H182" s="3"/>
      <c r="I182" s="3"/>
      <c r="J182" s="8"/>
      <c r="K182" s="649"/>
      <c r="L182" s="15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">
        <f t="shared" si="7"/>
        <v>183</v>
      </c>
      <c r="B183" s="1027" t="s">
        <v>1585</v>
      </c>
      <c r="C183" s="3" t="str">
        <f t="shared" si="8"/>
        <v>=&gt;</v>
      </c>
      <c r="D183" s="7" t="s">
        <v>14</v>
      </c>
      <c r="E183" s="388" t="s">
        <v>890</v>
      </c>
      <c r="F183" s="649"/>
      <c r="G183" s="3"/>
      <c r="H183" s="3"/>
      <c r="I183" s="3"/>
      <c r="J183" s="7"/>
      <c r="K183" s="649"/>
      <c r="L183" s="15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">
        <f t="shared" si="7"/>
        <v>184</v>
      </c>
      <c r="B184" s="1027" t="s">
        <v>1585</v>
      </c>
      <c r="C184" s="3"/>
      <c r="D184" s="7" t="s">
        <v>862</v>
      </c>
      <c r="E184" s="7" t="s">
        <v>62</v>
      </c>
      <c r="F184" s="649" t="s">
        <v>64</v>
      </c>
      <c r="G184" s="3"/>
      <c r="H184" s="3"/>
      <c r="I184" s="3"/>
      <c r="J184" s="7"/>
      <c r="K184" s="649"/>
      <c r="L184" s="15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">
        <f t="shared" si="7"/>
        <v>185</v>
      </c>
      <c r="B185" s="1027" t="s">
        <v>1585</v>
      </c>
      <c r="C185" s="3"/>
      <c r="D185" s="7" t="s">
        <v>864</v>
      </c>
      <c r="E185" s="7" t="s">
        <v>62</v>
      </c>
      <c r="F185" s="649" t="s">
        <v>64</v>
      </c>
      <c r="G185" s="3"/>
      <c r="H185" s="3"/>
      <c r="I185" s="3"/>
      <c r="J185" s="649"/>
      <c r="K185" s="7"/>
      <c r="L185" s="15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">
        <f t="shared" si="7"/>
        <v>186</v>
      </c>
      <c r="B186" s="1027" t="s">
        <v>1585</v>
      </c>
      <c r="C186" s="3"/>
      <c r="D186" s="7" t="s">
        <v>866</v>
      </c>
      <c r="E186" s="7" t="s">
        <v>62</v>
      </c>
      <c r="F186" s="649" t="s">
        <v>64</v>
      </c>
      <c r="G186" s="3"/>
      <c r="H186" s="3"/>
      <c r="I186" s="3"/>
      <c r="J186" s="7"/>
      <c r="K186" s="649"/>
      <c r="L186" s="15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">
        <f t="shared" si="7"/>
        <v>187</v>
      </c>
      <c r="B187" s="1027" t="s">
        <v>1585</v>
      </c>
      <c r="C187" s="3"/>
      <c r="D187" s="7" t="s">
        <v>867</v>
      </c>
      <c r="E187" s="7" t="s">
        <v>62</v>
      </c>
      <c r="F187" s="649" t="s">
        <v>64</v>
      </c>
      <c r="G187" s="3"/>
      <c r="H187" s="3"/>
      <c r="I187" s="3"/>
      <c r="J187" s="7"/>
      <c r="K187" s="649"/>
      <c r="L187" s="15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">
        <f t="shared" si="7"/>
        <v>188</v>
      </c>
      <c r="B188" s="1027" t="s">
        <v>1585</v>
      </c>
      <c r="C188" s="3" t="str">
        <f t="shared" ref="C188:C254" si="9">"=&gt;"</f>
        <v>=&gt;</v>
      </c>
      <c r="D188" s="7" t="s">
        <v>1572</v>
      </c>
      <c r="E188" s="1029" t="s">
        <v>1586</v>
      </c>
      <c r="F188" s="649" t="s">
        <v>64</v>
      </c>
      <c r="G188" s="3"/>
      <c r="H188" s="3"/>
      <c r="I188" s="3"/>
      <c r="J188" s="7"/>
      <c r="K188" s="649"/>
      <c r="L188" s="15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">
        <f t="shared" si="7"/>
        <v>189</v>
      </c>
      <c r="B189" s="1028" t="s">
        <v>869</v>
      </c>
      <c r="C189" s="3" t="str">
        <f t="shared" si="9"/>
        <v>=&gt;</v>
      </c>
      <c r="D189" s="1030" t="s">
        <v>1587</v>
      </c>
      <c r="E189" s="1027" t="s">
        <v>1585</v>
      </c>
      <c r="F189" s="1028" t="s">
        <v>869</v>
      </c>
      <c r="G189" s="3"/>
      <c r="H189" s="3"/>
      <c r="I189" s="3"/>
      <c r="J189" s="7"/>
      <c r="K189" s="649"/>
      <c r="L189" s="15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">
        <f t="shared" si="7"/>
        <v>190</v>
      </c>
      <c r="B190" s="1028" t="s">
        <v>869</v>
      </c>
      <c r="C190" s="3" t="str">
        <f t="shared" si="9"/>
        <v>=&gt;</v>
      </c>
      <c r="D190" s="542" t="s">
        <v>8</v>
      </c>
      <c r="E190" s="7"/>
      <c r="F190" s="649"/>
      <c r="G190" s="3"/>
      <c r="H190" s="3"/>
      <c r="I190" s="3"/>
      <c r="J190" s="7"/>
      <c r="K190" s="649"/>
      <c r="L190" s="15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">
        <f t="shared" si="7"/>
        <v>191</v>
      </c>
      <c r="B191" s="1030" t="s">
        <v>1587</v>
      </c>
      <c r="C191" s="3" t="str">
        <f t="shared" si="9"/>
        <v>=&gt;</v>
      </c>
      <c r="D191" s="649" t="s">
        <v>121</v>
      </c>
      <c r="E191" s="7"/>
      <c r="F191" s="649"/>
      <c r="G191" s="3"/>
      <c r="H191" s="3"/>
      <c r="I191" s="3"/>
      <c r="J191" s="7"/>
      <c r="K191" s="649"/>
      <c r="L191" s="15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">
        <f t="shared" si="7"/>
        <v>192</v>
      </c>
      <c r="B192" s="1030" t="s">
        <v>1587</v>
      </c>
      <c r="C192" s="3" t="str">
        <f t="shared" si="9"/>
        <v>=&gt;</v>
      </c>
      <c r="D192" s="1031" t="s">
        <v>1588</v>
      </c>
      <c r="E192" s="7"/>
      <c r="F192" s="649"/>
      <c r="G192" s="3"/>
      <c r="H192" s="3"/>
      <c r="I192" s="3"/>
      <c r="J192" s="7"/>
      <c r="K192" s="649"/>
      <c r="L192" s="15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">
        <f t="shared" si="7"/>
        <v>193</v>
      </c>
      <c r="B193" s="1031" t="s">
        <v>1588</v>
      </c>
      <c r="C193" s="3" t="str">
        <f t="shared" si="9"/>
        <v>=&gt;</v>
      </c>
      <c r="D193" s="649" t="s">
        <v>887</v>
      </c>
      <c r="E193" s="7"/>
      <c r="F193" s="649"/>
      <c r="G193" s="3"/>
      <c r="H193" s="3"/>
      <c r="I193" s="3"/>
      <c r="J193" s="7"/>
      <c r="K193" s="649"/>
      <c r="L193" s="15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">
        <f t="shared" si="7"/>
        <v>194</v>
      </c>
      <c r="B194" s="1031" t="s">
        <v>1588</v>
      </c>
      <c r="C194" s="3" t="str">
        <f t="shared" si="9"/>
        <v>=&gt;</v>
      </c>
      <c r="D194" s="649" t="s">
        <v>120</v>
      </c>
      <c r="E194" s="7"/>
      <c r="F194" s="649"/>
      <c r="G194" s="3"/>
      <c r="H194" s="3"/>
      <c r="I194" s="3"/>
      <c r="J194" s="7"/>
      <c r="K194" s="649"/>
      <c r="L194" s="15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">
        <f t="shared" si="7"/>
        <v>195</v>
      </c>
      <c r="B195" s="1032" t="s">
        <v>112</v>
      </c>
      <c r="C195" s="3" t="str">
        <f t="shared" si="9"/>
        <v>=&gt;</v>
      </c>
      <c r="D195" s="649" t="s">
        <v>166</v>
      </c>
      <c r="E195" s="7"/>
      <c r="F195" s="649"/>
      <c r="G195" s="3"/>
      <c r="H195" s="3"/>
      <c r="I195" s="3"/>
      <c r="J195" s="7"/>
      <c r="K195" s="649"/>
      <c r="L195" s="15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">
        <f t="shared" si="7"/>
        <v>196</v>
      </c>
      <c r="B196" s="1032" t="s">
        <v>112</v>
      </c>
      <c r="C196" s="3" t="str">
        <f t="shared" si="9"/>
        <v>=&gt;</v>
      </c>
      <c r="D196" s="1033" t="s">
        <v>167</v>
      </c>
      <c r="E196" s="7"/>
      <c r="F196" s="649"/>
      <c r="G196" s="3"/>
      <c r="H196" s="3"/>
      <c r="I196" s="3"/>
      <c r="J196" s="7"/>
      <c r="K196" s="649"/>
      <c r="L196" s="15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">
        <f t="shared" si="7"/>
        <v>197</v>
      </c>
      <c r="B197" s="1032" t="s">
        <v>112</v>
      </c>
      <c r="C197" s="3" t="str">
        <f t="shared" si="9"/>
        <v>=&gt;</v>
      </c>
      <c r="D197" s="1034" t="s">
        <v>165</v>
      </c>
      <c r="E197" s="7"/>
      <c r="F197" s="649"/>
      <c r="G197" s="3"/>
      <c r="H197" s="3"/>
      <c r="I197" s="3"/>
      <c r="J197" s="7"/>
      <c r="K197" s="649"/>
      <c r="L197" s="15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">
        <f t="shared" si="7"/>
        <v>198</v>
      </c>
      <c r="B198" s="1032" t="s">
        <v>112</v>
      </c>
      <c r="C198" s="3" t="str">
        <f t="shared" si="9"/>
        <v>=&gt;</v>
      </c>
      <c r="D198" s="649" t="s">
        <v>164</v>
      </c>
      <c r="E198" s="7"/>
      <c r="F198" s="649"/>
      <c r="G198" s="3"/>
      <c r="H198" s="3"/>
      <c r="I198" s="3"/>
      <c r="J198" s="7"/>
      <c r="K198" s="649"/>
      <c r="L198" s="1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">
        <f t="shared" si="7"/>
        <v>199</v>
      </c>
      <c r="B199" s="1032" t="s">
        <v>112</v>
      </c>
      <c r="C199" s="3" t="str">
        <f t="shared" si="9"/>
        <v>=&gt;</v>
      </c>
      <c r="D199" s="650" t="s">
        <v>934</v>
      </c>
      <c r="E199" s="7"/>
      <c r="F199" s="649"/>
      <c r="G199" s="3"/>
      <c r="H199" s="3"/>
      <c r="I199" s="3"/>
      <c r="J199" s="649"/>
      <c r="K199" s="7"/>
      <c r="L199" s="15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">
        <f t="shared" si="7"/>
        <v>200</v>
      </c>
      <c r="B200" s="1032" t="s">
        <v>112</v>
      </c>
      <c r="C200" s="3" t="str">
        <f t="shared" si="9"/>
        <v>=&gt;</v>
      </c>
      <c r="D200" s="649" t="s">
        <v>163</v>
      </c>
      <c r="E200" s="7"/>
      <c r="F200" s="649"/>
      <c r="G200" s="3"/>
      <c r="H200" s="3"/>
      <c r="I200" s="3"/>
      <c r="J200" s="649"/>
      <c r="K200" s="649"/>
      <c r="L200" s="15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">
        <f t="shared" si="7"/>
        <v>201</v>
      </c>
      <c r="B201" s="1013" t="s">
        <v>1578</v>
      </c>
      <c r="C201" s="3" t="str">
        <f t="shared" si="9"/>
        <v>=&gt;</v>
      </c>
      <c r="D201" s="1035" t="s">
        <v>947</v>
      </c>
      <c r="E201" s="1032" t="s">
        <v>112</v>
      </c>
      <c r="F201" s="1035" t="s">
        <v>947</v>
      </c>
      <c r="G201" s="3"/>
      <c r="H201" s="3"/>
      <c r="I201" s="3"/>
      <c r="J201" s="7"/>
      <c r="K201" s="649"/>
      <c r="L201" s="15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">
        <f t="shared" si="7"/>
        <v>202</v>
      </c>
      <c r="B202" s="1002" t="s">
        <v>947</v>
      </c>
      <c r="C202" s="3" t="str">
        <f t="shared" si="9"/>
        <v>=&gt;</v>
      </c>
      <c r="D202" s="1036" t="s">
        <v>1589</v>
      </c>
      <c r="E202" s="1037" t="s">
        <v>874</v>
      </c>
      <c r="F202" s="649"/>
      <c r="G202" s="3"/>
      <c r="H202" s="3"/>
      <c r="I202" s="3"/>
      <c r="J202" s="7"/>
      <c r="K202" s="649"/>
      <c r="L202" s="15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">
        <f t="shared" si="7"/>
        <v>203</v>
      </c>
      <c r="B203" s="1037" t="s">
        <v>874</v>
      </c>
      <c r="C203" s="3" t="str">
        <f t="shared" si="9"/>
        <v>=&gt;</v>
      </c>
      <c r="D203" s="1026" t="s">
        <v>1584</v>
      </c>
      <c r="E203" s="1036" t="s">
        <v>1589</v>
      </c>
      <c r="F203" s="1037" t="s">
        <v>874</v>
      </c>
      <c r="G203" s="3"/>
      <c r="H203" s="3"/>
      <c r="I203" s="3"/>
      <c r="J203" s="8"/>
      <c r="K203" s="649"/>
      <c r="L203" s="15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">
        <f t="shared" si="7"/>
        <v>204</v>
      </c>
      <c r="B204" s="1037" t="s">
        <v>874</v>
      </c>
      <c r="C204" s="3" t="str">
        <f t="shared" si="9"/>
        <v>=&gt;</v>
      </c>
      <c r="D204" s="542" t="s">
        <v>8</v>
      </c>
      <c r="E204" s="649"/>
      <c r="F204" s="649"/>
      <c r="G204" s="3"/>
      <c r="H204" s="3"/>
      <c r="I204" s="3"/>
      <c r="J204" s="7"/>
      <c r="K204" s="649"/>
      <c r="L204" s="15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">
        <f t="shared" si="7"/>
        <v>205</v>
      </c>
      <c r="B205" s="1036" t="s">
        <v>1589</v>
      </c>
      <c r="C205" s="3" t="str">
        <f t="shared" si="9"/>
        <v>=&gt;</v>
      </c>
      <c r="D205" s="1038" t="s">
        <v>1590</v>
      </c>
      <c r="E205" s="1039" t="s">
        <v>873</v>
      </c>
      <c r="F205" s="649"/>
      <c r="G205" s="3"/>
      <c r="H205" s="3"/>
      <c r="I205" s="3"/>
      <c r="J205" s="7"/>
      <c r="K205" s="649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">
        <f t="shared" si="7"/>
        <v>206</v>
      </c>
      <c r="B206" s="1038" t="s">
        <v>1590</v>
      </c>
      <c r="C206" s="3" t="str">
        <f t="shared" si="9"/>
        <v>=&gt;</v>
      </c>
      <c r="D206" s="7" t="s">
        <v>1591</v>
      </c>
      <c r="E206" s="7"/>
      <c r="F206" s="649"/>
      <c r="G206" s="3"/>
      <c r="H206" s="3"/>
      <c r="I206" s="3"/>
      <c r="J206" s="7"/>
      <c r="K206" s="649"/>
      <c r="L206" s="1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">
        <f t="shared" si="7"/>
        <v>207</v>
      </c>
      <c r="B207" s="1038" t="s">
        <v>1590</v>
      </c>
      <c r="C207" s="3" t="str">
        <f t="shared" si="9"/>
        <v>=&gt;</v>
      </c>
      <c r="D207" s="649" t="s">
        <v>14</v>
      </c>
      <c r="E207" s="388" t="s">
        <v>890</v>
      </c>
      <c r="F207" s="649"/>
      <c r="G207" s="3"/>
      <c r="H207" s="3"/>
      <c r="I207" s="3"/>
      <c r="J207" s="7"/>
      <c r="K207" s="649"/>
      <c r="L207" s="15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">
        <f t="shared" si="7"/>
        <v>208</v>
      </c>
      <c r="B208" s="1038" t="s">
        <v>1590</v>
      </c>
      <c r="C208" s="3" t="str">
        <f t="shared" si="9"/>
        <v>=&gt;</v>
      </c>
      <c r="D208" s="649" t="s">
        <v>134</v>
      </c>
      <c r="E208" s="7" t="s">
        <v>62</v>
      </c>
      <c r="F208" s="649" t="s">
        <v>64</v>
      </c>
      <c r="G208" s="3"/>
      <c r="H208" s="3"/>
      <c r="I208" s="3"/>
      <c r="J208" s="7"/>
      <c r="K208" s="3"/>
      <c r="L208" s="15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">
        <f t="shared" si="7"/>
        <v>209</v>
      </c>
      <c r="B209" s="1038" t="s">
        <v>1590</v>
      </c>
      <c r="C209" s="3" t="str">
        <f t="shared" si="9"/>
        <v>=&gt;</v>
      </c>
      <c r="D209" s="649" t="s">
        <v>133</v>
      </c>
      <c r="E209" s="7" t="s">
        <v>62</v>
      </c>
      <c r="F209" s="649" t="s">
        <v>64</v>
      </c>
      <c r="G209" s="3"/>
      <c r="H209" s="3"/>
      <c r="I209" s="3"/>
      <c r="J209" s="649"/>
      <c r="K209" s="7"/>
      <c r="L209" s="15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">
        <f t="shared" si="7"/>
        <v>210</v>
      </c>
      <c r="B210" s="1038" t="s">
        <v>1590</v>
      </c>
      <c r="C210" s="3" t="str">
        <f t="shared" si="9"/>
        <v>=&gt;</v>
      </c>
      <c r="D210" s="649" t="s">
        <v>906</v>
      </c>
      <c r="E210" s="7" t="s">
        <v>62</v>
      </c>
      <c r="F210" s="649" t="s">
        <v>64</v>
      </c>
      <c r="G210" s="3"/>
      <c r="H210" s="3"/>
      <c r="I210" s="3"/>
      <c r="J210" s="3"/>
      <c r="K210" s="3"/>
      <c r="L210" s="15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">
        <f t="shared" si="7"/>
        <v>211</v>
      </c>
      <c r="B211" s="1038" t="s">
        <v>1590</v>
      </c>
      <c r="C211" s="3" t="str">
        <f t="shared" si="9"/>
        <v>=&gt;</v>
      </c>
      <c r="D211" s="649" t="s">
        <v>907</v>
      </c>
      <c r="E211" s="7" t="s">
        <v>62</v>
      </c>
      <c r="F211" s="649" t="s">
        <v>64</v>
      </c>
      <c r="G211" s="3"/>
      <c r="H211" s="3"/>
      <c r="I211" s="3"/>
      <c r="J211" s="3"/>
      <c r="K211" s="3"/>
      <c r="L211" s="15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">
        <f t="shared" si="7"/>
        <v>212</v>
      </c>
      <c r="B212" s="1038" t="s">
        <v>1590</v>
      </c>
      <c r="C212" s="3" t="str">
        <f t="shared" si="9"/>
        <v>=&gt;</v>
      </c>
      <c r="D212" s="649" t="s">
        <v>1572</v>
      </c>
      <c r="E212" s="1002" t="s">
        <v>947</v>
      </c>
      <c r="F212" s="649" t="s">
        <v>1573</v>
      </c>
      <c r="G212" s="3"/>
      <c r="H212" s="3"/>
      <c r="I212" s="3"/>
      <c r="J212" s="8"/>
      <c r="K212" s="3"/>
      <c r="L212" s="15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">
        <f t="shared" si="7"/>
        <v>213</v>
      </c>
      <c r="B213" s="1039" t="s">
        <v>873</v>
      </c>
      <c r="C213" s="3" t="str">
        <f t="shared" si="9"/>
        <v>=&gt;</v>
      </c>
      <c r="D213" s="1031" t="s">
        <v>1588</v>
      </c>
      <c r="E213" s="1038" t="s">
        <v>1590</v>
      </c>
      <c r="F213" s="1039" t="s">
        <v>873</v>
      </c>
      <c r="G213" s="3"/>
      <c r="H213" s="3"/>
      <c r="I213" s="3"/>
      <c r="J213" s="3"/>
      <c r="K213" s="3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">
        <f t="shared" si="7"/>
        <v>214</v>
      </c>
      <c r="B214" s="1014" t="s">
        <v>1579</v>
      </c>
      <c r="C214" s="3" t="str">
        <f t="shared" si="9"/>
        <v>=&gt;</v>
      </c>
      <c r="D214" s="1040" t="s">
        <v>952</v>
      </c>
      <c r="E214" s="1032" t="s">
        <v>112</v>
      </c>
      <c r="F214" s="1040" t="s">
        <v>952</v>
      </c>
      <c r="G214" s="3"/>
      <c r="H214" s="3"/>
      <c r="I214" s="3"/>
      <c r="J214" s="3"/>
      <c r="K214" s="3"/>
      <c r="L214" s="15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">
        <f t="shared" si="7"/>
        <v>215</v>
      </c>
      <c r="B215" s="1040" t="s">
        <v>952</v>
      </c>
      <c r="C215" s="3" t="str">
        <f t="shared" si="9"/>
        <v>=&gt;</v>
      </c>
      <c r="D215" s="1041" t="s">
        <v>1592</v>
      </c>
      <c r="E215" s="1042" t="s">
        <v>877</v>
      </c>
      <c r="F215" s="3"/>
      <c r="G215" s="3"/>
      <c r="H215" s="3"/>
      <c r="I215" s="3"/>
      <c r="J215" s="3"/>
      <c r="K215" s="3"/>
      <c r="L215" s="15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3">
        <f t="shared" si="7"/>
        <v>216</v>
      </c>
      <c r="B216" s="1042" t="s">
        <v>877</v>
      </c>
      <c r="C216" s="3" t="str">
        <f t="shared" si="9"/>
        <v>=&gt;</v>
      </c>
      <c r="D216" s="650" t="s">
        <v>924</v>
      </c>
      <c r="E216" s="1041" t="s">
        <v>1592</v>
      </c>
      <c r="F216" s="1042" t="s">
        <v>877</v>
      </c>
      <c r="G216" s="3"/>
      <c r="H216" s="3"/>
      <c r="I216" s="3"/>
      <c r="J216" s="3"/>
      <c r="K216" s="3"/>
      <c r="L216" s="15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3">
        <f t="shared" si="7"/>
        <v>217</v>
      </c>
      <c r="B217" s="1042" t="s">
        <v>877</v>
      </c>
      <c r="C217" s="3" t="str">
        <f t="shared" si="9"/>
        <v>=&gt;</v>
      </c>
      <c r="D217" s="542" t="s">
        <v>8</v>
      </c>
      <c r="E217" s="3"/>
      <c r="F217" s="3"/>
      <c r="G217" s="3"/>
      <c r="H217" s="3"/>
      <c r="I217" s="3"/>
      <c r="J217" s="3"/>
      <c r="K217" s="3"/>
      <c r="L217" s="15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">
        <f t="shared" si="7"/>
        <v>218</v>
      </c>
      <c r="B218" s="1041" t="s">
        <v>1592</v>
      </c>
      <c r="C218" s="3" t="str">
        <f t="shared" si="9"/>
        <v>=&gt;</v>
      </c>
      <c r="D218" s="649" t="s">
        <v>904</v>
      </c>
      <c r="E218" s="3"/>
      <c r="F218" s="3"/>
      <c r="G218" s="3"/>
      <c r="H218" s="3"/>
      <c r="I218" s="3"/>
      <c r="J218" s="3"/>
      <c r="K218" s="3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3">
        <f t="shared" si="7"/>
        <v>219</v>
      </c>
      <c r="B219" s="1041" t="s">
        <v>1592</v>
      </c>
      <c r="C219" s="3" t="str">
        <f t="shared" si="9"/>
        <v>=&gt;</v>
      </c>
      <c r="D219" s="649" t="s">
        <v>14</v>
      </c>
      <c r="E219" s="388" t="s">
        <v>890</v>
      </c>
      <c r="F219" s="3"/>
      <c r="G219" s="3"/>
      <c r="H219" s="3"/>
      <c r="I219" s="3"/>
      <c r="J219" s="3"/>
      <c r="K219" s="3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3">
        <f t="shared" si="7"/>
        <v>220</v>
      </c>
      <c r="B220" s="1041" t="s">
        <v>1592</v>
      </c>
      <c r="C220" s="3" t="str">
        <f t="shared" si="9"/>
        <v>=&gt;</v>
      </c>
      <c r="D220" s="7" t="s">
        <v>915</v>
      </c>
      <c r="E220" s="7" t="s">
        <v>62</v>
      </c>
      <c r="F220" s="7" t="s">
        <v>64</v>
      </c>
      <c r="G220" s="3"/>
      <c r="H220" s="3"/>
      <c r="I220" s="3"/>
      <c r="J220" s="3"/>
      <c r="K220" s="3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">
        <f t="shared" si="7"/>
        <v>221</v>
      </c>
      <c r="B221" s="1041" t="s">
        <v>1592</v>
      </c>
      <c r="C221" s="3" t="str">
        <f t="shared" si="9"/>
        <v>=&gt;</v>
      </c>
      <c r="D221" s="7" t="s">
        <v>917</v>
      </c>
      <c r="E221" s="7" t="s">
        <v>62</v>
      </c>
      <c r="F221" s="7" t="s">
        <v>64</v>
      </c>
      <c r="G221" s="3"/>
      <c r="H221" s="3"/>
      <c r="I221" s="3"/>
      <c r="J221" s="3"/>
      <c r="K221" s="3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3">
        <f t="shared" si="7"/>
        <v>222</v>
      </c>
      <c r="B222" s="1041" t="s">
        <v>1592</v>
      </c>
      <c r="C222" s="3" t="str">
        <f t="shared" si="9"/>
        <v>=&gt;</v>
      </c>
      <c r="D222" s="7" t="s">
        <v>918</v>
      </c>
      <c r="E222" s="7" t="s">
        <v>62</v>
      </c>
      <c r="F222" s="7" t="s">
        <v>64</v>
      </c>
      <c r="G222" s="3"/>
      <c r="H222" s="3"/>
      <c r="I222" s="3"/>
      <c r="J222" s="3"/>
      <c r="K222" s="3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3">
        <f t="shared" si="7"/>
        <v>223</v>
      </c>
      <c r="B223" s="1041" t="s">
        <v>1592</v>
      </c>
      <c r="C223" s="3" t="str">
        <f t="shared" si="9"/>
        <v>=&gt;</v>
      </c>
      <c r="D223" s="7" t="s">
        <v>919</v>
      </c>
      <c r="E223" s="7" t="s">
        <v>62</v>
      </c>
      <c r="F223" s="7" t="s">
        <v>64</v>
      </c>
      <c r="G223" s="3"/>
      <c r="H223" s="3"/>
      <c r="I223" s="3"/>
      <c r="J223" s="3"/>
      <c r="K223" s="3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3">
        <f t="shared" si="7"/>
        <v>224</v>
      </c>
      <c r="B224" s="1041" t="s">
        <v>1592</v>
      </c>
      <c r="C224" s="3" t="str">
        <f t="shared" si="9"/>
        <v>=&gt;</v>
      </c>
      <c r="D224" s="7" t="s">
        <v>921</v>
      </c>
      <c r="E224" s="7" t="s">
        <v>62</v>
      </c>
      <c r="F224" s="7" t="s">
        <v>64</v>
      </c>
      <c r="G224" s="3"/>
      <c r="H224" s="3"/>
      <c r="I224" s="3"/>
      <c r="J224" s="3"/>
      <c r="K224" s="3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3">
        <f t="shared" si="7"/>
        <v>225</v>
      </c>
      <c r="B225" s="553" t="s">
        <v>1030</v>
      </c>
      <c r="C225" s="3" t="str">
        <f t="shared" si="9"/>
        <v>=&gt;</v>
      </c>
      <c r="D225" s="542" t="s">
        <v>1032</v>
      </c>
      <c r="E225" s="3" t="s">
        <v>62</v>
      </c>
      <c r="F225" s="603" t="s">
        <v>1085</v>
      </c>
      <c r="G225" s="3" t="s">
        <v>64</v>
      </c>
      <c r="H225" s="651" t="s">
        <v>839</v>
      </c>
      <c r="I225" s="553" t="s">
        <v>1030</v>
      </c>
      <c r="J225" s="3"/>
      <c r="K225" s="3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3">
        <f t="shared" si="7"/>
        <v>226</v>
      </c>
      <c r="B226" s="553" t="s">
        <v>1030</v>
      </c>
      <c r="C226" s="3" t="str">
        <f t="shared" si="9"/>
        <v>=&gt;</v>
      </c>
      <c r="D226" s="542" t="s">
        <v>8</v>
      </c>
      <c r="E226" s="3"/>
      <c r="F226" s="3"/>
      <c r="G226" s="3"/>
      <c r="H226" s="3"/>
      <c r="I226" s="3"/>
      <c r="J226" s="3"/>
      <c r="K226" s="3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3">
        <f t="shared" si="7"/>
        <v>227</v>
      </c>
      <c r="B227" s="554" t="s">
        <v>1031</v>
      </c>
      <c r="C227" s="3" t="str">
        <f t="shared" si="9"/>
        <v>=&gt;</v>
      </c>
      <c r="D227" s="542" t="s">
        <v>1033</v>
      </c>
      <c r="E227" s="651" t="s">
        <v>839</v>
      </c>
      <c r="F227" s="3"/>
      <c r="G227" s="3"/>
      <c r="H227" s="3"/>
      <c r="I227" s="3"/>
      <c r="J227" s="3"/>
      <c r="K227" s="3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3">
        <f t="shared" si="7"/>
        <v>228</v>
      </c>
      <c r="B228" s="554" t="s">
        <v>1031</v>
      </c>
      <c r="C228" s="3" t="str">
        <f t="shared" si="9"/>
        <v>=&gt;</v>
      </c>
      <c r="D228" s="542" t="s">
        <v>8</v>
      </c>
      <c r="E228" s="3"/>
      <c r="F228" s="3"/>
      <c r="G228" s="3"/>
      <c r="H228" s="3"/>
      <c r="I228" s="3"/>
      <c r="J228" s="3"/>
      <c r="K228" s="3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3">
        <f t="shared" si="7"/>
        <v>229</v>
      </c>
      <c r="B229" s="551" t="s">
        <v>1028</v>
      </c>
      <c r="C229" s="3" t="str">
        <f t="shared" si="9"/>
        <v>=&gt;</v>
      </c>
      <c r="D229" s="542" t="s">
        <v>1034</v>
      </c>
      <c r="E229" s="3" t="s">
        <v>62</v>
      </c>
      <c r="F229" s="603" t="s">
        <v>1085</v>
      </c>
      <c r="G229" s="3" t="s">
        <v>64</v>
      </c>
      <c r="H229" s="555" t="s">
        <v>1035</v>
      </c>
      <c r="I229" s="3"/>
      <c r="J229" s="3"/>
      <c r="K229" s="3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3">
        <f t="shared" si="7"/>
        <v>230</v>
      </c>
      <c r="B230" s="555" t="s">
        <v>1035</v>
      </c>
      <c r="C230" s="3" t="str">
        <f t="shared" si="9"/>
        <v>=&gt;</v>
      </c>
      <c r="D230" s="542" t="s">
        <v>17</v>
      </c>
      <c r="E230" s="556" t="s">
        <v>1036</v>
      </c>
      <c r="F230" s="557" t="s">
        <v>1037</v>
      </c>
      <c r="G230" s="3" t="s">
        <v>19</v>
      </c>
      <c r="H230" s="3"/>
      <c r="I230" s="3"/>
      <c r="J230" s="3"/>
      <c r="K230" s="3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3">
        <f t="shared" si="7"/>
        <v>231</v>
      </c>
      <c r="B231" s="556" t="s">
        <v>1036</v>
      </c>
      <c r="C231" s="3" t="str">
        <f t="shared" si="9"/>
        <v>=&gt;</v>
      </c>
      <c r="D231" s="542" t="s">
        <v>1038</v>
      </c>
      <c r="E231" s="558" t="s">
        <v>1039</v>
      </c>
      <c r="F231" s="3" t="s">
        <v>180</v>
      </c>
      <c r="G231" s="524" t="s">
        <v>1013</v>
      </c>
      <c r="H231" s="556" t="s">
        <v>1036</v>
      </c>
      <c r="I231" s="8"/>
      <c r="J231" s="3"/>
      <c r="K231" s="3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">
        <f t="shared" si="7"/>
        <v>232</v>
      </c>
      <c r="B232" s="556" t="s">
        <v>1036</v>
      </c>
      <c r="C232" s="3" t="str">
        <f t="shared" si="9"/>
        <v>=&gt;</v>
      </c>
      <c r="D232" s="542" t="s">
        <v>8</v>
      </c>
      <c r="E232" s="3"/>
      <c r="F232" s="3"/>
      <c r="G232" s="3"/>
      <c r="H232" s="3"/>
      <c r="I232" s="3"/>
      <c r="J232" s="3"/>
      <c r="K232" s="3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3">
        <f t="shared" si="7"/>
        <v>233</v>
      </c>
      <c r="B233" s="558" t="s">
        <v>1039</v>
      </c>
      <c r="C233" s="3" t="str">
        <f t="shared" si="9"/>
        <v>=&gt;</v>
      </c>
      <c r="D233" s="3" t="s">
        <v>868</v>
      </c>
      <c r="E233" s="3"/>
      <c r="F233" s="3"/>
      <c r="G233" s="3"/>
      <c r="H233" s="3"/>
      <c r="I233" s="3"/>
      <c r="J233" s="3"/>
      <c r="K233" s="3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3">
        <f t="shared" si="7"/>
        <v>234</v>
      </c>
      <c r="B234" s="558" t="s">
        <v>1039</v>
      </c>
      <c r="C234" s="3" t="str">
        <f t="shared" si="9"/>
        <v>=&gt;</v>
      </c>
      <c r="D234" s="542" t="s">
        <v>904</v>
      </c>
      <c r="E234" s="3"/>
      <c r="F234" s="3"/>
      <c r="G234" s="3"/>
      <c r="H234" s="3"/>
      <c r="I234" s="3"/>
      <c r="J234" s="3"/>
      <c r="K234" s="3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3">
        <f t="shared" si="7"/>
        <v>235</v>
      </c>
      <c r="B235" s="557" t="s">
        <v>1037</v>
      </c>
      <c r="C235" s="3" t="str">
        <f t="shared" si="9"/>
        <v>=&gt;</v>
      </c>
      <c r="D235" s="542" t="s">
        <v>1070</v>
      </c>
      <c r="E235" s="3" t="s">
        <v>180</v>
      </c>
      <c r="F235" s="524" t="s">
        <v>1013</v>
      </c>
      <c r="G235" s="3"/>
      <c r="H235" s="3"/>
      <c r="I235" s="3"/>
      <c r="J235" s="3"/>
      <c r="K235" s="3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3">
        <f t="shared" si="7"/>
        <v>236</v>
      </c>
      <c r="B236" s="557" t="s">
        <v>1037</v>
      </c>
      <c r="C236" s="3" t="str">
        <f t="shared" si="9"/>
        <v>=&gt;</v>
      </c>
      <c r="D236" s="542" t="s">
        <v>8</v>
      </c>
      <c r="E236" s="3"/>
      <c r="F236" s="3"/>
      <c r="G236" s="3"/>
      <c r="H236" s="3"/>
      <c r="I236" s="3"/>
      <c r="J236" s="3"/>
      <c r="K236" s="3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3">
        <f t="shared" si="7"/>
        <v>237</v>
      </c>
      <c r="B237" s="569" t="s">
        <v>1021</v>
      </c>
      <c r="C237" s="3" t="str">
        <f t="shared" si="9"/>
        <v>=&gt;</v>
      </c>
      <c r="D237" s="570" t="s">
        <v>1049</v>
      </c>
      <c r="E237" s="3"/>
      <c r="F237" s="3"/>
      <c r="G237" s="3"/>
      <c r="H237" s="3"/>
      <c r="I237" s="3"/>
      <c r="J237" s="3"/>
      <c r="K237" s="8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3">
        <f t="shared" si="7"/>
        <v>238</v>
      </c>
      <c r="B238" s="569" t="s">
        <v>1021</v>
      </c>
      <c r="C238" s="3" t="str">
        <f t="shared" si="9"/>
        <v>=&gt;</v>
      </c>
      <c r="D238" s="571" t="s">
        <v>1050</v>
      </c>
      <c r="E238" s="3"/>
      <c r="F238" s="3"/>
      <c r="G238" s="3"/>
      <c r="H238" s="3"/>
      <c r="I238" s="3"/>
      <c r="J238" s="3"/>
      <c r="K238" s="8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3">
        <f t="shared" si="7"/>
        <v>239</v>
      </c>
      <c r="B239" s="569" t="s">
        <v>1021</v>
      </c>
      <c r="C239" s="3" t="str">
        <f t="shared" si="9"/>
        <v>=&gt;</v>
      </c>
      <c r="D239" s="572" t="s">
        <v>1051</v>
      </c>
      <c r="E239" s="3"/>
      <c r="F239" s="3"/>
      <c r="G239" s="3"/>
      <c r="H239" s="3"/>
      <c r="I239" s="3"/>
      <c r="J239" s="3"/>
      <c r="K239" s="8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3">
        <f t="shared" si="7"/>
        <v>240</v>
      </c>
      <c r="B240" s="570" t="s">
        <v>1049</v>
      </c>
      <c r="C240" s="3" t="str">
        <f t="shared" si="9"/>
        <v>=&gt;</v>
      </c>
      <c r="D240" s="542" t="s">
        <v>1052</v>
      </c>
      <c r="E240" s="3" t="s">
        <v>62</v>
      </c>
      <c r="F240" s="573" t="s">
        <v>1053</v>
      </c>
      <c r="G240" s="574" t="s">
        <v>189</v>
      </c>
      <c r="H240" s="603" t="s">
        <v>1085</v>
      </c>
      <c r="I240" s="3" t="s">
        <v>64</v>
      </c>
      <c r="J240" s="651" t="s">
        <v>839</v>
      </c>
      <c r="K240" s="8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3">
        <f t="shared" si="7"/>
        <v>241</v>
      </c>
      <c r="B241" s="573" t="s">
        <v>1053</v>
      </c>
      <c r="C241" s="3" t="str">
        <f t="shared" si="9"/>
        <v>=&gt;</v>
      </c>
      <c r="D241" s="3" t="s">
        <v>14</v>
      </c>
      <c r="E241" s="601" t="s">
        <v>1083</v>
      </c>
      <c r="F241" s="3" t="s">
        <v>6</v>
      </c>
      <c r="G241" s="3"/>
      <c r="H241" s="3"/>
      <c r="I241" s="3"/>
      <c r="J241" s="3"/>
      <c r="K241" s="3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3">
        <f t="shared" si="7"/>
        <v>242</v>
      </c>
      <c r="B242" s="574" t="s">
        <v>189</v>
      </c>
      <c r="C242" s="3" t="str">
        <f t="shared" si="9"/>
        <v>=&gt;</v>
      </c>
      <c r="D242" s="3" t="s">
        <v>14</v>
      </c>
      <c r="E242" s="545" t="s">
        <v>1024</v>
      </c>
      <c r="F242" s="3"/>
      <c r="G242" s="3"/>
      <c r="H242" s="3"/>
      <c r="I242" s="3"/>
      <c r="J242" s="3"/>
      <c r="K242" s="3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3">
        <f t="shared" si="7"/>
        <v>243</v>
      </c>
      <c r="B243" s="571" t="s">
        <v>1050</v>
      </c>
      <c r="C243" s="3" t="str">
        <f t="shared" si="9"/>
        <v>=&gt;</v>
      </c>
      <c r="D243" s="542" t="s">
        <v>1075</v>
      </c>
      <c r="E243" s="3" t="s">
        <v>62</v>
      </c>
      <c r="F243" s="603" t="s">
        <v>1085</v>
      </c>
      <c r="G243" s="3" t="s">
        <v>64</v>
      </c>
      <c r="H243" s="651" t="s">
        <v>839</v>
      </c>
      <c r="I243" s="3"/>
      <c r="J243" s="3"/>
      <c r="K243" s="3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3">
        <f t="shared" si="7"/>
        <v>244</v>
      </c>
      <c r="B244" s="572" t="s">
        <v>1051</v>
      </c>
      <c r="C244" s="3" t="str">
        <f t="shared" si="9"/>
        <v>=&gt;</v>
      </c>
      <c r="D244" s="542" t="s">
        <v>1076</v>
      </c>
      <c r="E244" s="651" t="s">
        <v>839</v>
      </c>
      <c r="F244" s="3" t="s">
        <v>1075</v>
      </c>
      <c r="G244" s="3" t="s">
        <v>62</v>
      </c>
      <c r="H244" s="603" t="s">
        <v>1085</v>
      </c>
      <c r="I244" s="3" t="s">
        <v>64</v>
      </c>
      <c r="J244" s="3" t="s">
        <v>6</v>
      </c>
      <c r="K244" s="3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3">
        <f t="shared" si="7"/>
        <v>245</v>
      </c>
      <c r="B245" s="591" t="s">
        <v>1062</v>
      </c>
      <c r="C245" s="3" t="str">
        <f t="shared" si="9"/>
        <v>=&gt;</v>
      </c>
      <c r="D245" s="592" t="s">
        <v>1071</v>
      </c>
      <c r="E245" s="3"/>
      <c r="F245" s="3"/>
      <c r="G245" s="3"/>
      <c r="H245" s="3"/>
      <c r="I245" s="3"/>
      <c r="J245" s="3"/>
      <c r="K245" s="8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3">
        <f t="shared" si="7"/>
        <v>246</v>
      </c>
      <c r="B246" s="591" t="s">
        <v>1062</v>
      </c>
      <c r="C246" s="3" t="str">
        <f t="shared" si="9"/>
        <v>=&gt;</v>
      </c>
      <c r="D246" s="593" t="s">
        <v>1043</v>
      </c>
      <c r="E246" s="3"/>
      <c r="F246" s="3"/>
      <c r="G246" s="3"/>
      <c r="H246" s="3"/>
      <c r="I246" s="3"/>
      <c r="J246" s="3"/>
      <c r="K246" s="8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">
        <f t="shared" si="7"/>
        <v>247</v>
      </c>
      <c r="B247" s="591" t="s">
        <v>1062</v>
      </c>
      <c r="C247" s="3" t="str">
        <f t="shared" si="9"/>
        <v>=&gt;</v>
      </c>
      <c r="D247" s="594" t="s">
        <v>1022</v>
      </c>
      <c r="E247" s="3"/>
      <c r="F247" s="3"/>
      <c r="G247" s="3"/>
      <c r="H247" s="3"/>
      <c r="I247" s="3"/>
      <c r="J247" s="3"/>
      <c r="K247" s="8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3">
        <f t="shared" si="7"/>
        <v>248</v>
      </c>
      <c r="B248" s="592" t="s">
        <v>1071</v>
      </c>
      <c r="C248" s="3" t="str">
        <f t="shared" si="9"/>
        <v>=&gt;</v>
      </c>
      <c r="D248" s="3" t="s">
        <v>1072</v>
      </c>
      <c r="E248" s="3" t="s">
        <v>6</v>
      </c>
      <c r="F248" s="3"/>
      <c r="G248" s="3"/>
      <c r="H248" s="3"/>
      <c r="I248" s="3"/>
      <c r="J248" s="3"/>
      <c r="K248" s="8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3">
        <f t="shared" si="7"/>
        <v>249</v>
      </c>
      <c r="B249" s="593" t="s">
        <v>1043</v>
      </c>
      <c r="C249" s="3" t="str">
        <f t="shared" si="9"/>
        <v>=&gt;</v>
      </c>
      <c r="D249" s="542" t="s">
        <v>1073</v>
      </c>
      <c r="E249" s="3" t="s">
        <v>6</v>
      </c>
      <c r="F249" s="3"/>
      <c r="G249" s="3"/>
      <c r="H249" s="3"/>
      <c r="I249" s="3"/>
      <c r="J249" s="3"/>
      <c r="K249" s="3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3">
        <f t="shared" si="7"/>
        <v>250</v>
      </c>
      <c r="B250" s="594" t="s">
        <v>1022</v>
      </c>
      <c r="C250" s="3" t="str">
        <f t="shared" si="9"/>
        <v>=&gt;</v>
      </c>
      <c r="D250" s="542" t="s">
        <v>1074</v>
      </c>
      <c r="E250" s="395" t="s">
        <v>28</v>
      </c>
      <c r="F250" s="3" t="s">
        <v>6</v>
      </c>
      <c r="G250" s="3"/>
      <c r="H250" s="3"/>
      <c r="I250" s="3"/>
      <c r="J250" s="3"/>
      <c r="K250" s="3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3">
        <f t="shared" si="7"/>
        <v>251</v>
      </c>
      <c r="B251" s="1043" t="s">
        <v>863</v>
      </c>
      <c r="C251" s="3" t="str">
        <f t="shared" si="9"/>
        <v>=&gt;</v>
      </c>
      <c r="D251" s="1044" t="s">
        <v>1565</v>
      </c>
      <c r="E251" s="15"/>
      <c r="F251" s="15"/>
      <c r="G251" s="15"/>
      <c r="H251" s="15"/>
      <c r="I251" s="15"/>
      <c r="J251" s="15"/>
      <c r="K251" s="15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3">
        <f t="shared" si="7"/>
        <v>252</v>
      </c>
      <c r="B252" s="1043" t="s">
        <v>863</v>
      </c>
      <c r="C252" s="3" t="str">
        <f t="shared" si="9"/>
        <v>=&gt;</v>
      </c>
      <c r="D252" s="1045" t="s">
        <v>952</v>
      </c>
      <c r="E252" s="15"/>
      <c r="F252" s="15"/>
      <c r="G252" s="15"/>
      <c r="H252" s="15"/>
      <c r="I252" s="15"/>
      <c r="J252" s="15"/>
      <c r="K252" s="15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3">
        <f t="shared" si="7"/>
        <v>253</v>
      </c>
      <c r="B253" s="1043" t="s">
        <v>863</v>
      </c>
      <c r="C253" s="3" t="str">
        <f t="shared" si="9"/>
        <v>=&gt;</v>
      </c>
      <c r="D253" s="1046" t="s">
        <v>935</v>
      </c>
      <c r="E253" s="15"/>
      <c r="F253" s="15"/>
      <c r="G253" s="15"/>
      <c r="H253" s="15"/>
      <c r="I253" s="15"/>
      <c r="J253" s="15"/>
      <c r="K253" s="15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3">
        <f t="shared" si="7"/>
        <v>254</v>
      </c>
      <c r="B254" s="1043" t="s">
        <v>863</v>
      </c>
      <c r="C254" s="3" t="str">
        <f t="shared" si="9"/>
        <v>=&gt;</v>
      </c>
      <c r="D254" s="1047" t="s">
        <v>947</v>
      </c>
      <c r="E254" s="15"/>
      <c r="F254" s="15"/>
      <c r="G254" s="15"/>
      <c r="H254" s="15"/>
      <c r="I254" s="15"/>
      <c r="J254" s="15"/>
      <c r="K254" s="15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3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3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679"/>
      <c r="C257" s="3"/>
      <c r="D257" s="679"/>
      <c r="E257" s="679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679"/>
      <c r="C258" s="3"/>
      <c r="D258" s="67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679"/>
      <c r="C259" s="3"/>
      <c r="D259" s="679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679"/>
      <c r="C260" s="3"/>
      <c r="D260" s="679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679"/>
      <c r="C261" s="3"/>
      <c r="D261" s="679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679"/>
      <c r="C262" s="3"/>
      <c r="D262" s="679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3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3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3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3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3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r="103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r="1034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r="103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r="1036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r="1037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r="10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r="1039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r="1040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r="104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r="1042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r="104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r="1044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r="104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r="1046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r="1047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r="104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r="1049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r="1050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r="105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r="1052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r="1053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r="1054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r="1055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r="1056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r="1057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r="105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r="1059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r="1060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r="106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r="1062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0.5"/>
    <col customWidth="1" min="3" max="3" width="3.0"/>
    <col customWidth="1" min="4" max="4" width="20.5"/>
    <col customWidth="1" min="5" max="5" width="18.63"/>
    <col customWidth="1" min="6" max="6" width="17.75"/>
    <col customWidth="1" min="7" max="7" width="18.63"/>
    <col customWidth="1" min="8" max="8" width="17.63"/>
    <col customWidth="1" min="9" max="9" width="14.25"/>
    <col customWidth="1" min="10" max="10" width="15.0"/>
    <col customWidth="1" min="11" max="11" width="1.5"/>
  </cols>
  <sheetData>
    <row r="1">
      <c r="A1" s="3">
        <f t="shared" ref="A1:A215" si="1">ROW()</f>
        <v>1</v>
      </c>
      <c r="B1" s="340" t="s">
        <v>0</v>
      </c>
      <c r="C1" s="3" t="str">
        <f t="shared" ref="C1:C12" si="2">"=&gt;"</f>
        <v>=&gt;</v>
      </c>
      <c r="D1" s="341" t="s">
        <v>836</v>
      </c>
      <c r="E1" s="342" t="s">
        <v>837</v>
      </c>
      <c r="F1" s="3" t="s">
        <v>838</v>
      </c>
      <c r="G1" s="3" t="s">
        <v>62</v>
      </c>
      <c r="H1" s="3" t="s">
        <v>64</v>
      </c>
      <c r="I1" s="651" t="s">
        <v>839</v>
      </c>
      <c r="J1" s="3"/>
      <c r="K1" s="8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>
        <f t="shared" si="1"/>
        <v>2</v>
      </c>
      <c r="B2" s="341" t="s">
        <v>836</v>
      </c>
      <c r="C2" s="3" t="str">
        <f t="shared" si="2"/>
        <v>=&gt;</v>
      </c>
      <c r="D2" s="7" t="s">
        <v>840</v>
      </c>
      <c r="E2" s="344" t="s">
        <v>841</v>
      </c>
      <c r="F2" s="341" t="s">
        <v>836</v>
      </c>
      <c r="G2" s="3"/>
      <c r="H2" s="3"/>
      <c r="I2" s="3"/>
      <c r="J2" s="3"/>
      <c r="K2" s="3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">
        <f t="shared" si="1"/>
        <v>3</v>
      </c>
      <c r="B3" s="341" t="s">
        <v>836</v>
      </c>
      <c r="C3" s="3" t="str">
        <f t="shared" si="2"/>
        <v>=&gt;</v>
      </c>
      <c r="D3" s="7" t="s">
        <v>842</v>
      </c>
      <c r="E3" s="345" t="s">
        <v>843</v>
      </c>
      <c r="F3" s="341" t="s">
        <v>836</v>
      </c>
      <c r="G3" s="3"/>
      <c r="H3" s="3"/>
      <c r="I3" s="3"/>
      <c r="J3" s="3"/>
      <c r="K3" s="3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">
        <f t="shared" si="1"/>
        <v>4</v>
      </c>
      <c r="B4" s="341" t="s">
        <v>836</v>
      </c>
      <c r="C4" s="3" t="str">
        <f t="shared" si="2"/>
        <v>=&gt;</v>
      </c>
      <c r="D4" s="3" t="s">
        <v>844</v>
      </c>
      <c r="E4" s="346" t="s">
        <v>845</v>
      </c>
      <c r="F4" s="341" t="s">
        <v>836</v>
      </c>
      <c r="G4" s="3"/>
      <c r="H4" s="3"/>
      <c r="I4" s="3"/>
      <c r="J4" s="3"/>
      <c r="K4" s="3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">
        <f t="shared" si="1"/>
        <v>5</v>
      </c>
      <c r="B5" s="341" t="s">
        <v>836</v>
      </c>
      <c r="C5" s="3" t="str">
        <f t="shared" si="2"/>
        <v>=&gt;</v>
      </c>
      <c r="D5" s="3" t="s">
        <v>846</v>
      </c>
      <c r="E5" s="347" t="s">
        <v>847</v>
      </c>
      <c r="F5" s="341" t="s">
        <v>836</v>
      </c>
      <c r="G5" s="3"/>
      <c r="H5" s="3"/>
      <c r="I5" s="3"/>
      <c r="J5" s="3"/>
      <c r="K5" s="3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">
        <f t="shared" si="1"/>
        <v>6</v>
      </c>
      <c r="B6" s="341" t="s">
        <v>836</v>
      </c>
      <c r="C6" s="3" t="str">
        <f t="shared" si="2"/>
        <v>=&gt;</v>
      </c>
      <c r="D6" s="348" t="s">
        <v>848</v>
      </c>
      <c r="E6" s="341" t="s">
        <v>836</v>
      </c>
      <c r="F6" s="3"/>
      <c r="G6" s="3"/>
      <c r="H6" s="3"/>
      <c r="I6" s="3"/>
      <c r="J6" s="3"/>
      <c r="K6" s="3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">
        <f t="shared" si="1"/>
        <v>7</v>
      </c>
      <c r="B7" s="341" t="s">
        <v>836</v>
      </c>
      <c r="C7" s="3" t="str">
        <f t="shared" si="2"/>
        <v>=&gt;</v>
      </c>
      <c r="D7" s="3" t="s">
        <v>14</v>
      </c>
      <c r="E7" s="349" t="s">
        <v>849</v>
      </c>
      <c r="F7" s="341" t="s">
        <v>836</v>
      </c>
      <c r="G7" s="3"/>
      <c r="H7" s="3"/>
      <c r="I7" s="3"/>
      <c r="J7" s="3"/>
      <c r="K7" s="3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">
        <f t="shared" si="1"/>
        <v>8</v>
      </c>
      <c r="B8" s="341" t="s">
        <v>836</v>
      </c>
      <c r="C8" s="3" t="str">
        <f t="shared" si="2"/>
        <v>=&gt;</v>
      </c>
      <c r="D8" s="3" t="s">
        <v>8</v>
      </c>
      <c r="E8" s="3"/>
      <c r="F8" s="3"/>
      <c r="G8" s="3"/>
      <c r="H8" s="3"/>
      <c r="I8" s="3"/>
      <c r="J8" s="3"/>
      <c r="K8" s="3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">
        <f t="shared" si="1"/>
        <v>9</v>
      </c>
      <c r="B9" s="344" t="s">
        <v>841</v>
      </c>
      <c r="C9" s="3" t="str">
        <f t="shared" si="2"/>
        <v>=&gt;</v>
      </c>
      <c r="D9" s="7" t="s">
        <v>850</v>
      </c>
      <c r="E9" s="350" t="s">
        <v>851</v>
      </c>
      <c r="F9" s="21" t="s">
        <v>6</v>
      </c>
      <c r="G9" s="7"/>
      <c r="H9" s="15"/>
      <c r="I9" s="3"/>
      <c r="J9" s="3"/>
      <c r="K9" s="3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">
        <f t="shared" si="1"/>
        <v>10</v>
      </c>
      <c r="B10" s="350" t="s">
        <v>851</v>
      </c>
      <c r="C10" s="3" t="str">
        <f t="shared" si="2"/>
        <v>=&gt;</v>
      </c>
      <c r="D10" s="3" t="s">
        <v>14</v>
      </c>
      <c r="E10" s="352" t="s">
        <v>853</v>
      </c>
      <c r="F10" s="353" t="s">
        <v>854</v>
      </c>
      <c r="G10" s="7"/>
      <c r="H10" s="15"/>
      <c r="I10" s="3"/>
      <c r="J10" s="3"/>
      <c r="K10" s="3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">
        <f t="shared" si="1"/>
        <v>11</v>
      </c>
      <c r="B11" s="352" t="s">
        <v>853</v>
      </c>
      <c r="C11" s="3" t="str">
        <f t="shared" si="2"/>
        <v>=&gt;</v>
      </c>
      <c r="D11" s="3" t="str">
        <f>"="</f>
        <v>=</v>
      </c>
      <c r="E11" s="1000" t="s">
        <v>935</v>
      </c>
      <c r="F11" s="21"/>
      <c r="G11" s="7"/>
      <c r="H11" s="15"/>
      <c r="I11" s="3"/>
      <c r="J11" s="3"/>
      <c r="K11" s="3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">
        <f t="shared" si="1"/>
        <v>12</v>
      </c>
      <c r="B12" s="352" t="s">
        <v>853</v>
      </c>
      <c r="C12" s="3" t="str">
        <f t="shared" si="2"/>
        <v>=&gt;</v>
      </c>
      <c r="D12" s="3" t="s">
        <v>8</v>
      </c>
      <c r="E12" s="3"/>
      <c r="F12" s="21"/>
      <c r="G12" s="7"/>
      <c r="H12" s="15"/>
      <c r="I12" s="3"/>
      <c r="J12" s="3"/>
      <c r="K12" s="3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">
        <f t="shared" si="1"/>
        <v>13</v>
      </c>
      <c r="B13" s="353" t="s">
        <v>854</v>
      </c>
      <c r="C13" s="3"/>
      <c r="D13" s="3" t="s">
        <v>38</v>
      </c>
      <c r="E13" s="3" t="s">
        <v>14</v>
      </c>
      <c r="F13" s="352" t="s">
        <v>853</v>
      </c>
      <c r="G13" s="353" t="s">
        <v>854</v>
      </c>
      <c r="H13" s="15"/>
      <c r="I13" s="3"/>
      <c r="J13" s="3"/>
      <c r="K13" s="3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">
        <f t="shared" si="1"/>
        <v>14</v>
      </c>
      <c r="B14" s="353" t="s">
        <v>854</v>
      </c>
      <c r="C14" s="3"/>
      <c r="D14" s="3" t="s">
        <v>8</v>
      </c>
      <c r="E14" s="8"/>
      <c r="F14" s="3"/>
      <c r="G14" s="8"/>
      <c r="H14" s="15"/>
      <c r="I14" s="3"/>
      <c r="J14" s="3"/>
      <c r="K14" s="3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">
        <f t="shared" si="1"/>
        <v>15</v>
      </c>
      <c r="B15" s="344" t="s">
        <v>841</v>
      </c>
      <c r="C15" s="3" t="str">
        <f t="shared" ref="C15:C19" si="3">"=&gt;"</f>
        <v>=&gt;</v>
      </c>
      <c r="D15" s="351" t="s">
        <v>852</v>
      </c>
      <c r="E15" s="21"/>
      <c r="F15" s="21"/>
      <c r="G15" s="7"/>
      <c r="H15" s="15"/>
      <c r="I15" s="3"/>
      <c r="J15" s="3"/>
      <c r="K15" s="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">
        <f t="shared" si="1"/>
        <v>16</v>
      </c>
      <c r="B16" s="345" t="s">
        <v>843</v>
      </c>
      <c r="C16" s="3" t="str">
        <f t="shared" si="3"/>
        <v>=&gt;</v>
      </c>
      <c r="D16" s="7" t="s">
        <v>850</v>
      </c>
      <c r="E16" s="468" t="s">
        <v>967</v>
      </c>
      <c r="F16" s="21" t="s">
        <v>6</v>
      </c>
      <c r="G16" s="16"/>
      <c r="H16" s="15"/>
      <c r="I16" s="3"/>
      <c r="J16" s="3"/>
      <c r="K16" s="3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">
        <f t="shared" si="1"/>
        <v>17</v>
      </c>
      <c r="B17" s="350" t="s">
        <v>967</v>
      </c>
      <c r="C17" s="3" t="str">
        <f t="shared" si="3"/>
        <v>=&gt;</v>
      </c>
      <c r="D17" s="3" t="s">
        <v>14</v>
      </c>
      <c r="E17" s="352" t="s">
        <v>968</v>
      </c>
      <c r="F17" s="353" t="s">
        <v>969</v>
      </c>
      <c r="G17" s="7"/>
      <c r="H17" s="7"/>
      <c r="I17" s="3"/>
      <c r="J17" s="3"/>
      <c r="K17" s="3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">
        <f t="shared" si="1"/>
        <v>18</v>
      </c>
      <c r="B18" s="352" t="s">
        <v>968</v>
      </c>
      <c r="C18" s="3" t="str">
        <f t="shared" si="3"/>
        <v>=&gt;</v>
      </c>
      <c r="D18" s="3" t="str">
        <f>"="</f>
        <v>=</v>
      </c>
      <c r="E18" s="1001" t="s">
        <v>952</v>
      </c>
      <c r="F18" s="21"/>
      <c r="G18" s="7"/>
      <c r="H18" s="7"/>
      <c r="I18" s="3"/>
      <c r="J18" s="3"/>
      <c r="K18" s="3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">
        <f t="shared" si="1"/>
        <v>19</v>
      </c>
      <c r="B19" s="352" t="s">
        <v>968</v>
      </c>
      <c r="C19" s="3" t="str">
        <f t="shared" si="3"/>
        <v>=&gt;</v>
      </c>
      <c r="D19" s="3" t="s">
        <v>8</v>
      </c>
      <c r="E19" s="3"/>
      <c r="F19" s="21"/>
      <c r="G19" s="7"/>
      <c r="H19" s="7"/>
      <c r="I19" s="3"/>
      <c r="J19" s="3"/>
      <c r="K19" s="3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">
        <f t="shared" si="1"/>
        <v>20</v>
      </c>
      <c r="B20" s="353" t="s">
        <v>969</v>
      </c>
      <c r="C20" s="3"/>
      <c r="D20" s="3" t="s">
        <v>38</v>
      </c>
      <c r="E20" s="3" t="s">
        <v>14</v>
      </c>
      <c r="F20" s="352" t="s">
        <v>968</v>
      </c>
      <c r="G20" s="353" t="s">
        <v>969</v>
      </c>
      <c r="H20" s="7"/>
      <c r="I20" s="3"/>
      <c r="J20" s="3"/>
      <c r="K20" s="3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">
        <f t="shared" si="1"/>
        <v>21</v>
      </c>
      <c r="B21" s="353" t="s">
        <v>969</v>
      </c>
      <c r="C21" s="3"/>
      <c r="D21" s="3" t="s">
        <v>8</v>
      </c>
      <c r="E21" s="8"/>
      <c r="F21" s="3"/>
      <c r="G21" s="8"/>
      <c r="H21" s="7"/>
      <c r="I21" s="3"/>
      <c r="J21" s="3"/>
      <c r="K21" s="3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">
        <f t="shared" si="1"/>
        <v>22</v>
      </c>
      <c r="B22" s="345" t="s">
        <v>843</v>
      </c>
      <c r="C22" s="3" t="str">
        <f t="shared" ref="C22:C26" si="4">"=&gt;"</f>
        <v>=&gt;</v>
      </c>
      <c r="D22" s="351" t="s">
        <v>852</v>
      </c>
      <c r="E22" s="21"/>
      <c r="F22" s="21"/>
      <c r="G22" s="7"/>
      <c r="H22" s="7"/>
      <c r="I22" s="3"/>
      <c r="J22" s="3"/>
      <c r="K22" s="3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">
        <f t="shared" si="1"/>
        <v>23</v>
      </c>
      <c r="B23" s="346" t="s">
        <v>845</v>
      </c>
      <c r="C23" s="3" t="str">
        <f t="shared" si="4"/>
        <v>=&gt;</v>
      </c>
      <c r="D23" s="7" t="s">
        <v>850</v>
      </c>
      <c r="E23" s="472" t="s">
        <v>970</v>
      </c>
      <c r="F23" s="21" t="s">
        <v>6</v>
      </c>
      <c r="G23" s="16"/>
      <c r="H23" s="7"/>
      <c r="I23" s="3"/>
      <c r="J23" s="3"/>
      <c r="K23" s="3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">
        <f t="shared" si="1"/>
        <v>24</v>
      </c>
      <c r="B24" s="350" t="s">
        <v>970</v>
      </c>
      <c r="C24" s="3" t="str">
        <f t="shared" si="4"/>
        <v>=&gt;</v>
      </c>
      <c r="D24" s="3" t="s">
        <v>14</v>
      </c>
      <c r="E24" s="352" t="s">
        <v>971</v>
      </c>
      <c r="F24" s="353" t="s">
        <v>972</v>
      </c>
      <c r="G24" s="7"/>
      <c r="H24" s="7"/>
      <c r="I24" s="3"/>
      <c r="J24" s="3"/>
      <c r="K24" s="3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">
        <f t="shared" si="1"/>
        <v>25</v>
      </c>
      <c r="B25" s="352" t="s">
        <v>971</v>
      </c>
      <c r="C25" s="3" t="str">
        <f t="shared" si="4"/>
        <v>=&gt;</v>
      </c>
      <c r="D25" s="3" t="str">
        <f>"="</f>
        <v>=</v>
      </c>
      <c r="E25" s="1002" t="s">
        <v>947</v>
      </c>
      <c r="F25" s="21"/>
      <c r="G25" s="7"/>
      <c r="H25" s="7"/>
      <c r="I25" s="3"/>
      <c r="J25" s="3"/>
      <c r="K25" s="3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">
        <f t="shared" si="1"/>
        <v>26</v>
      </c>
      <c r="B26" s="352" t="s">
        <v>971</v>
      </c>
      <c r="C26" s="3" t="str">
        <f t="shared" si="4"/>
        <v>=&gt;</v>
      </c>
      <c r="D26" s="3" t="s">
        <v>8</v>
      </c>
      <c r="E26" s="3"/>
      <c r="F26" s="21"/>
      <c r="G26" s="7"/>
      <c r="H26" s="7"/>
      <c r="I26" s="3"/>
      <c r="J26" s="3"/>
      <c r="K26" s="3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">
        <f t="shared" si="1"/>
        <v>27</v>
      </c>
      <c r="B27" s="353" t="s">
        <v>972</v>
      </c>
      <c r="C27" s="3"/>
      <c r="D27" s="3" t="s">
        <v>38</v>
      </c>
      <c r="E27" s="3" t="s">
        <v>14</v>
      </c>
      <c r="F27" s="352" t="s">
        <v>971</v>
      </c>
      <c r="G27" s="353" t="s">
        <v>972</v>
      </c>
      <c r="H27" s="7"/>
      <c r="I27" s="3"/>
      <c r="J27" s="3"/>
      <c r="K27" s="3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">
        <f t="shared" si="1"/>
        <v>28</v>
      </c>
      <c r="B28" s="353" t="s">
        <v>972</v>
      </c>
      <c r="C28" s="3"/>
      <c r="D28" s="3" t="s">
        <v>8</v>
      </c>
      <c r="E28" s="8"/>
      <c r="F28" s="3"/>
      <c r="G28" s="8"/>
      <c r="H28" s="7"/>
      <c r="I28" s="3"/>
      <c r="J28" s="3"/>
      <c r="K28" s="3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">
        <f t="shared" si="1"/>
        <v>29</v>
      </c>
      <c r="B29" s="346" t="s">
        <v>845</v>
      </c>
      <c r="C29" s="3" t="str">
        <f t="shared" ref="C29:C33" si="5">"=&gt;"</f>
        <v>=&gt;</v>
      </c>
      <c r="D29" s="351" t="s">
        <v>852</v>
      </c>
      <c r="E29" s="21"/>
      <c r="F29" s="21"/>
      <c r="G29" s="7"/>
      <c r="H29" s="7"/>
      <c r="I29" s="3"/>
      <c r="J29" s="3"/>
      <c r="K29" s="3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">
        <f t="shared" si="1"/>
        <v>30</v>
      </c>
      <c r="B30" s="347" t="s">
        <v>847</v>
      </c>
      <c r="C30" s="3" t="str">
        <f t="shared" si="5"/>
        <v>=&gt;</v>
      </c>
      <c r="D30" s="7" t="s">
        <v>850</v>
      </c>
      <c r="E30" s="476" t="s">
        <v>973</v>
      </c>
      <c r="F30" s="21" t="s">
        <v>6</v>
      </c>
      <c r="G30" s="1003"/>
      <c r="H30" s="7"/>
      <c r="I30" s="3"/>
      <c r="J30" s="3"/>
      <c r="K30" s="3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">
        <f t="shared" si="1"/>
        <v>31</v>
      </c>
      <c r="B31" s="350" t="s">
        <v>973</v>
      </c>
      <c r="C31" s="3" t="str">
        <f t="shared" si="5"/>
        <v>=&gt;</v>
      </c>
      <c r="D31" s="3" t="s">
        <v>14</v>
      </c>
      <c r="E31" s="352" t="s">
        <v>974</v>
      </c>
      <c r="F31" s="353" t="s">
        <v>975</v>
      </c>
      <c r="G31" s="7"/>
      <c r="H31" s="7"/>
      <c r="I31" s="3"/>
      <c r="J31" s="3"/>
      <c r="K31" s="3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">
        <f t="shared" si="1"/>
        <v>32</v>
      </c>
      <c r="B32" s="352" t="s">
        <v>974</v>
      </c>
      <c r="C32" s="3" t="str">
        <f t="shared" si="5"/>
        <v>=&gt;</v>
      </c>
      <c r="D32" s="3" t="str">
        <f>"="</f>
        <v>=</v>
      </c>
      <c r="E32" s="1003" t="s">
        <v>1565</v>
      </c>
      <c r="F32" s="21"/>
      <c r="G32" s="7"/>
      <c r="H32" s="7"/>
      <c r="I32" s="3"/>
      <c r="J32" s="3"/>
      <c r="K32" s="3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">
        <f t="shared" si="1"/>
        <v>33</v>
      </c>
      <c r="B33" s="352" t="s">
        <v>974</v>
      </c>
      <c r="C33" s="3" t="str">
        <f t="shared" si="5"/>
        <v>=&gt;</v>
      </c>
      <c r="D33" s="3" t="s">
        <v>8</v>
      </c>
      <c r="E33" s="3"/>
      <c r="F33" s="21"/>
      <c r="G33" s="7"/>
      <c r="H33" s="7"/>
      <c r="I33" s="3"/>
      <c r="J33" s="3"/>
      <c r="K33" s="3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">
        <f t="shared" si="1"/>
        <v>34</v>
      </c>
      <c r="B34" s="353" t="s">
        <v>975</v>
      </c>
      <c r="C34" s="3"/>
      <c r="D34" s="3" t="s">
        <v>38</v>
      </c>
      <c r="E34" s="3" t="s">
        <v>14</v>
      </c>
      <c r="F34" s="352" t="s">
        <v>974</v>
      </c>
      <c r="G34" s="353" t="s">
        <v>975</v>
      </c>
      <c r="H34" s="7"/>
      <c r="I34" s="3"/>
      <c r="J34" s="3"/>
      <c r="K34" s="3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">
        <f t="shared" si="1"/>
        <v>35</v>
      </c>
      <c r="B35" s="353" t="s">
        <v>975</v>
      </c>
      <c r="C35" s="3"/>
      <c r="D35" s="3" t="s">
        <v>8</v>
      </c>
      <c r="E35" s="8"/>
      <c r="F35" s="3"/>
      <c r="G35" s="8"/>
      <c r="H35" s="7"/>
      <c r="I35" s="3"/>
      <c r="J35" s="3"/>
      <c r="K35" s="3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">
        <f t="shared" si="1"/>
        <v>36</v>
      </c>
      <c r="B36" s="347" t="s">
        <v>847</v>
      </c>
      <c r="C36" s="3" t="str">
        <f t="shared" ref="C36:C215" si="6">"=&gt;"</f>
        <v>=&gt;</v>
      </c>
      <c r="D36" s="351" t="s">
        <v>852</v>
      </c>
      <c r="E36" s="7"/>
      <c r="F36" s="21"/>
      <c r="G36" s="21"/>
      <c r="H36" s="7"/>
      <c r="I36" s="3"/>
      <c r="J36" s="3"/>
      <c r="K36" s="3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">
        <f t="shared" si="1"/>
        <v>37</v>
      </c>
      <c r="B37" s="351" t="s">
        <v>852</v>
      </c>
      <c r="C37" s="3" t="str">
        <f t="shared" si="6"/>
        <v>=&gt;</v>
      </c>
      <c r="D37" s="462" t="s">
        <v>962</v>
      </c>
      <c r="E37" s="3" t="s">
        <v>850</v>
      </c>
      <c r="F37" s="463" t="s">
        <v>963</v>
      </c>
      <c r="G37" s="3" t="s">
        <v>6</v>
      </c>
      <c r="H37" s="3"/>
      <c r="I37" s="8"/>
      <c r="J37" s="8"/>
      <c r="K37" s="3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">
        <f t="shared" si="1"/>
        <v>38</v>
      </c>
      <c r="B38" s="624" t="s">
        <v>1095</v>
      </c>
      <c r="C38" s="3" t="str">
        <f t="shared" si="6"/>
        <v>=&gt;</v>
      </c>
      <c r="D38" s="547" t="s">
        <v>1019</v>
      </c>
      <c r="E38" s="8"/>
      <c r="F38" s="8"/>
      <c r="G38" s="3"/>
      <c r="H38" s="3"/>
      <c r="I38" s="3"/>
      <c r="J38" s="3"/>
      <c r="K38" s="3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">
        <f t="shared" si="1"/>
        <v>39</v>
      </c>
      <c r="B39" s="388" t="s">
        <v>890</v>
      </c>
      <c r="C39" s="3" t="str">
        <f t="shared" si="6"/>
        <v>=&gt;</v>
      </c>
      <c r="D39" s="392" t="s">
        <v>893</v>
      </c>
      <c r="E39" s="393" t="s">
        <v>894</v>
      </c>
      <c r="F39" s="3"/>
      <c r="G39" s="3"/>
      <c r="H39" s="3"/>
      <c r="I39" s="3"/>
      <c r="J39" s="3"/>
      <c r="K39" s="3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">
        <f t="shared" si="1"/>
        <v>40</v>
      </c>
      <c r="B40" s="392" t="s">
        <v>893</v>
      </c>
      <c r="C40" s="3" t="str">
        <f t="shared" si="6"/>
        <v>=&gt;</v>
      </c>
      <c r="D40" s="3" t="s">
        <v>62</v>
      </c>
      <c r="E40" s="394" t="s">
        <v>895</v>
      </c>
      <c r="F40" s="3" t="s">
        <v>64</v>
      </c>
      <c r="G40" s="8"/>
      <c r="H40" s="3"/>
      <c r="I40" s="3"/>
      <c r="J40" s="3"/>
      <c r="K40" s="3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">
        <f t="shared" si="1"/>
        <v>41</v>
      </c>
      <c r="B41" s="392" t="s">
        <v>893</v>
      </c>
      <c r="C41" s="3" t="str">
        <f t="shared" si="6"/>
        <v>=&gt;</v>
      </c>
      <c r="D41" s="3" t="s">
        <v>8</v>
      </c>
      <c r="E41" s="3"/>
      <c r="F41" s="3"/>
      <c r="G41" s="8"/>
      <c r="H41" s="3"/>
      <c r="I41" s="3"/>
      <c r="J41" s="3"/>
      <c r="K41" s="3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">
        <f t="shared" si="1"/>
        <v>42</v>
      </c>
      <c r="B42" s="393" t="s">
        <v>894</v>
      </c>
      <c r="C42" s="3" t="str">
        <f t="shared" si="6"/>
        <v>=&gt;</v>
      </c>
      <c r="D42" s="423" t="s">
        <v>892</v>
      </c>
      <c r="E42" s="3"/>
      <c r="F42" s="8"/>
      <c r="G42" s="8"/>
      <c r="H42" s="3"/>
      <c r="I42" s="3"/>
      <c r="J42" s="3"/>
      <c r="K42" s="3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">
        <f t="shared" si="1"/>
        <v>43</v>
      </c>
      <c r="B43" s="393" t="s">
        <v>894</v>
      </c>
      <c r="C43" s="3" t="str">
        <f t="shared" si="6"/>
        <v>=&gt;</v>
      </c>
      <c r="D43" s="424" t="s">
        <v>930</v>
      </c>
      <c r="E43" s="3"/>
      <c r="F43" s="3"/>
      <c r="G43" s="8"/>
      <c r="H43" s="3"/>
      <c r="I43" s="3"/>
      <c r="J43" s="3"/>
      <c r="K43" s="3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">
        <f t="shared" si="1"/>
        <v>44</v>
      </c>
      <c r="B44" s="393" t="s">
        <v>894</v>
      </c>
      <c r="C44" s="3" t="str">
        <f t="shared" si="6"/>
        <v>=&gt;</v>
      </c>
      <c r="D44" s="3" t="s">
        <v>8</v>
      </c>
      <c r="E44" s="3"/>
      <c r="F44" s="3"/>
      <c r="G44" s="8"/>
      <c r="H44" s="3"/>
      <c r="I44" s="3"/>
      <c r="J44" s="3"/>
      <c r="K44" s="3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">
        <f t="shared" si="1"/>
        <v>45</v>
      </c>
      <c r="B45" s="423" t="s">
        <v>892</v>
      </c>
      <c r="C45" s="3" t="str">
        <f t="shared" si="6"/>
        <v>=&gt;</v>
      </c>
      <c r="D45" s="3" t="s">
        <v>30</v>
      </c>
      <c r="E45" s="603" t="s">
        <v>1085</v>
      </c>
      <c r="F45" s="3" t="s">
        <v>32</v>
      </c>
      <c r="G45" s="393" t="s">
        <v>894</v>
      </c>
      <c r="H45" s="3"/>
      <c r="I45" s="3"/>
      <c r="J45" s="3"/>
      <c r="K45" s="3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">
        <f t="shared" si="1"/>
        <v>46</v>
      </c>
      <c r="B46" s="424" t="s">
        <v>930</v>
      </c>
      <c r="C46" s="3" t="str">
        <f t="shared" si="6"/>
        <v>=&gt;</v>
      </c>
      <c r="D46" s="3" t="s">
        <v>180</v>
      </c>
      <c r="E46" s="3" t="s">
        <v>14</v>
      </c>
      <c r="F46" s="393" t="s">
        <v>894</v>
      </c>
      <c r="G46" s="3"/>
      <c r="H46" s="3"/>
      <c r="I46" s="3"/>
      <c r="J46" s="3"/>
      <c r="K46" s="3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">
        <f t="shared" si="1"/>
        <v>47</v>
      </c>
      <c r="B47" s="394" t="s">
        <v>895</v>
      </c>
      <c r="C47" s="3" t="str">
        <f t="shared" si="6"/>
        <v>=&gt;</v>
      </c>
      <c r="D47" s="395" t="s">
        <v>28</v>
      </c>
      <c r="E47" s="396" t="s">
        <v>896</v>
      </c>
      <c r="F47" s="3"/>
      <c r="G47" s="8"/>
      <c r="H47" s="3"/>
      <c r="I47" s="3"/>
      <c r="J47" s="3"/>
      <c r="K47" s="3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">
        <f t="shared" si="1"/>
        <v>48</v>
      </c>
      <c r="B48" s="394" t="s">
        <v>895</v>
      </c>
      <c r="C48" s="3" t="str">
        <f t="shared" si="6"/>
        <v>=&gt;</v>
      </c>
      <c r="D48" s="3" t="s">
        <v>8</v>
      </c>
      <c r="E48" s="3"/>
      <c r="F48" s="8"/>
      <c r="G48" s="3"/>
      <c r="H48" s="3"/>
      <c r="I48" s="3"/>
      <c r="J48" s="3"/>
      <c r="K48" s="3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">
        <f t="shared" si="1"/>
        <v>49</v>
      </c>
      <c r="B49" s="395" t="s">
        <v>28</v>
      </c>
      <c r="C49" s="3" t="str">
        <f t="shared" si="6"/>
        <v>=&gt;</v>
      </c>
      <c r="D49" s="603" t="s">
        <v>1085</v>
      </c>
      <c r="E49" s="3"/>
      <c r="F49" s="8"/>
      <c r="G49" s="3"/>
      <c r="H49" s="3"/>
      <c r="I49" s="3"/>
      <c r="J49" s="3"/>
      <c r="K49" s="3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">
        <f t="shared" si="1"/>
        <v>50</v>
      </c>
      <c r="B50" s="395" t="s">
        <v>28</v>
      </c>
      <c r="C50" s="3" t="str">
        <f t="shared" si="6"/>
        <v>=&gt;</v>
      </c>
      <c r="D50" s="3" t="s">
        <v>30</v>
      </c>
      <c r="E50" s="399" t="s">
        <v>897</v>
      </c>
      <c r="F50" s="3" t="s">
        <v>32</v>
      </c>
      <c r="G50" s="393" t="s">
        <v>894</v>
      </c>
      <c r="H50" s="3"/>
      <c r="I50" s="3"/>
      <c r="J50" s="3"/>
      <c r="K50" s="3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">
        <f t="shared" si="1"/>
        <v>51</v>
      </c>
      <c r="B51" s="399" t="s">
        <v>897</v>
      </c>
      <c r="C51" s="3" t="str">
        <f t="shared" si="6"/>
        <v>=&gt;</v>
      </c>
      <c r="D51" s="400" t="s">
        <v>899</v>
      </c>
      <c r="E51" s="3"/>
      <c r="F51" s="8"/>
      <c r="G51" s="3"/>
      <c r="H51" s="3"/>
      <c r="I51" s="3"/>
      <c r="J51" s="3"/>
      <c r="K51" s="3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">
        <f t="shared" si="1"/>
        <v>52</v>
      </c>
      <c r="B52" s="399" t="s">
        <v>897</v>
      </c>
      <c r="C52" s="3" t="str">
        <f t="shared" si="6"/>
        <v>=&gt;</v>
      </c>
      <c r="D52" s="3" t="s">
        <v>14</v>
      </c>
      <c r="E52" s="401" t="s">
        <v>900</v>
      </c>
      <c r="F52" s="3"/>
      <c r="G52" s="3"/>
      <c r="H52" s="3"/>
      <c r="I52" s="3"/>
      <c r="J52" s="3"/>
      <c r="K52" s="3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">
        <f t="shared" si="1"/>
        <v>53</v>
      </c>
      <c r="B53" s="399" t="s">
        <v>897</v>
      </c>
      <c r="C53" s="3" t="str">
        <f t="shared" si="6"/>
        <v>=&gt;</v>
      </c>
      <c r="D53" s="3" t="s">
        <v>8</v>
      </c>
      <c r="E53" s="3"/>
      <c r="F53" s="3"/>
      <c r="G53" s="3"/>
      <c r="H53" s="3"/>
      <c r="I53" s="3"/>
      <c r="J53" s="3"/>
      <c r="K53" s="3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">
        <f t="shared" si="1"/>
        <v>54</v>
      </c>
      <c r="B54" s="400" t="s">
        <v>899</v>
      </c>
      <c r="C54" s="3" t="str">
        <f t="shared" si="6"/>
        <v>=&gt;</v>
      </c>
      <c r="D54" s="3" t="s">
        <v>868</v>
      </c>
      <c r="E54" s="403" t="s">
        <v>901</v>
      </c>
      <c r="F54" s="3"/>
      <c r="G54" s="3"/>
      <c r="H54" s="3"/>
      <c r="I54" s="3"/>
      <c r="J54" s="3"/>
      <c r="K54" s="3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">
        <f t="shared" si="1"/>
        <v>55</v>
      </c>
      <c r="B55" s="400" t="s">
        <v>899</v>
      </c>
      <c r="C55" s="3" t="str">
        <f t="shared" si="6"/>
        <v>=&gt;</v>
      </c>
      <c r="D55" s="3" t="s">
        <v>902</v>
      </c>
      <c r="E55" s="403" t="s">
        <v>901</v>
      </c>
      <c r="F55" s="3"/>
      <c r="G55" s="3"/>
      <c r="H55" s="3"/>
      <c r="I55" s="3"/>
      <c r="J55" s="3"/>
      <c r="K55" s="3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">
        <f t="shared" si="1"/>
        <v>56</v>
      </c>
      <c r="B56" s="400" t="s">
        <v>899</v>
      </c>
      <c r="C56" s="3" t="str">
        <f t="shared" si="6"/>
        <v>=&gt;</v>
      </c>
      <c r="D56" s="3" t="s">
        <v>903</v>
      </c>
      <c r="E56" s="403" t="s">
        <v>901</v>
      </c>
      <c r="F56" s="3"/>
      <c r="G56" s="3"/>
      <c r="H56" s="3"/>
      <c r="I56" s="3"/>
      <c r="J56" s="3"/>
      <c r="K56" s="3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">
        <f t="shared" si="1"/>
        <v>57</v>
      </c>
      <c r="B57" s="400" t="s">
        <v>899</v>
      </c>
      <c r="C57" s="3" t="str">
        <f t="shared" si="6"/>
        <v>=&gt;</v>
      </c>
      <c r="D57" s="3" t="s">
        <v>904</v>
      </c>
      <c r="E57" s="403" t="s">
        <v>901</v>
      </c>
      <c r="F57" s="3"/>
      <c r="G57" s="3"/>
      <c r="H57" s="3"/>
      <c r="I57" s="3"/>
      <c r="J57" s="3"/>
      <c r="K57" s="3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">
        <f t="shared" si="1"/>
        <v>58</v>
      </c>
      <c r="B58" s="400" t="s">
        <v>899</v>
      </c>
      <c r="C58" s="3" t="str">
        <f t="shared" si="6"/>
        <v>=&gt;</v>
      </c>
      <c r="D58" s="3" t="s">
        <v>30</v>
      </c>
      <c r="E58" s="399" t="s">
        <v>897</v>
      </c>
      <c r="F58" s="3" t="s">
        <v>32</v>
      </c>
      <c r="G58" s="403" t="s">
        <v>901</v>
      </c>
      <c r="H58" s="8"/>
      <c r="I58" s="3"/>
      <c r="J58" s="3"/>
      <c r="K58" s="3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">
        <f t="shared" si="1"/>
        <v>59</v>
      </c>
      <c r="B59" s="403" t="s">
        <v>901</v>
      </c>
      <c r="C59" s="3" t="str">
        <f t="shared" si="6"/>
        <v>=&gt;</v>
      </c>
      <c r="D59" s="3" t="s">
        <v>38</v>
      </c>
      <c r="E59" s="404" t="s">
        <v>905</v>
      </c>
      <c r="F59" s="3"/>
      <c r="G59" s="3"/>
      <c r="H59" s="3"/>
      <c r="I59" s="3"/>
      <c r="J59" s="3"/>
      <c r="K59" s="3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">
        <f t="shared" si="1"/>
        <v>60</v>
      </c>
      <c r="B60" s="403" t="s">
        <v>901</v>
      </c>
      <c r="C60" s="3" t="str">
        <f t="shared" si="6"/>
        <v>=&gt;</v>
      </c>
      <c r="D60" s="3" t="s">
        <v>8</v>
      </c>
      <c r="E60" s="3"/>
      <c r="F60" s="3"/>
      <c r="G60" s="3"/>
      <c r="H60" s="3"/>
      <c r="I60" s="3"/>
      <c r="J60" s="3"/>
      <c r="K60" s="3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">
        <f t="shared" si="1"/>
        <v>61</v>
      </c>
      <c r="B61" s="404" t="s">
        <v>905</v>
      </c>
      <c r="C61" s="3" t="str">
        <f t="shared" si="6"/>
        <v>=&gt;</v>
      </c>
      <c r="D61" s="3" t="s">
        <v>14</v>
      </c>
      <c r="E61" s="403" t="s">
        <v>901</v>
      </c>
      <c r="F61" s="3"/>
      <c r="G61" s="3"/>
      <c r="H61" s="3"/>
      <c r="I61" s="3"/>
      <c r="J61" s="3"/>
      <c r="K61" s="3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">
        <f t="shared" si="1"/>
        <v>62</v>
      </c>
      <c r="B62" s="404" t="s">
        <v>905</v>
      </c>
      <c r="C62" s="3" t="str">
        <f t="shared" si="6"/>
        <v>=&gt;</v>
      </c>
      <c r="D62" s="400" t="s">
        <v>899</v>
      </c>
      <c r="E62" s="3"/>
      <c r="F62" s="3"/>
      <c r="G62" s="3"/>
      <c r="H62" s="3"/>
      <c r="I62" s="3"/>
      <c r="J62" s="3"/>
      <c r="K62" s="3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">
        <f t="shared" si="1"/>
        <v>63</v>
      </c>
      <c r="B63" s="401" t="s">
        <v>900</v>
      </c>
      <c r="C63" s="3" t="str">
        <f t="shared" si="6"/>
        <v>=&gt;</v>
      </c>
      <c r="D63" s="3" t="s">
        <v>38</v>
      </c>
      <c r="E63" s="404" t="s">
        <v>905</v>
      </c>
      <c r="F63" s="3"/>
      <c r="G63" s="3"/>
      <c r="H63" s="3"/>
      <c r="I63" s="3"/>
      <c r="J63" s="3"/>
      <c r="K63" s="3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">
        <f t="shared" si="1"/>
        <v>64</v>
      </c>
      <c r="B64" s="401" t="s">
        <v>900</v>
      </c>
      <c r="C64" s="3" t="str">
        <f t="shared" si="6"/>
        <v>=&gt;</v>
      </c>
      <c r="D64" s="3" t="str">
        <f>"="</f>
        <v>=</v>
      </c>
      <c r="E64" s="395" t="s">
        <v>28</v>
      </c>
      <c r="F64" s="3" t="s">
        <v>6</v>
      </c>
      <c r="G64" s="422" t="s">
        <v>929</v>
      </c>
      <c r="H64" s="3"/>
      <c r="I64" s="3"/>
      <c r="J64" s="3"/>
      <c r="K64" s="3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">
        <f t="shared" si="1"/>
        <v>65</v>
      </c>
      <c r="B65" s="401" t="s">
        <v>900</v>
      </c>
      <c r="C65" s="3" t="str">
        <f t="shared" si="6"/>
        <v>=&gt;</v>
      </c>
      <c r="D65" s="3" t="s">
        <v>8</v>
      </c>
      <c r="E65" s="3"/>
      <c r="F65" s="3"/>
      <c r="G65" s="3"/>
      <c r="H65" s="3"/>
      <c r="I65" s="3"/>
      <c r="J65" s="3"/>
      <c r="K65" s="3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">
        <f t="shared" si="1"/>
        <v>66</v>
      </c>
      <c r="B66" s="422" t="s">
        <v>929</v>
      </c>
      <c r="C66" s="3" t="str">
        <f t="shared" si="6"/>
        <v>=&gt;</v>
      </c>
      <c r="D66" s="3" t="s">
        <v>14</v>
      </c>
      <c r="E66" s="3" t="str">
        <f>"="</f>
        <v>=</v>
      </c>
      <c r="F66" s="395" t="s">
        <v>28</v>
      </c>
      <c r="G66" s="3" t="s">
        <v>6</v>
      </c>
      <c r="H66" s="422" t="s">
        <v>929</v>
      </c>
      <c r="I66" s="3"/>
      <c r="J66" s="3"/>
      <c r="K66" s="3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">
        <f t="shared" si="1"/>
        <v>67</v>
      </c>
      <c r="B67" s="422" t="s">
        <v>929</v>
      </c>
      <c r="C67" s="3" t="str">
        <f t="shared" si="6"/>
        <v>=&gt;</v>
      </c>
      <c r="D67" s="3" t="s">
        <v>8</v>
      </c>
      <c r="E67" s="3"/>
      <c r="F67" s="3"/>
      <c r="G67" s="3"/>
      <c r="H67" s="3"/>
      <c r="I67" s="3"/>
      <c r="J67" s="3"/>
      <c r="K67" s="3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">
        <f t="shared" si="1"/>
        <v>68</v>
      </c>
      <c r="B68" s="396" t="s">
        <v>896</v>
      </c>
      <c r="C68" s="3" t="str">
        <f t="shared" si="6"/>
        <v>=&gt;</v>
      </c>
      <c r="D68" s="3" t="s">
        <v>38</v>
      </c>
      <c r="E68" s="395" t="s">
        <v>28</v>
      </c>
      <c r="F68" s="396" t="s">
        <v>896</v>
      </c>
      <c r="G68" s="3"/>
      <c r="H68" s="3"/>
      <c r="I68" s="3"/>
      <c r="J68" s="3"/>
      <c r="K68" s="3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">
        <f t="shared" si="1"/>
        <v>69</v>
      </c>
      <c r="B69" s="396" t="s">
        <v>896</v>
      </c>
      <c r="C69" s="3" t="str">
        <f t="shared" si="6"/>
        <v>=&gt;</v>
      </c>
      <c r="D69" s="3" t="s">
        <v>8</v>
      </c>
      <c r="E69" s="3"/>
      <c r="F69" s="3"/>
      <c r="G69" s="3"/>
      <c r="H69" s="3"/>
      <c r="I69" s="3"/>
      <c r="J69" s="3"/>
      <c r="K69" s="3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">
        <f t="shared" si="1"/>
        <v>70</v>
      </c>
      <c r="B70" s="547" t="s">
        <v>1019</v>
      </c>
      <c r="C70" s="3" t="str">
        <f t="shared" si="6"/>
        <v>=&gt;</v>
      </c>
      <c r="D70" s="548" t="s">
        <v>1026</v>
      </c>
      <c r="E70" s="533" t="s">
        <v>1017</v>
      </c>
      <c r="F70" s="8"/>
      <c r="G70" s="8"/>
      <c r="H70" s="3"/>
      <c r="I70" s="3"/>
      <c r="J70" s="3"/>
      <c r="K70" s="3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">
        <f t="shared" si="1"/>
        <v>71</v>
      </c>
      <c r="B71" s="548" t="s">
        <v>1026</v>
      </c>
      <c r="C71" s="3" t="str">
        <f t="shared" si="6"/>
        <v>=&gt;</v>
      </c>
      <c r="D71" s="428" t="s">
        <v>911</v>
      </c>
      <c r="E71" s="8"/>
      <c r="F71" s="3"/>
      <c r="G71" s="8"/>
      <c r="H71" s="3"/>
      <c r="I71" s="3"/>
      <c r="J71" s="3"/>
      <c r="K71" s="3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">
        <f t="shared" si="1"/>
        <v>72</v>
      </c>
      <c r="B72" s="548" t="s">
        <v>1026</v>
      </c>
      <c r="C72" s="3" t="str">
        <f t="shared" si="6"/>
        <v>=&gt;</v>
      </c>
      <c r="D72" s="428" t="s">
        <v>915</v>
      </c>
      <c r="E72" s="8"/>
      <c r="F72" s="3"/>
      <c r="G72" s="8"/>
      <c r="H72" s="3"/>
      <c r="I72" s="3"/>
      <c r="J72" s="3"/>
      <c r="K72" s="3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">
        <f t="shared" si="1"/>
        <v>73</v>
      </c>
      <c r="B73" s="548" t="s">
        <v>1026</v>
      </c>
      <c r="C73" s="3" t="str">
        <f t="shared" si="6"/>
        <v>=&gt;</v>
      </c>
      <c r="D73" s="428" t="s">
        <v>918</v>
      </c>
      <c r="E73" s="8"/>
      <c r="F73" s="3"/>
      <c r="G73" s="8"/>
      <c r="H73" s="3"/>
      <c r="I73" s="3"/>
      <c r="J73" s="3"/>
      <c r="K73" s="3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">
        <f t="shared" si="1"/>
        <v>74</v>
      </c>
      <c r="B74" s="548" t="s">
        <v>1026</v>
      </c>
      <c r="C74" s="3" t="str">
        <f t="shared" si="6"/>
        <v>=&gt;</v>
      </c>
      <c r="D74" s="428" t="s">
        <v>919</v>
      </c>
      <c r="E74" s="8"/>
      <c r="F74" s="3"/>
      <c r="G74" s="8"/>
      <c r="H74" s="3"/>
      <c r="I74" s="3"/>
      <c r="J74" s="3"/>
      <c r="K74" s="3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">
        <f t="shared" si="1"/>
        <v>75</v>
      </c>
      <c r="B75" s="548" t="s">
        <v>1026</v>
      </c>
      <c r="C75" s="3" t="str">
        <f t="shared" si="6"/>
        <v>=&gt;</v>
      </c>
      <c r="D75" s="428" t="s">
        <v>867</v>
      </c>
      <c r="E75" s="8"/>
      <c r="F75" s="3"/>
      <c r="G75" s="8"/>
      <c r="H75" s="3"/>
      <c r="I75" s="3"/>
      <c r="J75" s="3"/>
      <c r="K75" s="3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">
        <f t="shared" si="1"/>
        <v>76</v>
      </c>
      <c r="B76" s="548" t="s">
        <v>1026</v>
      </c>
      <c r="C76" s="3" t="str">
        <f t="shared" si="6"/>
        <v>=&gt;</v>
      </c>
      <c r="D76" s="428" t="s">
        <v>908</v>
      </c>
      <c r="E76" s="8"/>
      <c r="F76" s="3"/>
      <c r="G76" s="8"/>
      <c r="H76" s="3"/>
      <c r="I76" s="3"/>
      <c r="J76" s="3"/>
      <c r="K76" s="3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">
        <f t="shared" si="1"/>
        <v>77</v>
      </c>
      <c r="B77" s="548" t="s">
        <v>1026</v>
      </c>
      <c r="C77" s="3" t="str">
        <f t="shared" si="6"/>
        <v>=&gt;</v>
      </c>
      <c r="D77" s="428" t="s">
        <v>133</v>
      </c>
      <c r="E77" s="8"/>
      <c r="F77" s="3"/>
      <c r="G77" s="8"/>
      <c r="H77" s="3"/>
      <c r="I77" s="3"/>
      <c r="J77" s="3"/>
      <c r="K77" s="3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">
        <f t="shared" si="1"/>
        <v>78</v>
      </c>
      <c r="B78" s="548" t="s">
        <v>1026</v>
      </c>
      <c r="C78" s="3" t="str">
        <f t="shared" si="6"/>
        <v>=&gt;</v>
      </c>
      <c r="D78" s="428" t="s">
        <v>906</v>
      </c>
      <c r="E78" s="8"/>
      <c r="F78" s="3"/>
      <c r="G78" s="8"/>
      <c r="H78" s="3"/>
      <c r="I78" s="3"/>
      <c r="J78" s="3"/>
      <c r="K78" s="3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">
        <f t="shared" si="1"/>
        <v>79</v>
      </c>
      <c r="B79" s="548" t="s">
        <v>1026</v>
      </c>
      <c r="C79" s="3" t="str">
        <f t="shared" si="6"/>
        <v>=&gt;</v>
      </c>
      <c r="D79" s="428" t="s">
        <v>914</v>
      </c>
      <c r="E79" s="8"/>
      <c r="F79" s="3"/>
      <c r="G79" s="8"/>
      <c r="H79" s="3"/>
      <c r="I79" s="3"/>
      <c r="J79" s="3"/>
      <c r="K79" s="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">
        <f t="shared" si="1"/>
        <v>80</v>
      </c>
      <c r="B80" s="548" t="s">
        <v>1026</v>
      </c>
      <c r="C80" s="3" t="str">
        <f t="shared" si="6"/>
        <v>=&gt;</v>
      </c>
      <c r="D80" s="428" t="s">
        <v>913</v>
      </c>
      <c r="E80" s="8"/>
      <c r="F80" s="3"/>
      <c r="G80" s="8"/>
      <c r="H80" s="3"/>
      <c r="I80" s="3"/>
      <c r="J80" s="3"/>
      <c r="K80" s="3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">
        <f t="shared" si="1"/>
        <v>81</v>
      </c>
      <c r="B81" s="548" t="s">
        <v>1026</v>
      </c>
      <c r="C81" s="3" t="str">
        <f t="shared" si="6"/>
        <v>=&gt;</v>
      </c>
      <c r="D81" s="428" t="s">
        <v>866</v>
      </c>
      <c r="E81" s="8"/>
      <c r="F81" s="3"/>
      <c r="G81" s="8"/>
      <c r="H81" s="3"/>
      <c r="I81" s="3"/>
      <c r="J81" s="3"/>
      <c r="K81" s="3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">
        <f t="shared" si="1"/>
        <v>82</v>
      </c>
      <c r="B82" s="548" t="s">
        <v>1026</v>
      </c>
      <c r="C82" s="3" t="str">
        <f t="shared" si="6"/>
        <v>=&gt;</v>
      </c>
      <c r="D82" s="428" t="s">
        <v>864</v>
      </c>
      <c r="E82" s="8"/>
      <c r="F82" s="3"/>
      <c r="G82" s="8"/>
      <c r="H82" s="3"/>
      <c r="I82" s="3"/>
      <c r="J82" s="3"/>
      <c r="K82" s="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">
        <f t="shared" si="1"/>
        <v>83</v>
      </c>
      <c r="B83" s="548" t="s">
        <v>1026</v>
      </c>
      <c r="C83" s="3" t="str">
        <f t="shared" si="6"/>
        <v>=&gt;</v>
      </c>
      <c r="D83" s="428" t="s">
        <v>912</v>
      </c>
      <c r="E83" s="8"/>
      <c r="F83" s="3"/>
      <c r="G83" s="8"/>
      <c r="H83" s="3"/>
      <c r="I83" s="3"/>
      <c r="J83" s="3"/>
      <c r="K83" s="3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">
        <f t="shared" si="1"/>
        <v>84</v>
      </c>
      <c r="B84" s="548" t="s">
        <v>1026</v>
      </c>
      <c r="C84" s="3" t="str">
        <f t="shared" si="6"/>
        <v>=&gt;</v>
      </c>
      <c r="D84" s="428" t="s">
        <v>134</v>
      </c>
      <c r="E84" s="8"/>
      <c r="F84" s="3"/>
      <c r="G84" s="8"/>
      <c r="H84" s="3"/>
      <c r="I84" s="3"/>
      <c r="J84" s="3"/>
      <c r="K84" s="3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">
        <f t="shared" si="1"/>
        <v>85</v>
      </c>
      <c r="B85" s="548" t="s">
        <v>1026</v>
      </c>
      <c r="C85" s="3" t="str">
        <f t="shared" si="6"/>
        <v>=&gt;</v>
      </c>
      <c r="D85" s="428" t="s">
        <v>917</v>
      </c>
      <c r="E85" s="8"/>
      <c r="F85" s="3"/>
      <c r="G85" s="8"/>
      <c r="H85" s="3"/>
      <c r="I85" s="3"/>
      <c r="J85" s="3"/>
      <c r="K85" s="3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">
        <f t="shared" si="1"/>
        <v>86</v>
      </c>
      <c r="B86" s="548" t="s">
        <v>1026</v>
      </c>
      <c r="C86" s="3" t="str">
        <f t="shared" si="6"/>
        <v>=&gt;</v>
      </c>
      <c r="D86" s="428" t="s">
        <v>921</v>
      </c>
      <c r="E86" s="8"/>
      <c r="F86" s="3"/>
      <c r="G86" s="8"/>
      <c r="H86" s="3"/>
      <c r="I86" s="3"/>
      <c r="J86" s="3"/>
      <c r="K86" s="3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">
        <f t="shared" si="1"/>
        <v>87</v>
      </c>
      <c r="B87" s="548" t="s">
        <v>1026</v>
      </c>
      <c r="C87" s="3" t="str">
        <f t="shared" si="6"/>
        <v>=&gt;</v>
      </c>
      <c r="D87" s="428" t="s">
        <v>862</v>
      </c>
      <c r="E87" s="8"/>
      <c r="F87" s="3"/>
      <c r="G87" s="8"/>
      <c r="H87" s="3"/>
      <c r="I87" s="3"/>
      <c r="J87" s="3"/>
      <c r="K87" s="3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">
        <f t="shared" si="1"/>
        <v>88</v>
      </c>
      <c r="B88" s="548" t="s">
        <v>1026</v>
      </c>
      <c r="C88" s="3" t="str">
        <f t="shared" si="6"/>
        <v>=&gt;</v>
      </c>
      <c r="D88" s="428" t="s">
        <v>907</v>
      </c>
      <c r="E88" s="8"/>
      <c r="F88" s="3"/>
      <c r="G88" s="8"/>
      <c r="H88" s="3"/>
      <c r="I88" s="3"/>
      <c r="J88" s="3"/>
      <c r="K88" s="3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">
        <f t="shared" si="1"/>
        <v>89</v>
      </c>
      <c r="B89" s="533" t="s">
        <v>1017</v>
      </c>
      <c r="C89" s="3" t="str">
        <f t="shared" si="6"/>
        <v>=&gt;</v>
      </c>
      <c r="D89" s="546" t="s">
        <v>1025</v>
      </c>
      <c r="E89" s="393" t="s">
        <v>894</v>
      </c>
      <c r="F89" s="3"/>
      <c r="G89" s="8"/>
      <c r="H89" s="3"/>
      <c r="I89" s="3"/>
      <c r="J89" s="3"/>
      <c r="K89" s="3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">
        <f t="shared" si="1"/>
        <v>90</v>
      </c>
      <c r="B90" s="546" t="s">
        <v>1025</v>
      </c>
      <c r="C90" s="3" t="str">
        <f t="shared" si="6"/>
        <v>=&gt;</v>
      </c>
      <c r="D90" s="3" t="s">
        <v>62</v>
      </c>
      <c r="E90" s="394" t="s">
        <v>895</v>
      </c>
      <c r="F90" s="3" t="s">
        <v>64</v>
      </c>
      <c r="G90" s="8"/>
      <c r="H90" s="3"/>
      <c r="I90" s="3"/>
      <c r="J90" s="3"/>
      <c r="K90" s="3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">
        <f t="shared" si="1"/>
        <v>91</v>
      </c>
      <c r="B91" s="462" t="s">
        <v>962</v>
      </c>
      <c r="C91" s="3" t="str">
        <f t="shared" si="6"/>
        <v>=&gt;</v>
      </c>
      <c r="D91" s="3" t="s">
        <v>30</v>
      </c>
      <c r="E91" s="3" t="s">
        <v>32</v>
      </c>
      <c r="F91" s="464" t="s">
        <v>964</v>
      </c>
      <c r="G91" s="3"/>
      <c r="H91" s="3"/>
      <c r="I91" s="3"/>
      <c r="J91" s="3"/>
      <c r="K91" s="3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">
        <f t="shared" si="1"/>
        <v>92</v>
      </c>
      <c r="B92" s="464" t="s">
        <v>964</v>
      </c>
      <c r="C92" s="3" t="str">
        <f t="shared" si="6"/>
        <v>=&gt;</v>
      </c>
      <c r="D92" s="462" t="s">
        <v>962</v>
      </c>
      <c r="E92" s="3"/>
      <c r="F92" s="3"/>
      <c r="G92" s="3"/>
      <c r="H92" s="3"/>
      <c r="I92" s="3"/>
      <c r="J92" s="3"/>
      <c r="K92" s="3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">
        <f t="shared" si="1"/>
        <v>93</v>
      </c>
      <c r="B93" s="464" t="s">
        <v>964</v>
      </c>
      <c r="C93" s="3" t="str">
        <f t="shared" si="6"/>
        <v>=&gt;</v>
      </c>
      <c r="D93" s="3" t="s">
        <v>8</v>
      </c>
      <c r="E93" s="3"/>
      <c r="F93" s="3"/>
      <c r="G93" s="3"/>
      <c r="H93" s="8"/>
      <c r="I93" s="3"/>
      <c r="J93" s="3"/>
      <c r="K93" s="3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">
        <f t="shared" si="1"/>
        <v>94</v>
      </c>
      <c r="B94" s="463" t="s">
        <v>963</v>
      </c>
      <c r="C94" s="3" t="str">
        <f t="shared" si="6"/>
        <v>=&gt;</v>
      </c>
      <c r="D94" s="3" t="s">
        <v>14</v>
      </c>
      <c r="E94" s="653" t="s">
        <v>1129</v>
      </c>
      <c r="F94" s="466" t="s">
        <v>966</v>
      </c>
      <c r="G94" s="3"/>
      <c r="H94" s="3"/>
      <c r="I94" s="3"/>
      <c r="J94" s="3"/>
      <c r="K94" s="3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">
        <f t="shared" si="1"/>
        <v>95</v>
      </c>
      <c r="B95" s="653" t="s">
        <v>1129</v>
      </c>
      <c r="C95" s="3" t="str">
        <f t="shared" si="6"/>
        <v>=&gt;</v>
      </c>
      <c r="D95" s="3" t="str">
        <f>"="</f>
        <v>=</v>
      </c>
      <c r="E95" s="395" t="s">
        <v>28</v>
      </c>
      <c r="F95" s="3"/>
      <c r="G95" s="3"/>
      <c r="H95" s="3"/>
      <c r="I95" s="3"/>
      <c r="J95" s="3"/>
      <c r="K95" s="3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">
        <f t="shared" si="1"/>
        <v>96</v>
      </c>
      <c r="B96" s="653" t="s">
        <v>1129</v>
      </c>
      <c r="C96" s="3" t="str">
        <f t="shared" si="6"/>
        <v>=&gt;</v>
      </c>
      <c r="D96" s="3" t="s">
        <v>8</v>
      </c>
      <c r="E96" s="3"/>
      <c r="F96" s="3"/>
      <c r="G96" s="3"/>
      <c r="H96" s="3"/>
      <c r="I96" s="3"/>
      <c r="J96" s="3"/>
      <c r="K96" s="3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">
        <f t="shared" si="1"/>
        <v>97</v>
      </c>
      <c r="B97" s="466" t="s">
        <v>966</v>
      </c>
      <c r="C97" s="3" t="str">
        <f t="shared" si="6"/>
        <v>=&gt;</v>
      </c>
      <c r="D97" s="3" t="s">
        <v>38</v>
      </c>
      <c r="E97" s="463" t="s">
        <v>963</v>
      </c>
      <c r="F97" s="3"/>
      <c r="G97" s="3"/>
      <c r="H97" s="3"/>
      <c r="I97" s="3"/>
      <c r="J97" s="3"/>
      <c r="K97" s="3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">
        <f t="shared" si="1"/>
        <v>98</v>
      </c>
      <c r="B98" s="466" t="s">
        <v>966</v>
      </c>
      <c r="C98" s="3" t="str">
        <f t="shared" si="6"/>
        <v>=&gt;</v>
      </c>
      <c r="D98" s="3" t="s">
        <v>8</v>
      </c>
      <c r="E98" s="3"/>
      <c r="F98" s="3"/>
      <c r="G98" s="3"/>
      <c r="H98" s="3"/>
      <c r="I98" s="3"/>
      <c r="J98" s="3"/>
      <c r="K98" s="3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">
        <f t="shared" si="1"/>
        <v>99</v>
      </c>
      <c r="B99" s="348" t="s">
        <v>848</v>
      </c>
      <c r="C99" s="3" t="str">
        <f t="shared" si="6"/>
        <v>=&gt;</v>
      </c>
      <c r="D99" s="3" t="s">
        <v>999</v>
      </c>
      <c r="E99" s="3" t="s">
        <v>850</v>
      </c>
      <c r="F99" s="3" t="s">
        <v>14</v>
      </c>
      <c r="G99" s="3" t="str">
        <f>"="</f>
        <v>=</v>
      </c>
      <c r="H99" s="3" t="s">
        <v>30</v>
      </c>
      <c r="I99" s="509" t="s">
        <v>1000</v>
      </c>
      <c r="J99" s="3" t="s">
        <v>32</v>
      </c>
      <c r="K99" s="3" t="s">
        <v>6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">
        <f t="shared" si="1"/>
        <v>100</v>
      </c>
      <c r="B100" s="509" t="s">
        <v>1000</v>
      </c>
      <c r="C100" s="3" t="str">
        <f t="shared" si="6"/>
        <v>=&gt;</v>
      </c>
      <c r="D100" s="510" t="s">
        <v>1001</v>
      </c>
      <c r="E100" s="3" t="s">
        <v>6</v>
      </c>
      <c r="F100" s="511" t="s">
        <v>1002</v>
      </c>
      <c r="G100" s="8"/>
      <c r="H100" s="8"/>
      <c r="I100" s="8"/>
      <c r="J100" s="3"/>
      <c r="K100" s="3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">
        <f t="shared" si="1"/>
        <v>101</v>
      </c>
      <c r="B101" s="510" t="s">
        <v>1001</v>
      </c>
      <c r="C101" s="3" t="str">
        <f t="shared" si="6"/>
        <v>=&gt;</v>
      </c>
      <c r="D101" s="512" t="s">
        <v>1003</v>
      </c>
      <c r="E101" s="3" t="s">
        <v>850</v>
      </c>
      <c r="F101" s="3" t="s">
        <v>14</v>
      </c>
      <c r="G101" s="8"/>
      <c r="H101" s="8"/>
      <c r="I101" s="8"/>
      <c r="J101" s="3"/>
      <c r="K101" s="3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">
        <f t="shared" si="1"/>
        <v>102</v>
      </c>
      <c r="B102" s="512" t="s">
        <v>1003</v>
      </c>
      <c r="C102" s="3" t="str">
        <f t="shared" si="6"/>
        <v>=&gt;</v>
      </c>
      <c r="D102" s="3" t="s">
        <v>840</v>
      </c>
      <c r="E102" s="464" t="s">
        <v>964</v>
      </c>
      <c r="F102" s="8"/>
      <c r="G102" s="8"/>
      <c r="H102" s="8"/>
      <c r="I102" s="8"/>
      <c r="J102" s="3"/>
      <c r="K102" s="3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">
        <f t="shared" si="1"/>
        <v>103</v>
      </c>
      <c r="B103" s="512" t="s">
        <v>1003</v>
      </c>
      <c r="C103" s="3" t="str">
        <f t="shared" si="6"/>
        <v>=&gt;</v>
      </c>
      <c r="D103" s="3" t="s">
        <v>844</v>
      </c>
      <c r="E103" s="464" t="s">
        <v>964</v>
      </c>
      <c r="F103" s="3"/>
      <c r="G103" s="3"/>
      <c r="H103" s="3"/>
      <c r="I103" s="3"/>
      <c r="J103" s="3"/>
      <c r="K103" s="3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">
        <f t="shared" si="1"/>
        <v>104</v>
      </c>
      <c r="B104" s="512" t="s">
        <v>1003</v>
      </c>
      <c r="C104" s="3" t="str">
        <f t="shared" si="6"/>
        <v>=&gt;</v>
      </c>
      <c r="D104" s="3" t="s">
        <v>846</v>
      </c>
      <c r="E104" s="464" t="s">
        <v>964</v>
      </c>
      <c r="F104" s="3"/>
      <c r="G104" s="3"/>
      <c r="H104" s="3"/>
      <c r="I104" s="3"/>
      <c r="J104" s="3"/>
      <c r="K104" s="3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">
        <f t="shared" si="1"/>
        <v>105</v>
      </c>
      <c r="B105" s="512" t="s">
        <v>1003</v>
      </c>
      <c r="C105" s="3" t="str">
        <f t="shared" si="6"/>
        <v>=&gt;</v>
      </c>
      <c r="D105" s="3" t="s">
        <v>842</v>
      </c>
      <c r="E105" s="464" t="s">
        <v>964</v>
      </c>
      <c r="F105" s="3"/>
      <c r="G105" s="3"/>
      <c r="H105" s="3"/>
      <c r="I105" s="3"/>
      <c r="J105" s="3"/>
      <c r="K105" s="3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">
        <f t="shared" si="1"/>
        <v>106</v>
      </c>
      <c r="B106" s="512" t="s">
        <v>1003</v>
      </c>
      <c r="C106" s="3" t="str">
        <f t="shared" si="6"/>
        <v>=&gt;</v>
      </c>
      <c r="D106" s="3" t="s">
        <v>14</v>
      </c>
      <c r="E106" s="464" t="s">
        <v>964</v>
      </c>
      <c r="F106" s="3"/>
      <c r="G106" s="3"/>
      <c r="H106" s="3"/>
      <c r="I106" s="3"/>
      <c r="J106" s="3"/>
      <c r="K106" s="3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">
        <f t="shared" si="1"/>
        <v>107</v>
      </c>
      <c r="B107" s="511" t="s">
        <v>1002</v>
      </c>
      <c r="C107" s="3" t="str">
        <f t="shared" si="6"/>
        <v>=&gt;</v>
      </c>
      <c r="D107" s="509" t="s">
        <v>1000</v>
      </c>
      <c r="E107" s="3"/>
      <c r="F107" s="3"/>
      <c r="G107" s="3"/>
      <c r="H107" s="3"/>
      <c r="I107" s="3"/>
      <c r="J107" s="3"/>
      <c r="K107" s="3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">
        <f t="shared" si="1"/>
        <v>108</v>
      </c>
      <c r="B108" s="511" t="s">
        <v>1002</v>
      </c>
      <c r="C108" s="3" t="str">
        <f t="shared" si="6"/>
        <v>=&gt;</v>
      </c>
      <c r="D108" s="3" t="s">
        <v>8</v>
      </c>
      <c r="E108" s="3"/>
      <c r="F108" s="3"/>
      <c r="G108" s="3"/>
      <c r="H108" s="8"/>
      <c r="I108" s="3"/>
      <c r="J108" s="3"/>
      <c r="K108" s="3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">
        <f t="shared" si="1"/>
        <v>109</v>
      </c>
      <c r="B109" s="349" t="s">
        <v>849</v>
      </c>
      <c r="C109" s="3" t="str">
        <f t="shared" si="6"/>
        <v>=&gt;</v>
      </c>
      <c r="D109" s="464" t="s">
        <v>964</v>
      </c>
      <c r="E109" s="3" t="s">
        <v>850</v>
      </c>
      <c r="F109" s="513" t="s">
        <v>1004</v>
      </c>
      <c r="G109" s="3" t="s">
        <v>6</v>
      </c>
      <c r="H109" s="8"/>
      <c r="I109" s="3"/>
      <c r="J109" s="3"/>
      <c r="K109" s="3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">
        <f t="shared" si="1"/>
        <v>110</v>
      </c>
      <c r="B110" s="513" t="s">
        <v>1004</v>
      </c>
      <c r="C110" s="3" t="str">
        <f t="shared" si="6"/>
        <v>=&gt;</v>
      </c>
      <c r="D110" s="3" t="s">
        <v>14</v>
      </c>
      <c r="E110" s="653" t="s">
        <v>1129</v>
      </c>
      <c r="F110" s="516" t="s">
        <v>1006</v>
      </c>
      <c r="G110" s="3"/>
      <c r="H110" s="3"/>
      <c r="I110" s="3"/>
      <c r="J110" s="3"/>
      <c r="K110" s="3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">
        <f t="shared" si="1"/>
        <v>111</v>
      </c>
      <c r="B111" s="516" t="s">
        <v>1006</v>
      </c>
      <c r="C111" s="3" t="str">
        <f t="shared" si="6"/>
        <v>=&gt;</v>
      </c>
      <c r="D111" s="3" t="s">
        <v>38</v>
      </c>
      <c r="E111" s="513" t="s">
        <v>1004</v>
      </c>
      <c r="F111" s="3"/>
      <c r="G111" s="3"/>
      <c r="H111" s="3"/>
      <c r="I111" s="3"/>
      <c r="J111" s="3"/>
      <c r="K111" s="3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">
        <f t="shared" si="1"/>
        <v>112</v>
      </c>
      <c r="B112" s="516" t="s">
        <v>1006</v>
      </c>
      <c r="C112" s="3" t="str">
        <f t="shared" si="6"/>
        <v>=&gt;</v>
      </c>
      <c r="D112" s="3" t="s">
        <v>8</v>
      </c>
      <c r="E112" s="3"/>
      <c r="F112" s="3"/>
      <c r="G112" s="3"/>
      <c r="H112" s="3"/>
      <c r="I112" s="3"/>
      <c r="J112" s="3"/>
      <c r="K112" s="3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">
        <f t="shared" si="1"/>
        <v>113</v>
      </c>
      <c r="B113" s="342" t="s">
        <v>837</v>
      </c>
      <c r="C113" s="3" t="str">
        <f t="shared" si="6"/>
        <v>=&gt;</v>
      </c>
      <c r="D113" s="3" t="s">
        <v>1008</v>
      </c>
      <c r="E113" s="520" t="s">
        <v>1009</v>
      </c>
      <c r="F113" s="3" t="s">
        <v>62</v>
      </c>
      <c r="G113" s="521" t="s">
        <v>1010</v>
      </c>
      <c r="H113" s="3" t="s">
        <v>64</v>
      </c>
      <c r="I113" s="651" t="s">
        <v>839</v>
      </c>
      <c r="J113" s="342" t="s">
        <v>837</v>
      </c>
      <c r="K113" s="3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">
        <f t="shared" si="1"/>
        <v>114</v>
      </c>
      <c r="B114" s="342" t="s">
        <v>837</v>
      </c>
      <c r="C114" s="3" t="str">
        <f t="shared" si="6"/>
        <v>=&gt;</v>
      </c>
      <c r="D114" s="3" t="s">
        <v>8</v>
      </c>
      <c r="E114" s="3"/>
      <c r="F114" s="3"/>
      <c r="G114" s="3"/>
      <c r="H114" s="8"/>
      <c r="I114" s="3"/>
      <c r="J114" s="3"/>
      <c r="K114" s="8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">
        <f t="shared" si="1"/>
        <v>115</v>
      </c>
      <c r="B115" s="520" t="s">
        <v>1009</v>
      </c>
      <c r="C115" s="3" t="str">
        <f t="shared" si="6"/>
        <v>=&gt;</v>
      </c>
      <c r="D115" s="510" t="s">
        <v>1001</v>
      </c>
      <c r="E115" s="3"/>
      <c r="F115" s="3"/>
      <c r="G115" s="3"/>
      <c r="H115" s="3"/>
      <c r="I115" s="3"/>
      <c r="J115" s="3"/>
      <c r="K115" s="3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">
        <f t="shared" si="1"/>
        <v>116</v>
      </c>
      <c r="B116" s="521" t="s">
        <v>1010</v>
      </c>
      <c r="C116" s="3" t="str">
        <f t="shared" si="6"/>
        <v>=&gt;</v>
      </c>
      <c r="D116" s="510" t="s">
        <v>1001</v>
      </c>
      <c r="E116" s="522" t="s">
        <v>1011</v>
      </c>
      <c r="F116" s="3"/>
      <c r="G116" s="3"/>
      <c r="H116" s="3"/>
      <c r="I116" s="3"/>
      <c r="J116" s="3"/>
      <c r="K116" s="3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">
        <f t="shared" si="1"/>
        <v>117</v>
      </c>
      <c r="B117" s="521" t="s">
        <v>1010</v>
      </c>
      <c r="C117" s="3" t="str">
        <f t="shared" si="6"/>
        <v>=&gt;</v>
      </c>
      <c r="D117" s="3" t="s">
        <v>8</v>
      </c>
      <c r="E117" s="3"/>
      <c r="F117" s="3"/>
      <c r="G117" s="3"/>
      <c r="H117" s="3"/>
      <c r="I117" s="3"/>
      <c r="J117" s="3"/>
      <c r="K117" s="3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">
        <f t="shared" si="1"/>
        <v>118</v>
      </c>
      <c r="B118" s="522" t="s">
        <v>1011</v>
      </c>
      <c r="C118" s="3" t="str">
        <f t="shared" si="6"/>
        <v>=&gt;</v>
      </c>
      <c r="D118" s="3" t="s">
        <v>38</v>
      </c>
      <c r="E118" s="510" t="s">
        <v>1001</v>
      </c>
      <c r="F118" s="522" t="s">
        <v>1011</v>
      </c>
      <c r="G118" s="3"/>
      <c r="H118" s="3"/>
      <c r="I118" s="3"/>
      <c r="J118" s="3"/>
      <c r="K118" s="3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">
        <f t="shared" si="1"/>
        <v>119</v>
      </c>
      <c r="B119" s="522" t="s">
        <v>1011</v>
      </c>
      <c r="C119" s="3" t="str">
        <f t="shared" si="6"/>
        <v>=&gt;</v>
      </c>
      <c r="D119" s="3" t="s">
        <v>8</v>
      </c>
      <c r="E119" s="3"/>
      <c r="F119" s="3"/>
      <c r="G119" s="3"/>
      <c r="H119" s="3"/>
      <c r="I119" s="3"/>
      <c r="J119" s="3"/>
      <c r="K119" s="3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">
        <f t="shared" si="1"/>
        <v>120</v>
      </c>
      <c r="B120" s="651" t="s">
        <v>839</v>
      </c>
      <c r="C120" s="3" t="str">
        <f t="shared" si="6"/>
        <v>=&gt;</v>
      </c>
      <c r="D120" s="3" t="s">
        <v>17</v>
      </c>
      <c r="E120" s="523" t="s">
        <v>1012</v>
      </c>
      <c r="F120" s="524" t="s">
        <v>1013</v>
      </c>
      <c r="G120" s="3" t="s">
        <v>19</v>
      </c>
      <c r="H120" s="3"/>
      <c r="I120" s="3"/>
      <c r="J120" s="8"/>
      <c r="K120" s="8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">
        <f t="shared" si="1"/>
        <v>121</v>
      </c>
      <c r="B121" s="523" t="s">
        <v>1012</v>
      </c>
      <c r="C121" s="3" t="str">
        <f t="shared" si="6"/>
        <v>=&gt;</v>
      </c>
      <c r="D121" s="652" t="s">
        <v>1128</v>
      </c>
      <c r="E121" s="523" t="s">
        <v>1012</v>
      </c>
      <c r="F121" s="3"/>
      <c r="G121" s="3"/>
      <c r="H121" s="3"/>
      <c r="I121" s="3"/>
      <c r="J121" s="3"/>
      <c r="K121" s="3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">
        <f t="shared" si="1"/>
        <v>122</v>
      </c>
      <c r="B122" s="523" t="s">
        <v>1012</v>
      </c>
      <c r="C122" s="3" t="str">
        <f t="shared" si="6"/>
        <v>=&gt;</v>
      </c>
      <c r="D122" s="3" t="s">
        <v>14</v>
      </c>
      <c r="E122" s="530" t="s">
        <v>1014</v>
      </c>
      <c r="F122" s="8"/>
      <c r="G122" s="3"/>
      <c r="H122" s="3"/>
      <c r="I122" s="3"/>
      <c r="J122" s="3"/>
      <c r="K122" s="3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">
        <f t="shared" si="1"/>
        <v>123</v>
      </c>
      <c r="B123" s="523" t="s">
        <v>1012</v>
      </c>
      <c r="C123" s="3" t="str">
        <f t="shared" si="6"/>
        <v>=&gt;</v>
      </c>
      <c r="D123" s="3" t="s">
        <v>8</v>
      </c>
      <c r="E123" s="3"/>
      <c r="F123" s="3"/>
      <c r="G123" s="3"/>
      <c r="H123" s="3"/>
      <c r="I123" s="3"/>
      <c r="J123" s="3"/>
      <c r="K123" s="3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">
        <f t="shared" si="1"/>
        <v>124</v>
      </c>
      <c r="B124" s="524" t="s">
        <v>1013</v>
      </c>
      <c r="C124" s="3" t="str">
        <f t="shared" si="6"/>
        <v>=&gt;</v>
      </c>
      <c r="D124" s="543" t="s">
        <v>1018</v>
      </c>
      <c r="E124" s="524" t="s">
        <v>1013</v>
      </c>
      <c r="F124" s="8"/>
      <c r="G124" s="8"/>
      <c r="H124" s="8"/>
      <c r="I124" s="3"/>
      <c r="J124" s="3"/>
      <c r="K124" s="8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">
        <f t="shared" si="1"/>
        <v>125</v>
      </c>
      <c r="B125" s="524" t="s">
        <v>1013</v>
      </c>
      <c r="C125" s="3" t="str">
        <f t="shared" si="6"/>
        <v>=&gt;</v>
      </c>
      <c r="D125" s="654" t="s">
        <v>1019</v>
      </c>
      <c r="E125" s="3" t="s">
        <v>6</v>
      </c>
      <c r="F125" s="524" t="s">
        <v>1013</v>
      </c>
      <c r="G125" s="8"/>
      <c r="H125" s="8"/>
      <c r="I125" s="3"/>
      <c r="J125" s="3"/>
      <c r="K125" s="8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">
        <f t="shared" si="1"/>
        <v>126</v>
      </c>
      <c r="B126" s="524" t="s">
        <v>1013</v>
      </c>
      <c r="C126" s="3" t="str">
        <f t="shared" si="6"/>
        <v>=&gt;</v>
      </c>
      <c r="D126" s="549" t="s">
        <v>1020</v>
      </c>
      <c r="E126" s="524" t="s">
        <v>1013</v>
      </c>
      <c r="F126" s="3"/>
      <c r="G126" s="3"/>
      <c r="H126" s="3"/>
      <c r="I126" s="3"/>
      <c r="J126" s="3"/>
      <c r="K126" s="8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">
        <f t="shared" si="1"/>
        <v>127</v>
      </c>
      <c r="B127" s="524" t="s">
        <v>1013</v>
      </c>
      <c r="C127" s="3" t="str">
        <f t="shared" si="6"/>
        <v>=&gt;</v>
      </c>
      <c r="D127" s="569" t="s">
        <v>1021</v>
      </c>
      <c r="E127" s="524" t="s">
        <v>1013</v>
      </c>
      <c r="F127" s="3"/>
      <c r="G127" s="3"/>
      <c r="H127" s="3"/>
      <c r="I127" s="3"/>
      <c r="J127" s="3"/>
      <c r="K127" s="8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">
        <f t="shared" si="1"/>
        <v>128</v>
      </c>
      <c r="B128" s="524" t="s">
        <v>1013</v>
      </c>
      <c r="C128" s="3" t="str">
        <f t="shared" si="6"/>
        <v>=&gt;</v>
      </c>
      <c r="D128" s="591" t="s">
        <v>1062</v>
      </c>
      <c r="E128" s="524" t="s">
        <v>1013</v>
      </c>
      <c r="F128" s="8"/>
      <c r="G128" s="8"/>
      <c r="H128" s="8"/>
      <c r="I128" s="3"/>
      <c r="J128" s="3"/>
      <c r="K128" s="8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">
        <f t="shared" si="1"/>
        <v>129</v>
      </c>
      <c r="B129" s="524" t="s">
        <v>1013</v>
      </c>
      <c r="C129" s="3" t="str">
        <f t="shared" si="6"/>
        <v>=&gt;</v>
      </c>
      <c r="D129" s="3" t="s">
        <v>8</v>
      </c>
      <c r="E129" s="8"/>
      <c r="F129" s="8"/>
      <c r="G129" s="8"/>
      <c r="H129" s="8"/>
      <c r="I129" s="3"/>
      <c r="J129" s="3"/>
      <c r="K129" s="8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">
        <f t="shared" si="1"/>
        <v>130</v>
      </c>
      <c r="B130" s="530" t="s">
        <v>1014</v>
      </c>
      <c r="C130" s="3" t="str">
        <f t="shared" si="6"/>
        <v>=&gt;</v>
      </c>
      <c r="D130" s="3" t="s">
        <v>850</v>
      </c>
      <c r="E130" s="513" t="s">
        <v>1004</v>
      </c>
      <c r="F130" s="3" t="s">
        <v>6</v>
      </c>
      <c r="G130" s="523" t="s">
        <v>1012</v>
      </c>
      <c r="H130" s="8"/>
      <c r="I130" s="3"/>
      <c r="J130" s="3"/>
      <c r="K130" s="8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">
        <f t="shared" si="1"/>
        <v>131</v>
      </c>
      <c r="B131" s="530" t="s">
        <v>1014</v>
      </c>
      <c r="C131" s="3" t="str">
        <f t="shared" si="6"/>
        <v>=&gt;</v>
      </c>
      <c r="D131" s="3" t="s">
        <v>30</v>
      </c>
      <c r="E131" s="531" t="s">
        <v>1015</v>
      </c>
      <c r="F131" s="8"/>
      <c r="G131" s="8"/>
      <c r="H131" s="8"/>
      <c r="I131" s="3"/>
      <c r="J131" s="3"/>
      <c r="K131" s="8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">
        <f t="shared" si="1"/>
        <v>132</v>
      </c>
      <c r="B132" s="530" t="s">
        <v>1014</v>
      </c>
      <c r="C132" s="3" t="str">
        <f t="shared" si="6"/>
        <v>=&gt;</v>
      </c>
      <c r="D132" s="424" t="s">
        <v>930</v>
      </c>
      <c r="E132" s="532" t="s">
        <v>1016</v>
      </c>
      <c r="F132" s="395" t="s">
        <v>28</v>
      </c>
      <c r="G132" s="3" t="s">
        <v>6</v>
      </c>
      <c r="H132" s="524" t="s">
        <v>1013</v>
      </c>
      <c r="I132" s="3"/>
      <c r="J132" s="3"/>
      <c r="K132" s="8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">
        <f t="shared" si="1"/>
        <v>133</v>
      </c>
      <c r="B133" s="530" t="s">
        <v>1014</v>
      </c>
      <c r="C133" s="3" t="str">
        <f t="shared" si="6"/>
        <v>=&gt;</v>
      </c>
      <c r="D133" s="532" t="s">
        <v>1016</v>
      </c>
      <c r="E133" s="395" t="s">
        <v>28</v>
      </c>
      <c r="F133" s="3" t="s">
        <v>6</v>
      </c>
      <c r="G133" s="524" t="s">
        <v>1013</v>
      </c>
      <c r="H133" s="8"/>
      <c r="I133" s="3"/>
      <c r="J133" s="3"/>
      <c r="K133" s="8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">
        <f t="shared" si="1"/>
        <v>134</v>
      </c>
      <c r="B134" s="530" t="s">
        <v>1014</v>
      </c>
      <c r="C134" s="3" t="str">
        <f t="shared" si="6"/>
        <v>=&gt;</v>
      </c>
      <c r="D134" s="533" t="s">
        <v>1017</v>
      </c>
      <c r="E134" s="8" t="s">
        <v>6</v>
      </c>
      <c r="F134" s="524" t="s">
        <v>1013</v>
      </c>
      <c r="G134" s="8"/>
      <c r="H134" s="8"/>
      <c r="I134" s="3"/>
      <c r="J134" s="3"/>
      <c r="K134" s="8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">
        <f t="shared" si="1"/>
        <v>135</v>
      </c>
      <c r="B135" s="531" t="s">
        <v>1015</v>
      </c>
      <c r="C135" s="3" t="str">
        <f t="shared" si="6"/>
        <v>=&gt;</v>
      </c>
      <c r="D135" s="8" t="s">
        <v>32</v>
      </c>
      <c r="E135" s="464" t="s">
        <v>964</v>
      </c>
      <c r="F135" s="3" t="s">
        <v>850</v>
      </c>
      <c r="G135" s="513" t="s">
        <v>1004</v>
      </c>
      <c r="H135" s="3" t="s">
        <v>6</v>
      </c>
      <c r="I135" s="523" t="s">
        <v>1012</v>
      </c>
      <c r="J135" s="3"/>
      <c r="K135" s="8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">
        <f t="shared" si="1"/>
        <v>136</v>
      </c>
      <c r="B136" s="531" t="s">
        <v>1015</v>
      </c>
      <c r="C136" s="3" t="str">
        <f t="shared" si="6"/>
        <v>=&gt;</v>
      </c>
      <c r="D136" s="603" t="s">
        <v>1085</v>
      </c>
      <c r="E136" s="8" t="s">
        <v>32</v>
      </c>
      <c r="F136" s="535" t="s">
        <v>894</v>
      </c>
      <c r="G136" s="532" t="s">
        <v>1016</v>
      </c>
      <c r="H136" s="395" t="s">
        <v>28</v>
      </c>
      <c r="I136" s="3" t="s">
        <v>6</v>
      </c>
      <c r="J136" s="524" t="s">
        <v>1013</v>
      </c>
      <c r="K136" s="8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">
        <f t="shared" si="1"/>
        <v>137</v>
      </c>
      <c r="B137" s="543" t="s">
        <v>1018</v>
      </c>
      <c r="C137" s="3" t="str">
        <f t="shared" si="6"/>
        <v>=&gt;</v>
      </c>
      <c r="D137" s="3" t="s">
        <v>14</v>
      </c>
      <c r="E137" s="544" t="s">
        <v>1023</v>
      </c>
      <c r="F137" s="524" t="s">
        <v>1013</v>
      </c>
      <c r="G137" s="8"/>
      <c r="H137" s="8"/>
      <c r="I137" s="3"/>
      <c r="J137" s="3"/>
      <c r="K137" s="8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">
        <f t="shared" si="1"/>
        <v>138</v>
      </c>
      <c r="B138" s="544" t="s">
        <v>1023</v>
      </c>
      <c r="C138" s="3" t="str">
        <f t="shared" si="6"/>
        <v>=&gt;</v>
      </c>
      <c r="D138" s="533" t="s">
        <v>1017</v>
      </c>
      <c r="E138" s="8" t="s">
        <v>6</v>
      </c>
      <c r="F138" s="8"/>
      <c r="G138" s="8"/>
      <c r="H138" s="3"/>
      <c r="I138" s="3"/>
      <c r="J138" s="3"/>
      <c r="K138" s="8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">
        <f t="shared" si="1"/>
        <v>139</v>
      </c>
      <c r="B139" s="544" t="s">
        <v>1023</v>
      </c>
      <c r="C139" s="3" t="str">
        <f t="shared" si="6"/>
        <v>=&gt;</v>
      </c>
      <c r="D139" s="545" t="s">
        <v>1024</v>
      </c>
      <c r="E139" s="8"/>
      <c r="F139" s="8"/>
      <c r="G139" s="8"/>
      <c r="H139" s="3"/>
      <c r="I139" s="3"/>
      <c r="J139" s="3"/>
      <c r="K139" s="8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">
        <f t="shared" si="1"/>
        <v>140</v>
      </c>
      <c r="B140" s="545" t="s">
        <v>1024</v>
      </c>
      <c r="C140" s="3" t="str">
        <f t="shared" si="6"/>
        <v>=&gt;</v>
      </c>
      <c r="D140" s="535" t="s">
        <v>894</v>
      </c>
      <c r="E140" s="532" t="s">
        <v>1016</v>
      </c>
      <c r="F140" s="395" t="s">
        <v>28</v>
      </c>
      <c r="G140" s="3" t="s">
        <v>6</v>
      </c>
      <c r="H140" s="8"/>
      <c r="I140" s="3"/>
      <c r="J140" s="3"/>
      <c r="K140" s="8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">
        <f t="shared" si="1"/>
        <v>141</v>
      </c>
      <c r="B141" s="532" t="s">
        <v>1016</v>
      </c>
      <c r="C141" s="3" t="str">
        <f t="shared" si="6"/>
        <v>=&gt;</v>
      </c>
      <c r="D141" s="8" t="str">
        <f>"="</f>
        <v>=</v>
      </c>
      <c r="E141" s="8"/>
      <c r="F141" s="8"/>
      <c r="G141" s="8"/>
      <c r="H141" s="3"/>
      <c r="I141" s="3"/>
      <c r="J141" s="3"/>
      <c r="K141" s="8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">
        <f t="shared" si="1"/>
        <v>142</v>
      </c>
      <c r="B142" s="532" t="s">
        <v>1016</v>
      </c>
      <c r="C142" s="3" t="str">
        <f t="shared" si="6"/>
        <v>=&gt;</v>
      </c>
      <c r="D142" s="8" t="str">
        <f>"+="</f>
        <v>+=</v>
      </c>
      <c r="E142" s="8"/>
      <c r="F142" s="8"/>
      <c r="G142" s="8"/>
      <c r="H142" s="3"/>
      <c r="I142" s="3"/>
      <c r="J142" s="3"/>
      <c r="K142" s="8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">
        <f t="shared" si="1"/>
        <v>143</v>
      </c>
      <c r="B143" s="532" t="s">
        <v>1016</v>
      </c>
      <c r="C143" s="3" t="str">
        <f t="shared" si="6"/>
        <v>=&gt;</v>
      </c>
      <c r="D143" s="8" t="str">
        <f>"-="</f>
        <v>-=</v>
      </c>
      <c r="E143" s="8"/>
      <c r="F143" s="8"/>
      <c r="G143" s="8"/>
      <c r="H143" s="3"/>
      <c r="I143" s="3"/>
      <c r="J143" s="3"/>
      <c r="K143" s="8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">
        <f t="shared" si="1"/>
        <v>144</v>
      </c>
      <c r="B144" s="532" t="s">
        <v>1016</v>
      </c>
      <c r="C144" s="3" t="str">
        <f t="shared" si="6"/>
        <v>=&gt;</v>
      </c>
      <c r="D144" s="8" t="str">
        <f>"*="</f>
        <v>*=</v>
      </c>
      <c r="E144" s="8"/>
      <c r="F144" s="8"/>
      <c r="G144" s="8"/>
      <c r="H144" s="3"/>
      <c r="I144" s="3"/>
      <c r="J144" s="3"/>
      <c r="K144" s="8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">
        <f t="shared" si="1"/>
        <v>145</v>
      </c>
      <c r="B145" s="532" t="s">
        <v>1016</v>
      </c>
      <c r="C145" s="3" t="str">
        <f t="shared" si="6"/>
        <v>=&gt;</v>
      </c>
      <c r="D145" s="8" t="str">
        <f>"/="</f>
        <v>/=</v>
      </c>
      <c r="E145" s="8"/>
      <c r="F145" s="8"/>
      <c r="G145" s="8"/>
      <c r="H145" s="3"/>
      <c r="I145" s="3"/>
      <c r="J145" s="3"/>
      <c r="K145" s="8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">
        <f t="shared" si="1"/>
        <v>146</v>
      </c>
      <c r="B146" s="532" t="s">
        <v>1016</v>
      </c>
      <c r="C146" s="3" t="str">
        <f t="shared" si="6"/>
        <v>=&gt;</v>
      </c>
      <c r="D146" s="8" t="str">
        <f>"%="</f>
        <v>%=</v>
      </c>
      <c r="E146" s="8"/>
      <c r="F146" s="8"/>
      <c r="G146" s="8"/>
      <c r="H146" s="3"/>
      <c r="I146" s="3"/>
      <c r="J146" s="3"/>
      <c r="K146" s="8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">
        <f t="shared" si="1"/>
        <v>147</v>
      </c>
      <c r="B147" s="549" t="s">
        <v>1020</v>
      </c>
      <c r="C147" s="3" t="str">
        <f t="shared" si="6"/>
        <v>=&gt;</v>
      </c>
      <c r="D147" s="550" t="s">
        <v>1027</v>
      </c>
      <c r="E147" s="3"/>
      <c r="F147" s="3"/>
      <c r="G147" s="3"/>
      <c r="H147" s="3"/>
      <c r="I147" s="3"/>
      <c r="J147" s="3"/>
      <c r="K147" s="8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">
        <f t="shared" si="1"/>
        <v>148</v>
      </c>
      <c r="B148" s="549" t="s">
        <v>1020</v>
      </c>
      <c r="C148" s="3" t="str">
        <f t="shared" si="6"/>
        <v>=&gt;</v>
      </c>
      <c r="D148" s="551" t="s">
        <v>1028</v>
      </c>
      <c r="E148" s="3"/>
      <c r="F148" s="3"/>
      <c r="G148" s="3"/>
      <c r="H148" s="3"/>
      <c r="I148" s="3"/>
      <c r="J148" s="3"/>
      <c r="K148" s="8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">
        <f t="shared" si="1"/>
        <v>149</v>
      </c>
      <c r="B149" s="550" t="s">
        <v>1027</v>
      </c>
      <c r="C149" s="3" t="str">
        <f t="shared" si="6"/>
        <v>=&gt;</v>
      </c>
      <c r="D149" s="542" t="s">
        <v>1029</v>
      </c>
      <c r="E149" s="3" t="s">
        <v>62</v>
      </c>
      <c r="F149" s="7" t="s">
        <v>1565</v>
      </c>
      <c r="G149" s="3" t="s">
        <v>64</v>
      </c>
      <c r="H149" s="651" t="s">
        <v>839</v>
      </c>
      <c r="I149" s="553" t="s">
        <v>1030</v>
      </c>
      <c r="J149" s="554" t="s">
        <v>1031</v>
      </c>
      <c r="K149" s="7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">
        <f t="shared" si="1"/>
        <v>150</v>
      </c>
      <c r="B150" s="7" t="s">
        <v>1565</v>
      </c>
      <c r="C150" s="3" t="str">
        <f t="shared" si="6"/>
        <v>=&gt;</v>
      </c>
      <c r="D150" s="649" t="s">
        <v>1566</v>
      </c>
      <c r="E150" s="3"/>
      <c r="F150" s="7"/>
      <c r="G150" s="3"/>
      <c r="H150" s="3"/>
      <c r="I150" s="3"/>
      <c r="J150" s="3"/>
      <c r="K150" s="7"/>
      <c r="L150" s="1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">
        <f t="shared" si="1"/>
        <v>151</v>
      </c>
      <c r="B151" s="649" t="s">
        <v>1566</v>
      </c>
      <c r="C151" s="3" t="str">
        <f t="shared" si="6"/>
        <v>=&gt;</v>
      </c>
      <c r="D151" s="649" t="s">
        <v>1567</v>
      </c>
      <c r="E151" s="649" t="s">
        <v>1568</v>
      </c>
      <c r="F151" s="7"/>
      <c r="G151" s="3"/>
      <c r="H151" s="3"/>
      <c r="I151" s="3"/>
      <c r="J151" s="649"/>
      <c r="K151" s="7"/>
      <c r="L151" s="15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">
        <f t="shared" si="1"/>
        <v>152</v>
      </c>
      <c r="B152" s="649" t="s">
        <v>1567</v>
      </c>
      <c r="C152" s="3" t="str">
        <f t="shared" si="6"/>
        <v>=&gt;</v>
      </c>
      <c r="D152" s="649" t="s">
        <v>1569</v>
      </c>
      <c r="E152" s="7" t="s">
        <v>1570</v>
      </c>
      <c r="F152" s="7"/>
      <c r="G152" s="3"/>
      <c r="H152" s="3"/>
      <c r="I152" s="3"/>
      <c r="J152" s="7"/>
      <c r="K152" s="7"/>
      <c r="L152" s="15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">
        <f t="shared" si="1"/>
        <v>153</v>
      </c>
      <c r="B153" s="649" t="s">
        <v>1568</v>
      </c>
      <c r="C153" s="3" t="str">
        <f t="shared" si="6"/>
        <v>=&gt;</v>
      </c>
      <c r="D153" s="649" t="s">
        <v>937</v>
      </c>
      <c r="E153" s="649" t="s">
        <v>1567</v>
      </c>
      <c r="F153" s="649" t="s">
        <v>1568</v>
      </c>
      <c r="G153" s="3"/>
      <c r="H153" s="3"/>
      <c r="I153" s="3"/>
      <c r="J153" s="649"/>
      <c r="K153" s="649"/>
      <c r="L153" s="15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">
        <f t="shared" si="1"/>
        <v>154</v>
      </c>
      <c r="B154" s="649" t="s">
        <v>1568</v>
      </c>
      <c r="C154" s="3" t="str">
        <f t="shared" si="6"/>
        <v>=&gt;</v>
      </c>
      <c r="D154" s="542" t="s">
        <v>8</v>
      </c>
      <c r="E154" s="3"/>
      <c r="F154" s="7"/>
      <c r="G154" s="3"/>
      <c r="H154" s="3"/>
      <c r="I154" s="3"/>
      <c r="J154" s="649"/>
      <c r="K154" s="649"/>
      <c r="L154" s="15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">
        <f t="shared" si="1"/>
        <v>155</v>
      </c>
      <c r="B155" s="649" t="s">
        <v>1569</v>
      </c>
      <c r="C155" s="3" t="str">
        <f t="shared" si="6"/>
        <v>=&gt;</v>
      </c>
      <c r="D155" s="649" t="s">
        <v>885</v>
      </c>
      <c r="E155" s="649" t="s">
        <v>1569</v>
      </c>
      <c r="F155" s="40"/>
      <c r="G155" s="3"/>
      <c r="H155" s="3"/>
      <c r="I155" s="3"/>
      <c r="J155" s="649"/>
      <c r="K155" s="649"/>
      <c r="L155" s="15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">
        <f t="shared" si="1"/>
        <v>156</v>
      </c>
      <c r="B156" s="649" t="s">
        <v>1569</v>
      </c>
      <c r="C156" s="3" t="str">
        <f t="shared" si="6"/>
        <v>=&gt;</v>
      </c>
      <c r="D156" s="7" t="s">
        <v>1574</v>
      </c>
      <c r="E156" s="649"/>
      <c r="F156" s="40"/>
      <c r="G156" s="3"/>
      <c r="H156" s="3"/>
      <c r="I156" s="3"/>
      <c r="J156" s="3"/>
      <c r="K156" s="7"/>
      <c r="L156" s="1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">
        <f t="shared" si="1"/>
        <v>157</v>
      </c>
      <c r="B157" s="7" t="s">
        <v>1570</v>
      </c>
      <c r="C157" s="3" t="str">
        <f t="shared" si="6"/>
        <v>=&gt;</v>
      </c>
      <c r="D157" s="649" t="s">
        <v>936</v>
      </c>
      <c r="E157" s="1048" t="s">
        <v>1569</v>
      </c>
      <c r="F157" s="7" t="s">
        <v>1570</v>
      </c>
      <c r="G157" s="3"/>
      <c r="H157" s="3"/>
      <c r="I157" s="3"/>
      <c r="J157" s="649"/>
      <c r="K157" s="7"/>
      <c r="L157" s="1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">
        <f t="shared" si="1"/>
        <v>158</v>
      </c>
      <c r="B158" s="7" t="s">
        <v>1570</v>
      </c>
      <c r="C158" s="3" t="str">
        <f t="shared" si="6"/>
        <v>=&gt;</v>
      </c>
      <c r="D158" s="542" t="s">
        <v>8</v>
      </c>
      <c r="E158" s="649"/>
      <c r="F158" s="7"/>
      <c r="G158" s="3"/>
      <c r="H158" s="3"/>
      <c r="I158" s="3"/>
      <c r="J158" s="649"/>
      <c r="K158" s="7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">
        <f t="shared" si="1"/>
        <v>159</v>
      </c>
      <c r="B159" s="7" t="s">
        <v>1574</v>
      </c>
      <c r="C159" s="3" t="str">
        <f t="shared" si="6"/>
        <v>=&gt;</v>
      </c>
      <c r="D159" s="7" t="s">
        <v>1571</v>
      </c>
      <c r="E159" s="649" t="s">
        <v>1581</v>
      </c>
      <c r="F159" s="7"/>
      <c r="G159" s="3"/>
      <c r="H159" s="3"/>
      <c r="I159" s="3"/>
      <c r="J159" s="649"/>
      <c r="K159" s="7"/>
      <c r="L159" s="15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">
        <f t="shared" si="1"/>
        <v>160</v>
      </c>
      <c r="B160" s="7" t="s">
        <v>1571</v>
      </c>
      <c r="C160" s="3" t="str">
        <f t="shared" si="6"/>
        <v>=&gt;</v>
      </c>
      <c r="D160" s="649" t="s">
        <v>110</v>
      </c>
      <c r="E160" s="649"/>
      <c r="F160" s="7"/>
      <c r="G160" s="3"/>
      <c r="H160" s="3"/>
      <c r="I160" s="3"/>
      <c r="J160" s="649"/>
      <c r="K160" s="7"/>
      <c r="L160" s="15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">
        <f t="shared" si="1"/>
        <v>161</v>
      </c>
      <c r="B161" s="7" t="s">
        <v>1571</v>
      </c>
      <c r="C161" s="3" t="str">
        <f t="shared" si="6"/>
        <v>=&gt;</v>
      </c>
      <c r="D161" s="649" t="s">
        <v>903</v>
      </c>
      <c r="E161" s="649"/>
      <c r="F161" s="7"/>
      <c r="G161" s="3"/>
      <c r="H161" s="3"/>
      <c r="I161" s="3"/>
      <c r="J161" s="649"/>
      <c r="K161" s="7"/>
      <c r="L161" s="15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">
        <f t="shared" si="1"/>
        <v>162</v>
      </c>
      <c r="B162" s="7" t="s">
        <v>1571</v>
      </c>
      <c r="C162" s="3" t="str">
        <f t="shared" si="6"/>
        <v>=&gt;</v>
      </c>
      <c r="D162" s="7" t="s">
        <v>14</v>
      </c>
      <c r="E162" s="649"/>
      <c r="F162" s="649"/>
      <c r="G162" s="3"/>
      <c r="H162" s="3"/>
      <c r="I162" s="3"/>
      <c r="J162" s="649"/>
      <c r="K162" s="7"/>
      <c r="L162" s="15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">
        <f t="shared" si="1"/>
        <v>163</v>
      </c>
      <c r="B163" s="7" t="s">
        <v>1571</v>
      </c>
      <c r="C163" s="3" t="str">
        <f t="shared" si="6"/>
        <v>=&gt;</v>
      </c>
      <c r="D163" s="649" t="s">
        <v>62</v>
      </c>
      <c r="E163" s="7" t="s">
        <v>1565</v>
      </c>
      <c r="F163" s="7" t="s">
        <v>1573</v>
      </c>
      <c r="G163" s="3"/>
      <c r="H163" s="3"/>
      <c r="I163" s="3"/>
      <c r="J163" s="649"/>
      <c r="K163" s="7"/>
      <c r="L163" s="15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">
        <f t="shared" si="1"/>
        <v>164</v>
      </c>
      <c r="B164" s="649" t="s">
        <v>1581</v>
      </c>
      <c r="C164" s="3" t="str">
        <f t="shared" si="6"/>
        <v>=&gt;</v>
      </c>
      <c r="D164" s="649" t="s">
        <v>1582</v>
      </c>
      <c r="E164" s="649" t="s">
        <v>1571</v>
      </c>
      <c r="F164" s="649" t="s">
        <v>1581</v>
      </c>
      <c r="G164" s="3"/>
      <c r="H164" s="3"/>
      <c r="I164" s="3"/>
      <c r="J164" s="649"/>
      <c r="K164" s="7"/>
      <c r="L164" s="15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">
        <f t="shared" si="1"/>
        <v>165</v>
      </c>
      <c r="B165" s="7" t="s">
        <v>1582</v>
      </c>
      <c r="C165" s="3" t="str">
        <f t="shared" si="6"/>
        <v>=&gt;</v>
      </c>
      <c r="D165" s="623" t="s">
        <v>934</v>
      </c>
      <c r="E165" s="649"/>
      <c r="F165" s="7"/>
      <c r="G165" s="3"/>
      <c r="H165" s="3"/>
      <c r="I165" s="3"/>
      <c r="J165" s="649"/>
      <c r="K165" s="7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">
        <f t="shared" si="1"/>
        <v>166</v>
      </c>
      <c r="B166" s="7" t="s">
        <v>1582</v>
      </c>
      <c r="C166" s="3" t="str">
        <f t="shared" si="6"/>
        <v>=&gt;</v>
      </c>
      <c r="D166" s="623" t="s">
        <v>163</v>
      </c>
      <c r="E166" s="649"/>
      <c r="F166" s="7"/>
      <c r="G166" s="3"/>
      <c r="H166" s="3"/>
      <c r="I166" s="3"/>
      <c r="J166" s="649"/>
      <c r="K166" s="7"/>
      <c r="L166" s="1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">
        <f t="shared" si="1"/>
        <v>167</v>
      </c>
      <c r="B167" s="649" t="s">
        <v>1581</v>
      </c>
      <c r="C167" s="3" t="str">
        <f t="shared" si="6"/>
        <v>=&gt;</v>
      </c>
      <c r="D167" s="542" t="s">
        <v>8</v>
      </c>
      <c r="E167" s="649"/>
      <c r="F167" s="7"/>
      <c r="G167" s="3"/>
      <c r="H167" s="3"/>
      <c r="I167" s="3"/>
      <c r="J167" s="649"/>
      <c r="K167" s="7"/>
      <c r="L167" s="15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">
        <f t="shared" si="1"/>
        <v>168</v>
      </c>
      <c r="B168" s="649" t="s">
        <v>110</v>
      </c>
      <c r="C168" s="3" t="str">
        <f t="shared" si="6"/>
        <v>=&gt;</v>
      </c>
      <c r="D168" s="649" t="s">
        <v>111</v>
      </c>
      <c r="E168" s="649" t="s">
        <v>112</v>
      </c>
      <c r="F168" s="649" t="s">
        <v>111</v>
      </c>
      <c r="G168" s="3"/>
      <c r="H168" s="3"/>
      <c r="I168" s="3"/>
      <c r="J168" s="649"/>
      <c r="K168" s="7"/>
      <c r="L168" s="15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">
        <f t="shared" si="1"/>
        <v>169</v>
      </c>
      <c r="B169" s="649" t="s">
        <v>112</v>
      </c>
      <c r="C169" s="3" t="str">
        <f t="shared" si="6"/>
        <v>=&gt;</v>
      </c>
      <c r="D169" s="649" t="s">
        <v>166</v>
      </c>
      <c r="E169" s="649"/>
      <c r="F169" s="7"/>
      <c r="G169" s="3"/>
      <c r="H169" s="3"/>
      <c r="I169" s="3"/>
      <c r="J169" s="649"/>
      <c r="K169" s="7"/>
      <c r="L169" s="15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">
        <f t="shared" si="1"/>
        <v>170</v>
      </c>
      <c r="B170" s="649" t="s">
        <v>112</v>
      </c>
      <c r="C170" s="3" t="str">
        <f t="shared" si="6"/>
        <v>=&gt;</v>
      </c>
      <c r="D170" s="649" t="s">
        <v>167</v>
      </c>
      <c r="E170" s="649"/>
      <c r="F170" s="7"/>
      <c r="G170" s="3"/>
      <c r="H170" s="3"/>
      <c r="I170" s="3"/>
      <c r="J170" s="649"/>
      <c r="K170" s="7"/>
      <c r="L170" s="15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">
        <f t="shared" si="1"/>
        <v>171</v>
      </c>
      <c r="B171" s="649" t="s">
        <v>112</v>
      </c>
      <c r="C171" s="3" t="str">
        <f t="shared" si="6"/>
        <v>=&gt;</v>
      </c>
      <c r="D171" s="649" t="s">
        <v>165</v>
      </c>
      <c r="E171" s="649"/>
      <c r="F171" s="7"/>
      <c r="G171" s="3"/>
      <c r="H171" s="3"/>
      <c r="I171" s="3"/>
      <c r="J171" s="649"/>
      <c r="K171" s="7"/>
      <c r="L171" s="15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">
        <f t="shared" si="1"/>
        <v>172</v>
      </c>
      <c r="B172" s="649" t="s">
        <v>112</v>
      </c>
      <c r="C172" s="3" t="str">
        <f t="shared" si="6"/>
        <v>=&gt;</v>
      </c>
      <c r="D172" s="649" t="s">
        <v>164</v>
      </c>
      <c r="E172" s="649"/>
      <c r="F172" s="7"/>
      <c r="G172" s="3"/>
      <c r="H172" s="3"/>
      <c r="I172" s="3"/>
      <c r="J172" s="649"/>
      <c r="K172" s="7"/>
      <c r="L172" s="15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">
        <f t="shared" si="1"/>
        <v>173</v>
      </c>
      <c r="B173" s="649" t="s">
        <v>112</v>
      </c>
      <c r="C173" s="3" t="str">
        <f t="shared" si="6"/>
        <v>=&gt;</v>
      </c>
      <c r="D173" s="650" t="s">
        <v>934</v>
      </c>
      <c r="E173" s="649"/>
      <c r="F173" s="7"/>
      <c r="G173" s="3"/>
      <c r="H173" s="3"/>
      <c r="I173" s="3"/>
      <c r="J173" s="649"/>
      <c r="K173" s="7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">
        <f t="shared" si="1"/>
        <v>174</v>
      </c>
      <c r="B174" s="649" t="s">
        <v>112</v>
      </c>
      <c r="C174" s="3" t="str">
        <f t="shared" si="6"/>
        <v>=&gt;</v>
      </c>
      <c r="D174" s="649" t="s">
        <v>163</v>
      </c>
      <c r="E174" s="649"/>
      <c r="F174" s="7"/>
      <c r="G174" s="3"/>
      <c r="H174" s="3"/>
      <c r="I174" s="3"/>
      <c r="J174" s="649"/>
      <c r="K174" s="7"/>
      <c r="L174" s="15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">
        <f t="shared" si="1"/>
        <v>175</v>
      </c>
      <c r="B175" s="649" t="s">
        <v>111</v>
      </c>
      <c r="C175" s="3" t="str">
        <f t="shared" si="6"/>
        <v>=&gt;</v>
      </c>
      <c r="D175" s="649" t="s">
        <v>1091</v>
      </c>
      <c r="E175" s="649" t="s">
        <v>1092</v>
      </c>
      <c r="F175" s="7"/>
      <c r="G175" s="3"/>
      <c r="H175" s="3"/>
      <c r="I175" s="3"/>
      <c r="J175" s="649"/>
      <c r="K175" s="7"/>
      <c r="L175" s="15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">
        <f t="shared" si="1"/>
        <v>176</v>
      </c>
      <c r="B176" s="649" t="s">
        <v>1091</v>
      </c>
      <c r="C176" s="3" t="str">
        <f t="shared" si="6"/>
        <v>=&gt;</v>
      </c>
      <c r="D176" s="649" t="s">
        <v>1095</v>
      </c>
      <c r="E176" s="649" t="s">
        <v>1094</v>
      </c>
      <c r="F176" s="7"/>
      <c r="G176" s="3"/>
      <c r="H176" s="3"/>
      <c r="I176" s="3"/>
      <c r="J176" s="649"/>
      <c r="K176" s="7"/>
      <c r="L176" s="15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">
        <f t="shared" si="1"/>
        <v>177</v>
      </c>
      <c r="B177" s="649" t="s">
        <v>1092</v>
      </c>
      <c r="C177" s="3" t="str">
        <f t="shared" si="6"/>
        <v>=&gt;</v>
      </c>
      <c r="D177" s="650" t="s">
        <v>924</v>
      </c>
      <c r="E177" s="649" t="s">
        <v>1091</v>
      </c>
      <c r="F177" s="649" t="s">
        <v>1092</v>
      </c>
      <c r="G177" s="3"/>
      <c r="H177" s="3"/>
      <c r="I177" s="3"/>
      <c r="J177" s="649"/>
      <c r="K177" s="7"/>
      <c r="L177" s="15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">
        <f t="shared" si="1"/>
        <v>178</v>
      </c>
      <c r="B178" s="649" t="s">
        <v>1092</v>
      </c>
      <c r="C178" s="3" t="str">
        <f t="shared" si="6"/>
        <v>=&gt;</v>
      </c>
      <c r="D178" s="650" t="s">
        <v>41</v>
      </c>
      <c r="E178" s="649" t="s">
        <v>1091</v>
      </c>
      <c r="F178" s="649" t="s">
        <v>1092</v>
      </c>
      <c r="G178" s="3"/>
      <c r="H178" s="3"/>
      <c r="I178" s="3"/>
      <c r="J178" s="649"/>
      <c r="K178" s="7"/>
      <c r="L178" s="15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">
        <f t="shared" si="1"/>
        <v>179</v>
      </c>
      <c r="B179" s="649" t="s">
        <v>1095</v>
      </c>
      <c r="C179" s="3" t="str">
        <f t="shared" si="6"/>
        <v>=&gt;</v>
      </c>
      <c r="D179" s="649" t="s">
        <v>868</v>
      </c>
      <c r="E179" s="649"/>
      <c r="F179" s="7"/>
      <c r="G179" s="3"/>
      <c r="H179" s="3"/>
      <c r="I179" s="3"/>
      <c r="J179" s="649"/>
      <c r="K179" s="7"/>
      <c r="L179" s="15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">
        <f t="shared" si="1"/>
        <v>180</v>
      </c>
      <c r="B180" s="649" t="s">
        <v>1095</v>
      </c>
      <c r="C180" s="3" t="str">
        <f t="shared" si="6"/>
        <v>=&gt;</v>
      </c>
      <c r="D180" s="649" t="s">
        <v>902</v>
      </c>
      <c r="E180" s="649"/>
      <c r="F180" s="7"/>
      <c r="G180" s="3"/>
      <c r="H180" s="3"/>
      <c r="I180" s="3"/>
      <c r="J180" s="649"/>
      <c r="K180" s="7"/>
      <c r="L180" s="15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">
        <f t="shared" si="1"/>
        <v>181</v>
      </c>
      <c r="B181" s="649" t="s">
        <v>1095</v>
      </c>
      <c r="C181" s="3" t="str">
        <f t="shared" si="6"/>
        <v>=&gt;</v>
      </c>
      <c r="D181" s="649" t="s">
        <v>904</v>
      </c>
      <c r="E181" s="649"/>
      <c r="F181" s="7"/>
      <c r="G181" s="3"/>
      <c r="H181" s="3"/>
      <c r="I181" s="3"/>
      <c r="J181" s="649"/>
      <c r="K181" s="7"/>
      <c r="L181" s="15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">
        <f t="shared" si="1"/>
        <v>182</v>
      </c>
      <c r="B182" s="649" t="s">
        <v>1095</v>
      </c>
      <c r="C182" s="3" t="str">
        <f t="shared" si="6"/>
        <v>=&gt;</v>
      </c>
      <c r="D182" s="649" t="s">
        <v>14</v>
      </c>
      <c r="E182" s="649" t="s">
        <v>890</v>
      </c>
      <c r="F182" s="7"/>
      <c r="G182" s="3"/>
      <c r="H182" s="3"/>
      <c r="I182" s="3"/>
      <c r="J182" s="649"/>
      <c r="K182" s="7"/>
      <c r="L182" s="15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">
        <f t="shared" si="1"/>
        <v>183</v>
      </c>
      <c r="B183" s="649" t="s">
        <v>1095</v>
      </c>
      <c r="C183" s="3" t="str">
        <f t="shared" si="6"/>
        <v>=&gt;</v>
      </c>
      <c r="D183" s="649" t="s">
        <v>62</v>
      </c>
      <c r="E183" s="649" t="s">
        <v>111</v>
      </c>
      <c r="F183" s="7" t="s">
        <v>64</v>
      </c>
      <c r="G183" s="3"/>
      <c r="H183" s="3"/>
      <c r="I183" s="3"/>
      <c r="J183" s="649"/>
      <c r="K183" s="7"/>
      <c r="L183" s="15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">
        <f t="shared" si="1"/>
        <v>184</v>
      </c>
      <c r="B184" s="649" t="s">
        <v>1094</v>
      </c>
      <c r="C184" s="3" t="str">
        <f t="shared" si="6"/>
        <v>=&gt;</v>
      </c>
      <c r="D184" s="7" t="s">
        <v>887</v>
      </c>
      <c r="E184" s="649" t="s">
        <v>1095</v>
      </c>
      <c r="F184" s="649" t="s">
        <v>1094</v>
      </c>
      <c r="G184" s="3"/>
      <c r="H184" s="3"/>
      <c r="I184" s="3"/>
      <c r="J184" s="7"/>
      <c r="K184" s="7"/>
      <c r="L184" s="15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">
        <f t="shared" si="1"/>
        <v>185</v>
      </c>
      <c r="B185" s="649" t="s">
        <v>1094</v>
      </c>
      <c r="C185" s="3" t="str">
        <f t="shared" si="6"/>
        <v>=&gt;</v>
      </c>
      <c r="D185" s="7" t="s">
        <v>120</v>
      </c>
      <c r="E185" s="649" t="s">
        <v>1095</v>
      </c>
      <c r="F185" s="649" t="s">
        <v>1094</v>
      </c>
      <c r="G185" s="3"/>
      <c r="H185" s="3"/>
      <c r="I185" s="3"/>
      <c r="J185" s="7"/>
      <c r="K185" s="7"/>
      <c r="L185" s="15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">
        <f t="shared" si="1"/>
        <v>186</v>
      </c>
      <c r="B186" s="649" t="s">
        <v>1094</v>
      </c>
      <c r="C186" s="3" t="str">
        <f t="shared" si="6"/>
        <v>=&gt;</v>
      </c>
      <c r="D186" s="7" t="s">
        <v>121</v>
      </c>
      <c r="E186" s="649" t="s">
        <v>1095</v>
      </c>
      <c r="F186" s="649" t="s">
        <v>1094</v>
      </c>
      <c r="G186" s="3"/>
      <c r="H186" s="3"/>
      <c r="I186" s="3"/>
      <c r="J186" s="7"/>
      <c r="K186" s="7"/>
      <c r="L186" s="15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">
        <f t="shared" si="1"/>
        <v>187</v>
      </c>
      <c r="B187" s="649" t="s">
        <v>1094</v>
      </c>
      <c r="C187" s="3" t="str">
        <f t="shared" si="6"/>
        <v>=&gt;</v>
      </c>
      <c r="D187" s="542" t="s">
        <v>8</v>
      </c>
      <c r="E187" s="7"/>
      <c r="F187" s="7"/>
      <c r="G187" s="3"/>
      <c r="H187" s="3"/>
      <c r="I187" s="3"/>
      <c r="J187" s="7"/>
      <c r="K187" s="7"/>
      <c r="L187" s="15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">
        <f t="shared" si="1"/>
        <v>188</v>
      </c>
      <c r="B188" s="553" t="s">
        <v>1030</v>
      </c>
      <c r="C188" s="3" t="str">
        <f t="shared" si="6"/>
        <v>=&gt;</v>
      </c>
      <c r="D188" s="542" t="s">
        <v>1032</v>
      </c>
      <c r="E188" s="3" t="s">
        <v>62</v>
      </c>
      <c r="F188" s="603" t="s">
        <v>1085</v>
      </c>
      <c r="G188" s="3" t="s">
        <v>64</v>
      </c>
      <c r="H188" s="651" t="s">
        <v>839</v>
      </c>
      <c r="I188" s="553" t="s">
        <v>1030</v>
      </c>
      <c r="J188" s="3"/>
      <c r="K188" s="3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">
        <f t="shared" si="1"/>
        <v>189</v>
      </c>
      <c r="B189" s="553" t="s">
        <v>1030</v>
      </c>
      <c r="C189" s="3" t="str">
        <f t="shared" si="6"/>
        <v>=&gt;</v>
      </c>
      <c r="D189" s="542" t="s">
        <v>8</v>
      </c>
      <c r="E189" s="3"/>
      <c r="F189" s="3"/>
      <c r="G189" s="3"/>
      <c r="H189" s="3"/>
      <c r="I189" s="3"/>
      <c r="J189" s="3"/>
      <c r="K189" s="3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">
        <f t="shared" si="1"/>
        <v>190</v>
      </c>
      <c r="B190" s="554" t="s">
        <v>1031</v>
      </c>
      <c r="C190" s="3" t="str">
        <f t="shared" si="6"/>
        <v>=&gt;</v>
      </c>
      <c r="D190" s="542" t="s">
        <v>1033</v>
      </c>
      <c r="E190" s="651" t="s">
        <v>839</v>
      </c>
      <c r="F190" s="3"/>
      <c r="G190" s="3"/>
      <c r="H190" s="3"/>
      <c r="I190" s="3"/>
      <c r="J190" s="3"/>
      <c r="K190" s="3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">
        <f t="shared" si="1"/>
        <v>191</v>
      </c>
      <c r="B191" s="554" t="s">
        <v>1031</v>
      </c>
      <c r="C191" s="3" t="str">
        <f t="shared" si="6"/>
        <v>=&gt;</v>
      </c>
      <c r="D191" s="542" t="s">
        <v>8</v>
      </c>
      <c r="E191" s="3"/>
      <c r="F191" s="3"/>
      <c r="G191" s="3"/>
      <c r="H191" s="3"/>
      <c r="I191" s="3"/>
      <c r="J191" s="3"/>
      <c r="K191" s="3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">
        <f t="shared" si="1"/>
        <v>192</v>
      </c>
      <c r="B192" s="551" t="s">
        <v>1028</v>
      </c>
      <c r="C192" s="3" t="str">
        <f t="shared" si="6"/>
        <v>=&gt;</v>
      </c>
      <c r="D192" s="542" t="s">
        <v>1034</v>
      </c>
      <c r="E192" s="3" t="s">
        <v>62</v>
      </c>
      <c r="F192" s="603" t="s">
        <v>1085</v>
      </c>
      <c r="G192" s="3" t="s">
        <v>64</v>
      </c>
      <c r="H192" s="555" t="s">
        <v>1035</v>
      </c>
      <c r="I192" s="3"/>
      <c r="J192" s="3"/>
      <c r="K192" s="3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">
        <f t="shared" si="1"/>
        <v>193</v>
      </c>
      <c r="B193" s="555" t="s">
        <v>1035</v>
      </c>
      <c r="C193" s="3" t="str">
        <f t="shared" si="6"/>
        <v>=&gt;</v>
      </c>
      <c r="D193" s="542" t="s">
        <v>17</v>
      </c>
      <c r="E193" s="556" t="s">
        <v>1036</v>
      </c>
      <c r="F193" s="557" t="s">
        <v>1037</v>
      </c>
      <c r="G193" s="3" t="s">
        <v>19</v>
      </c>
      <c r="H193" s="3"/>
      <c r="I193" s="3"/>
      <c r="J193" s="3"/>
      <c r="K193" s="3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">
        <f t="shared" si="1"/>
        <v>194</v>
      </c>
      <c r="B194" s="556" t="s">
        <v>1036</v>
      </c>
      <c r="C194" s="3" t="str">
        <f t="shared" si="6"/>
        <v>=&gt;</v>
      </c>
      <c r="D194" s="542" t="s">
        <v>1038</v>
      </c>
      <c r="E194" s="558" t="s">
        <v>1039</v>
      </c>
      <c r="F194" s="3" t="s">
        <v>180</v>
      </c>
      <c r="G194" s="524" t="s">
        <v>1013</v>
      </c>
      <c r="H194" s="556" t="s">
        <v>1036</v>
      </c>
      <c r="I194" s="8"/>
      <c r="J194" s="3"/>
      <c r="K194" s="3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">
        <f t="shared" si="1"/>
        <v>195</v>
      </c>
      <c r="B195" s="556" t="s">
        <v>1036</v>
      </c>
      <c r="C195" s="3" t="str">
        <f t="shared" si="6"/>
        <v>=&gt;</v>
      </c>
      <c r="D195" s="542" t="s">
        <v>8</v>
      </c>
      <c r="E195" s="3"/>
      <c r="F195" s="3"/>
      <c r="G195" s="3"/>
      <c r="H195" s="3"/>
      <c r="I195" s="3"/>
      <c r="J195" s="3"/>
      <c r="K195" s="3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">
        <f t="shared" si="1"/>
        <v>196</v>
      </c>
      <c r="B196" s="558" t="s">
        <v>1039</v>
      </c>
      <c r="C196" s="3" t="str">
        <f t="shared" si="6"/>
        <v>=&gt;</v>
      </c>
      <c r="D196" s="3" t="s">
        <v>868</v>
      </c>
      <c r="E196" s="3"/>
      <c r="F196" s="3"/>
      <c r="G196" s="3"/>
      <c r="H196" s="3"/>
      <c r="I196" s="3"/>
      <c r="J196" s="3"/>
      <c r="K196" s="3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">
        <f t="shared" si="1"/>
        <v>197</v>
      </c>
      <c r="B197" s="558" t="s">
        <v>1039</v>
      </c>
      <c r="C197" s="3" t="str">
        <f t="shared" si="6"/>
        <v>=&gt;</v>
      </c>
      <c r="D197" s="542" t="s">
        <v>904</v>
      </c>
      <c r="E197" s="3"/>
      <c r="F197" s="3"/>
      <c r="G197" s="3"/>
      <c r="H197" s="3"/>
      <c r="I197" s="3"/>
      <c r="J197" s="3"/>
      <c r="K197" s="3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">
        <f t="shared" si="1"/>
        <v>198</v>
      </c>
      <c r="B198" s="557" t="s">
        <v>1037</v>
      </c>
      <c r="C198" s="3" t="str">
        <f t="shared" si="6"/>
        <v>=&gt;</v>
      </c>
      <c r="D198" s="542" t="s">
        <v>1070</v>
      </c>
      <c r="E198" s="3" t="s">
        <v>180</v>
      </c>
      <c r="F198" s="524" t="s">
        <v>1013</v>
      </c>
      <c r="G198" s="3"/>
      <c r="H198" s="3"/>
      <c r="I198" s="3"/>
      <c r="J198" s="3"/>
      <c r="K198" s="3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">
        <f t="shared" si="1"/>
        <v>199</v>
      </c>
      <c r="B199" s="557" t="s">
        <v>1037</v>
      </c>
      <c r="C199" s="3" t="str">
        <f t="shared" si="6"/>
        <v>=&gt;</v>
      </c>
      <c r="D199" s="542" t="s">
        <v>8</v>
      </c>
      <c r="E199" s="3"/>
      <c r="F199" s="3"/>
      <c r="G199" s="3"/>
      <c r="H199" s="3"/>
      <c r="I199" s="3"/>
      <c r="J199" s="3"/>
      <c r="K199" s="3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">
        <f t="shared" si="1"/>
        <v>200</v>
      </c>
      <c r="B200" s="569" t="s">
        <v>1021</v>
      </c>
      <c r="C200" s="3" t="str">
        <f t="shared" si="6"/>
        <v>=&gt;</v>
      </c>
      <c r="D200" s="570" t="s">
        <v>1049</v>
      </c>
      <c r="E200" s="3"/>
      <c r="F200" s="3"/>
      <c r="G200" s="3"/>
      <c r="H200" s="3"/>
      <c r="I200" s="3"/>
      <c r="J200" s="3"/>
      <c r="K200" s="8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">
        <f t="shared" si="1"/>
        <v>201</v>
      </c>
      <c r="B201" s="569" t="s">
        <v>1021</v>
      </c>
      <c r="C201" s="3" t="str">
        <f t="shared" si="6"/>
        <v>=&gt;</v>
      </c>
      <c r="D201" s="571" t="s">
        <v>1050</v>
      </c>
      <c r="E201" s="3"/>
      <c r="F201" s="3"/>
      <c r="G201" s="3"/>
      <c r="H201" s="3"/>
      <c r="I201" s="3"/>
      <c r="J201" s="3"/>
      <c r="K201" s="8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">
        <f t="shared" si="1"/>
        <v>202</v>
      </c>
      <c r="B202" s="569" t="s">
        <v>1021</v>
      </c>
      <c r="C202" s="3" t="str">
        <f t="shared" si="6"/>
        <v>=&gt;</v>
      </c>
      <c r="D202" s="572" t="s">
        <v>1051</v>
      </c>
      <c r="E202" s="3"/>
      <c r="F202" s="3"/>
      <c r="G202" s="3"/>
      <c r="H202" s="3"/>
      <c r="I202" s="3"/>
      <c r="J202" s="3"/>
      <c r="K202" s="8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">
        <f t="shared" si="1"/>
        <v>203</v>
      </c>
      <c r="B203" s="570" t="s">
        <v>1049</v>
      </c>
      <c r="C203" s="3" t="str">
        <f t="shared" si="6"/>
        <v>=&gt;</v>
      </c>
      <c r="D203" s="542" t="s">
        <v>1052</v>
      </c>
      <c r="E203" s="3" t="s">
        <v>62</v>
      </c>
      <c r="F203" s="573" t="s">
        <v>1053</v>
      </c>
      <c r="G203" s="574" t="s">
        <v>189</v>
      </c>
      <c r="H203" s="603" t="s">
        <v>1085</v>
      </c>
      <c r="I203" s="3" t="s">
        <v>64</v>
      </c>
      <c r="J203" s="651" t="s">
        <v>839</v>
      </c>
      <c r="K203" s="8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">
        <f t="shared" si="1"/>
        <v>204</v>
      </c>
      <c r="B204" s="573" t="s">
        <v>1053</v>
      </c>
      <c r="C204" s="3" t="str">
        <f t="shared" si="6"/>
        <v>=&gt;</v>
      </c>
      <c r="D204" s="3" t="s">
        <v>14</v>
      </c>
      <c r="E204" s="601" t="s">
        <v>1083</v>
      </c>
      <c r="F204" s="3" t="s">
        <v>6</v>
      </c>
      <c r="G204" s="3"/>
      <c r="H204" s="3"/>
      <c r="I204" s="3"/>
      <c r="J204" s="3"/>
      <c r="K204" s="3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">
        <f t="shared" si="1"/>
        <v>205</v>
      </c>
      <c r="B205" s="574" t="s">
        <v>189</v>
      </c>
      <c r="C205" s="3" t="str">
        <f t="shared" si="6"/>
        <v>=&gt;</v>
      </c>
      <c r="D205" s="3" t="s">
        <v>14</v>
      </c>
      <c r="E205" s="545" t="s">
        <v>1024</v>
      </c>
      <c r="F205" s="3"/>
      <c r="G205" s="3"/>
      <c r="H205" s="3"/>
      <c r="I205" s="3"/>
      <c r="J205" s="3"/>
      <c r="K205" s="3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">
        <f t="shared" si="1"/>
        <v>206</v>
      </c>
      <c r="B206" s="571" t="s">
        <v>1050</v>
      </c>
      <c r="C206" s="3" t="str">
        <f t="shared" si="6"/>
        <v>=&gt;</v>
      </c>
      <c r="D206" s="542" t="s">
        <v>1075</v>
      </c>
      <c r="E206" s="3" t="s">
        <v>62</v>
      </c>
      <c r="F206" s="603" t="s">
        <v>1085</v>
      </c>
      <c r="G206" s="3" t="s">
        <v>64</v>
      </c>
      <c r="H206" s="651" t="s">
        <v>839</v>
      </c>
      <c r="I206" s="3"/>
      <c r="J206" s="3"/>
      <c r="K206" s="3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">
        <f t="shared" si="1"/>
        <v>207</v>
      </c>
      <c r="B207" s="572" t="s">
        <v>1051</v>
      </c>
      <c r="C207" s="3" t="str">
        <f t="shared" si="6"/>
        <v>=&gt;</v>
      </c>
      <c r="D207" s="542" t="s">
        <v>1076</v>
      </c>
      <c r="E207" s="651" t="s">
        <v>839</v>
      </c>
      <c r="F207" s="3" t="s">
        <v>1075</v>
      </c>
      <c r="G207" s="3" t="s">
        <v>62</v>
      </c>
      <c r="H207" s="603" t="s">
        <v>1085</v>
      </c>
      <c r="I207" s="3" t="s">
        <v>64</v>
      </c>
      <c r="J207" s="3" t="s">
        <v>6</v>
      </c>
      <c r="K207" s="3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">
        <f t="shared" si="1"/>
        <v>208</v>
      </c>
      <c r="B208" s="591" t="s">
        <v>1062</v>
      </c>
      <c r="C208" s="3" t="str">
        <f t="shared" si="6"/>
        <v>=&gt;</v>
      </c>
      <c r="D208" s="592" t="s">
        <v>1071</v>
      </c>
      <c r="E208" s="3"/>
      <c r="F208" s="3"/>
      <c r="G208" s="3"/>
      <c r="H208" s="3"/>
      <c r="I208" s="3"/>
      <c r="J208" s="3"/>
      <c r="K208" s="8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">
        <f t="shared" si="1"/>
        <v>209</v>
      </c>
      <c r="B209" s="591" t="s">
        <v>1062</v>
      </c>
      <c r="C209" s="3" t="str">
        <f t="shared" si="6"/>
        <v>=&gt;</v>
      </c>
      <c r="D209" s="593" t="s">
        <v>1043</v>
      </c>
      <c r="E209" s="3"/>
      <c r="F209" s="3"/>
      <c r="G209" s="3"/>
      <c r="H209" s="3"/>
      <c r="I209" s="3"/>
      <c r="J209" s="3"/>
      <c r="K209" s="8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">
        <f t="shared" si="1"/>
        <v>210</v>
      </c>
      <c r="B210" s="591" t="s">
        <v>1062</v>
      </c>
      <c r="C210" s="3" t="str">
        <f t="shared" si="6"/>
        <v>=&gt;</v>
      </c>
      <c r="D210" s="594" t="s">
        <v>1022</v>
      </c>
      <c r="E210" s="3"/>
      <c r="F210" s="3"/>
      <c r="G210" s="3"/>
      <c r="H210" s="3"/>
      <c r="I210" s="3"/>
      <c r="J210" s="3"/>
      <c r="K210" s="8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">
        <f t="shared" si="1"/>
        <v>211</v>
      </c>
      <c r="B211" s="592" t="s">
        <v>1071</v>
      </c>
      <c r="C211" s="3" t="str">
        <f t="shared" si="6"/>
        <v>=&gt;</v>
      </c>
      <c r="D211" s="3" t="s">
        <v>1072</v>
      </c>
      <c r="E211" s="3" t="s">
        <v>6</v>
      </c>
      <c r="F211" s="3"/>
      <c r="G211" s="3"/>
      <c r="H211" s="3"/>
      <c r="I211" s="3"/>
      <c r="J211" s="3"/>
      <c r="K211" s="8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">
        <f t="shared" si="1"/>
        <v>212</v>
      </c>
      <c r="B212" s="593" t="s">
        <v>1043</v>
      </c>
      <c r="C212" s="3" t="str">
        <f t="shared" si="6"/>
        <v>=&gt;</v>
      </c>
      <c r="D212" s="542" t="s">
        <v>1073</v>
      </c>
      <c r="E212" s="3" t="s">
        <v>6</v>
      </c>
      <c r="F212" s="3"/>
      <c r="G212" s="3"/>
      <c r="H212" s="3"/>
      <c r="I212" s="3"/>
      <c r="J212" s="3"/>
      <c r="K212" s="3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">
        <f t="shared" si="1"/>
        <v>213</v>
      </c>
      <c r="B213" s="594" t="s">
        <v>1022</v>
      </c>
      <c r="C213" s="3" t="str">
        <f t="shared" si="6"/>
        <v>=&gt;</v>
      </c>
      <c r="D213" s="542" t="s">
        <v>1074</v>
      </c>
      <c r="E213" s="395" t="s">
        <v>28</v>
      </c>
      <c r="F213" s="3" t="s">
        <v>6</v>
      </c>
      <c r="G213" s="3"/>
      <c r="H213" s="3"/>
      <c r="I213" s="3"/>
      <c r="J213" s="3"/>
      <c r="K213" s="3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">
        <f t="shared" si="1"/>
        <v>214</v>
      </c>
      <c r="B214" s="1043" t="s">
        <v>863</v>
      </c>
      <c r="C214" s="3" t="str">
        <f t="shared" si="6"/>
        <v>=&gt;</v>
      </c>
      <c r="D214" s="1044" t="s">
        <v>1565</v>
      </c>
      <c r="E214" s="15"/>
      <c r="F214" s="15"/>
      <c r="G214" s="15"/>
      <c r="H214" s="15"/>
      <c r="I214" s="15"/>
      <c r="J214" s="15"/>
      <c r="K214" s="15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">
        <f t="shared" si="1"/>
        <v>215</v>
      </c>
      <c r="B215" s="1043" t="s">
        <v>863</v>
      </c>
      <c r="C215" s="3" t="str">
        <f t="shared" si="6"/>
        <v>=&gt;</v>
      </c>
      <c r="D215" s="1045" t="s">
        <v>111</v>
      </c>
      <c r="E215" s="15"/>
      <c r="F215" s="15"/>
      <c r="G215" s="15"/>
      <c r="H215" s="15"/>
      <c r="I215" s="15"/>
      <c r="J215" s="15"/>
      <c r="K215" s="15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3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3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679"/>
      <c r="C218" s="3"/>
      <c r="D218" s="679"/>
      <c r="E218" s="679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679"/>
      <c r="C219" s="3"/>
      <c r="D219" s="679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679"/>
      <c r="C220" s="3"/>
      <c r="D220" s="679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679"/>
      <c r="C221" s="3"/>
      <c r="D221" s="679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679"/>
      <c r="C222" s="3"/>
      <c r="D222" s="679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679"/>
      <c r="C223" s="3"/>
      <c r="D223" s="679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3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3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3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3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3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</sheetData>
  <drawing r:id="rId1"/>
</worksheet>
</file>